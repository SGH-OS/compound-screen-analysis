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G:\RB1\修回\第一轮\提交\Supplementary Tables\"/>
    </mc:Choice>
  </mc:AlternateContent>
  <xr:revisionPtr revIDLastSave="0" documentId="13_ncr:1_{CD043EF8-B6DA-4C9F-8984-8BBE7722A4AD}" xr6:coauthVersionLast="47" xr6:coauthVersionMax="47" xr10:uidLastSave="{00000000-0000-0000-0000-000000000000}"/>
  <bookViews>
    <workbookView xWindow="-110" yWindow="-110" windowWidth="25820" windowHeight="13900" xr2:uid="{DE42896E-0EC2-4142-8A50-B166EEC53558}"/>
  </bookViews>
  <sheets>
    <sheet name="Sheet1" sheetId="1" r:id="rId1"/>
  </sheets>
  <definedNames>
    <definedName name="_xlnm._FilterDatabase" localSheetId="0" hidden="1">Sheet1!$B$2:$B$2308</definedName>
    <definedName name="OLE_LINK1" localSheetId="0">Sheet1!$I$3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6" i="1" l="1"/>
  <c r="Q7" i="1"/>
  <c r="Q8" i="1"/>
  <c r="Q9" i="1"/>
  <c r="Q10" i="1"/>
  <c r="Q11" i="1"/>
  <c r="Q12" i="1"/>
  <c r="Q13" i="1"/>
  <c r="Q14" i="1"/>
  <c r="Q15" i="1"/>
  <c r="Q16" i="1"/>
  <c r="Q17" i="1"/>
  <c r="Q18" i="1"/>
  <c r="R18" i="1" s="1"/>
  <c r="S18" i="1" s="1"/>
  <c r="Q19" i="1"/>
  <c r="Q20" i="1"/>
  <c r="Q21" i="1"/>
  <c r="Q22" i="1"/>
  <c r="Q23" i="1"/>
  <c r="Q24" i="1"/>
  <c r="Q25" i="1"/>
  <c r="Q26" i="1"/>
  <c r="Q27" i="1"/>
  <c r="Q28" i="1"/>
  <c r="Q29" i="1"/>
  <c r="Q30" i="1"/>
  <c r="Q31" i="1"/>
  <c r="Q32" i="1"/>
  <c r="Q33" i="1"/>
  <c r="Q34" i="1"/>
  <c r="R34" i="1" s="1"/>
  <c r="S34" i="1" s="1"/>
  <c r="Q35" i="1"/>
  <c r="Q36" i="1"/>
  <c r="Q37" i="1"/>
  <c r="Q38" i="1"/>
  <c r="Q39" i="1"/>
  <c r="Q40" i="1"/>
  <c r="Q41" i="1"/>
  <c r="Q42" i="1"/>
  <c r="Q43" i="1"/>
  <c r="Q44" i="1"/>
  <c r="Q45" i="1"/>
  <c r="Q46" i="1"/>
  <c r="Q47" i="1"/>
  <c r="Q48" i="1"/>
  <c r="Q49" i="1"/>
  <c r="Q50" i="1"/>
  <c r="R50" i="1" s="1"/>
  <c r="S50" i="1" s="1"/>
  <c r="Q51" i="1"/>
  <c r="Q52" i="1"/>
  <c r="Q53" i="1"/>
  <c r="Q54" i="1"/>
  <c r="Q55" i="1"/>
  <c r="Q56" i="1"/>
  <c r="Q57" i="1"/>
  <c r="Q58" i="1"/>
  <c r="Q59" i="1"/>
  <c r="Q60" i="1"/>
  <c r="Q61" i="1"/>
  <c r="Q62" i="1"/>
  <c r="Q63" i="1"/>
  <c r="Q64" i="1"/>
  <c r="Q65" i="1"/>
  <c r="Q66" i="1"/>
  <c r="R66" i="1" s="1"/>
  <c r="S66" i="1" s="1"/>
  <c r="Q67" i="1"/>
  <c r="Q68" i="1"/>
  <c r="Q69" i="1"/>
  <c r="Q70" i="1"/>
  <c r="Q71" i="1"/>
  <c r="Q72" i="1"/>
  <c r="Q73" i="1"/>
  <c r="Q74" i="1"/>
  <c r="Q75" i="1"/>
  <c r="Q76" i="1"/>
  <c r="Q77" i="1"/>
  <c r="Q78" i="1"/>
  <c r="Q79" i="1"/>
  <c r="Q80" i="1"/>
  <c r="Q81" i="1"/>
  <c r="Q82" i="1"/>
  <c r="R82" i="1" s="1"/>
  <c r="S82" i="1" s="1"/>
  <c r="Q83" i="1"/>
  <c r="Q84" i="1"/>
  <c r="Q85" i="1"/>
  <c r="Q86" i="1"/>
  <c r="Q87" i="1"/>
  <c r="Q88" i="1"/>
  <c r="Q89" i="1"/>
  <c r="Q90" i="1"/>
  <c r="Q91" i="1"/>
  <c r="Q92" i="1"/>
  <c r="Q93" i="1"/>
  <c r="Q94" i="1"/>
  <c r="Q95" i="1"/>
  <c r="Q96" i="1"/>
  <c r="Q97" i="1"/>
  <c r="Q98" i="1"/>
  <c r="R98" i="1" s="1"/>
  <c r="S98" i="1" s="1"/>
  <c r="Q99" i="1"/>
  <c r="Q100" i="1"/>
  <c r="Q101" i="1"/>
  <c r="Q102" i="1"/>
  <c r="Q103" i="1"/>
  <c r="Q104" i="1"/>
  <c r="Q105" i="1"/>
  <c r="Q106" i="1"/>
  <c r="Q107" i="1"/>
  <c r="Q108" i="1"/>
  <c r="Q109" i="1"/>
  <c r="Q110" i="1"/>
  <c r="Q111" i="1"/>
  <c r="Q112" i="1"/>
  <c r="Q113" i="1"/>
  <c r="Q114" i="1"/>
  <c r="R114" i="1" s="1"/>
  <c r="S114" i="1" s="1"/>
  <c r="Q115" i="1"/>
  <c r="Q116" i="1"/>
  <c r="Q117" i="1"/>
  <c r="Q118" i="1"/>
  <c r="Q119" i="1"/>
  <c r="Q120" i="1"/>
  <c r="Q121" i="1"/>
  <c r="Q122" i="1"/>
  <c r="Q123" i="1"/>
  <c r="Q124" i="1"/>
  <c r="Q125" i="1"/>
  <c r="Q126" i="1"/>
  <c r="Q127" i="1"/>
  <c r="Q128" i="1"/>
  <c r="Q129" i="1"/>
  <c r="Q130" i="1"/>
  <c r="R130" i="1" s="1"/>
  <c r="S130" i="1" s="1"/>
  <c r="Q131" i="1"/>
  <c r="Q132" i="1"/>
  <c r="Q133" i="1"/>
  <c r="Q134" i="1"/>
  <c r="Q135" i="1"/>
  <c r="Q136" i="1"/>
  <c r="Q137" i="1"/>
  <c r="Q138" i="1"/>
  <c r="Q139" i="1"/>
  <c r="Q140" i="1"/>
  <c r="Q141" i="1"/>
  <c r="Q142" i="1"/>
  <c r="Q143" i="1"/>
  <c r="Q144" i="1"/>
  <c r="Q145" i="1"/>
  <c r="Q146" i="1"/>
  <c r="R146" i="1" s="1"/>
  <c r="S146" i="1" s="1"/>
  <c r="Q147" i="1"/>
  <c r="Q148" i="1"/>
  <c r="Q149" i="1"/>
  <c r="Q150" i="1"/>
  <c r="Q151" i="1"/>
  <c r="Q152" i="1"/>
  <c r="Q153" i="1"/>
  <c r="Q154" i="1"/>
  <c r="Q155" i="1"/>
  <c r="Q156" i="1"/>
  <c r="Q157" i="1"/>
  <c r="Q158" i="1"/>
  <c r="Q159" i="1"/>
  <c r="Q160" i="1"/>
  <c r="Q161" i="1"/>
  <c r="Q162" i="1"/>
  <c r="R162" i="1" s="1"/>
  <c r="S162" i="1" s="1"/>
  <c r="Q163" i="1"/>
  <c r="Q164" i="1"/>
  <c r="Q165" i="1"/>
  <c r="Q166" i="1"/>
  <c r="Q167" i="1"/>
  <c r="Q168" i="1"/>
  <c r="Q169" i="1"/>
  <c r="Q170" i="1"/>
  <c r="Q171" i="1"/>
  <c r="Q172" i="1"/>
  <c r="Q173" i="1"/>
  <c r="Q174" i="1"/>
  <c r="Q175" i="1"/>
  <c r="Q176" i="1"/>
  <c r="Q177" i="1"/>
  <c r="Q178" i="1"/>
  <c r="R178" i="1" s="1"/>
  <c r="S178" i="1" s="1"/>
  <c r="Q179" i="1"/>
  <c r="Q180" i="1"/>
  <c r="Q181" i="1"/>
  <c r="Q182" i="1"/>
  <c r="Q183" i="1"/>
  <c r="Q184" i="1"/>
  <c r="Q185" i="1"/>
  <c r="Q186" i="1"/>
  <c r="Q187" i="1"/>
  <c r="Q188" i="1"/>
  <c r="Q189" i="1"/>
  <c r="Q190" i="1"/>
  <c r="Q191" i="1"/>
  <c r="Q192" i="1"/>
  <c r="Q193" i="1"/>
  <c r="Q194" i="1"/>
  <c r="R194" i="1" s="1"/>
  <c r="S194" i="1" s="1"/>
  <c r="Q195" i="1"/>
  <c r="Q196" i="1"/>
  <c r="Q197" i="1"/>
  <c r="Q198" i="1"/>
  <c r="Q199" i="1"/>
  <c r="Q200" i="1"/>
  <c r="Q201" i="1"/>
  <c r="Q202" i="1"/>
  <c r="Q203" i="1"/>
  <c r="Q204" i="1"/>
  <c r="Q205" i="1"/>
  <c r="Q206" i="1"/>
  <c r="Q207" i="1"/>
  <c r="Q208" i="1"/>
  <c r="Q209" i="1"/>
  <c r="Q210" i="1"/>
  <c r="R210" i="1" s="1"/>
  <c r="S210" i="1" s="1"/>
  <c r="Q211" i="1"/>
  <c r="Q212" i="1"/>
  <c r="Q213" i="1"/>
  <c r="Q214" i="1"/>
  <c r="Q215" i="1"/>
  <c r="Q216" i="1"/>
  <c r="Q217" i="1"/>
  <c r="Q218" i="1"/>
  <c r="Q219" i="1"/>
  <c r="Q220" i="1"/>
  <c r="Q221" i="1"/>
  <c r="Q222" i="1"/>
  <c r="Q223" i="1"/>
  <c r="Q224" i="1"/>
  <c r="Q225" i="1"/>
  <c r="Q226" i="1"/>
  <c r="R226" i="1" s="1"/>
  <c r="S226" i="1" s="1"/>
  <c r="Q227" i="1"/>
  <c r="Q228" i="1"/>
  <c r="Q229" i="1"/>
  <c r="Q230" i="1"/>
  <c r="Q231" i="1"/>
  <c r="Q232" i="1"/>
  <c r="Q233" i="1"/>
  <c r="Q234" i="1"/>
  <c r="Q235" i="1"/>
  <c r="Q236" i="1"/>
  <c r="Q237" i="1"/>
  <c r="Q238" i="1"/>
  <c r="Q239" i="1"/>
  <c r="Q240" i="1"/>
  <c r="Q241" i="1"/>
  <c r="Q242" i="1"/>
  <c r="R242" i="1" s="1"/>
  <c r="S242" i="1" s="1"/>
  <c r="Q243" i="1"/>
  <c r="Q244" i="1"/>
  <c r="Q245" i="1"/>
  <c r="Q246" i="1"/>
  <c r="Q247" i="1"/>
  <c r="Q248" i="1"/>
  <c r="Q249" i="1"/>
  <c r="Q250" i="1"/>
  <c r="Q251" i="1"/>
  <c r="Q252" i="1"/>
  <c r="Q253" i="1"/>
  <c r="Q254" i="1"/>
  <c r="Q255" i="1"/>
  <c r="Q256" i="1"/>
  <c r="Q257" i="1"/>
  <c r="Q258" i="1"/>
  <c r="R258" i="1" s="1"/>
  <c r="S258" i="1" s="1"/>
  <c r="Q259" i="1"/>
  <c r="Q260" i="1"/>
  <c r="Q261" i="1"/>
  <c r="Q262" i="1"/>
  <c r="Q263" i="1"/>
  <c r="Q264" i="1"/>
  <c r="Q265" i="1"/>
  <c r="Q266" i="1"/>
  <c r="Q267" i="1"/>
  <c r="Q268" i="1"/>
  <c r="Q269" i="1"/>
  <c r="Q270" i="1"/>
  <c r="Q271" i="1"/>
  <c r="Q272" i="1"/>
  <c r="Q273" i="1"/>
  <c r="Q274" i="1"/>
  <c r="R274" i="1" s="1"/>
  <c r="S274" i="1" s="1"/>
  <c r="Q275" i="1"/>
  <c r="Q276" i="1"/>
  <c r="Q277" i="1"/>
  <c r="Q278" i="1"/>
  <c r="Q279" i="1"/>
  <c r="Q280" i="1"/>
  <c r="Q281" i="1"/>
  <c r="Q282" i="1"/>
  <c r="Q283" i="1"/>
  <c r="Q284" i="1"/>
  <c r="Q285" i="1"/>
  <c r="Q286" i="1"/>
  <c r="Q287" i="1"/>
  <c r="Q288" i="1"/>
  <c r="Q289" i="1"/>
  <c r="Q290" i="1"/>
  <c r="R290" i="1" s="1"/>
  <c r="S290" i="1" s="1"/>
  <c r="Q291" i="1"/>
  <c r="Q292" i="1"/>
  <c r="Q293" i="1"/>
  <c r="Q294" i="1"/>
  <c r="Q295" i="1"/>
  <c r="Q296" i="1"/>
  <c r="Q297" i="1"/>
  <c r="Q298" i="1"/>
  <c r="Q299" i="1"/>
  <c r="Q300" i="1"/>
  <c r="Q301" i="1"/>
  <c r="Q302" i="1"/>
  <c r="Q303" i="1"/>
  <c r="Q304" i="1"/>
  <c r="Q305" i="1"/>
  <c r="Q306" i="1"/>
  <c r="R306" i="1" s="1"/>
  <c r="S306" i="1" s="1"/>
  <c r="Q307" i="1"/>
  <c r="Q308" i="1"/>
  <c r="Q309" i="1"/>
  <c r="Q310" i="1"/>
  <c r="Q311" i="1"/>
  <c r="Q312" i="1"/>
  <c r="Q313" i="1"/>
  <c r="Q314" i="1"/>
  <c r="Q315" i="1"/>
  <c r="Q316" i="1"/>
  <c r="Q317" i="1"/>
  <c r="Q318" i="1"/>
  <c r="Q319" i="1"/>
  <c r="Q320" i="1"/>
  <c r="Q321" i="1"/>
  <c r="Q322" i="1"/>
  <c r="R322" i="1" s="1"/>
  <c r="S322" i="1" s="1"/>
  <c r="Q323" i="1"/>
  <c r="Q324" i="1"/>
  <c r="Q325" i="1"/>
  <c r="Q326" i="1"/>
  <c r="Q327" i="1"/>
  <c r="Q328" i="1"/>
  <c r="Q329" i="1"/>
  <c r="Q330" i="1"/>
  <c r="Q331" i="1"/>
  <c r="Q332" i="1"/>
  <c r="Q333" i="1"/>
  <c r="Q334" i="1"/>
  <c r="Q335" i="1"/>
  <c r="Q336" i="1"/>
  <c r="Q337" i="1"/>
  <c r="Q338" i="1"/>
  <c r="R338" i="1" s="1"/>
  <c r="S338" i="1" s="1"/>
  <c r="Q339" i="1"/>
  <c r="Q340" i="1"/>
  <c r="Q341" i="1"/>
  <c r="Q342" i="1"/>
  <c r="Q343" i="1"/>
  <c r="Q344" i="1"/>
  <c r="Q345" i="1"/>
  <c r="Q346" i="1"/>
  <c r="Q347" i="1"/>
  <c r="Q348" i="1"/>
  <c r="Q349" i="1"/>
  <c r="Q350" i="1"/>
  <c r="Q351" i="1"/>
  <c r="Q352" i="1"/>
  <c r="Q353" i="1"/>
  <c r="Q354" i="1"/>
  <c r="R354" i="1" s="1"/>
  <c r="S354" i="1" s="1"/>
  <c r="Q355" i="1"/>
  <c r="Q356" i="1"/>
  <c r="Q357" i="1"/>
  <c r="Q358" i="1"/>
  <c r="Q359" i="1"/>
  <c r="Q360" i="1"/>
  <c r="Q361" i="1"/>
  <c r="Q362" i="1"/>
  <c r="Q363" i="1"/>
  <c r="Q364" i="1"/>
  <c r="Q365" i="1"/>
  <c r="Q366" i="1"/>
  <c r="Q367" i="1"/>
  <c r="Q368" i="1"/>
  <c r="Q369" i="1"/>
  <c r="Q370" i="1"/>
  <c r="R370" i="1" s="1"/>
  <c r="S370" i="1" s="1"/>
  <c r="Q371" i="1"/>
  <c r="Q372" i="1"/>
  <c r="Q373" i="1"/>
  <c r="Q374" i="1"/>
  <c r="Q375" i="1"/>
  <c r="Q376" i="1"/>
  <c r="Q377" i="1"/>
  <c r="Q378" i="1"/>
  <c r="Q379" i="1"/>
  <c r="Q380" i="1"/>
  <c r="Q381" i="1"/>
  <c r="Q382" i="1"/>
  <c r="Q383" i="1"/>
  <c r="Q384" i="1"/>
  <c r="Q385" i="1"/>
  <c r="Q386" i="1"/>
  <c r="R386" i="1" s="1"/>
  <c r="S386" i="1" s="1"/>
  <c r="Q387" i="1"/>
  <c r="Q388" i="1"/>
  <c r="Q389" i="1"/>
  <c r="Q390" i="1"/>
  <c r="Q391" i="1"/>
  <c r="Q392" i="1"/>
  <c r="Q393" i="1"/>
  <c r="Q394" i="1"/>
  <c r="Q395" i="1"/>
  <c r="Q396" i="1"/>
  <c r="Q397" i="1"/>
  <c r="Q398" i="1"/>
  <c r="Q399" i="1"/>
  <c r="Q400" i="1"/>
  <c r="Q401" i="1"/>
  <c r="Q402" i="1"/>
  <c r="R402" i="1" s="1"/>
  <c r="S402" i="1" s="1"/>
  <c r="Q403" i="1"/>
  <c r="Q404" i="1"/>
  <c r="Q405" i="1"/>
  <c r="Q406" i="1"/>
  <c r="Q407" i="1"/>
  <c r="Q408" i="1"/>
  <c r="Q409" i="1"/>
  <c r="Q410" i="1"/>
  <c r="Q411" i="1"/>
  <c r="Q412" i="1"/>
  <c r="Q413" i="1"/>
  <c r="Q414" i="1"/>
  <c r="Q415" i="1"/>
  <c r="Q416" i="1"/>
  <c r="Q417" i="1"/>
  <c r="Q418" i="1"/>
  <c r="R418" i="1" s="1"/>
  <c r="S418" i="1" s="1"/>
  <c r="Q419" i="1"/>
  <c r="Q420" i="1"/>
  <c r="Q421" i="1"/>
  <c r="Q422" i="1"/>
  <c r="Q423" i="1"/>
  <c r="Q424" i="1"/>
  <c r="Q425" i="1"/>
  <c r="Q426" i="1"/>
  <c r="Q427" i="1"/>
  <c r="Q428" i="1"/>
  <c r="Q429" i="1"/>
  <c r="Q430" i="1"/>
  <c r="Q431" i="1"/>
  <c r="Q432" i="1"/>
  <c r="Q433" i="1"/>
  <c r="Q434" i="1"/>
  <c r="R434" i="1" s="1"/>
  <c r="S434" i="1" s="1"/>
  <c r="Q435" i="1"/>
  <c r="Q436" i="1"/>
  <c r="Q437" i="1"/>
  <c r="Q438" i="1"/>
  <c r="Q439" i="1"/>
  <c r="Q440" i="1"/>
  <c r="Q441" i="1"/>
  <c r="Q442" i="1"/>
  <c r="Q443" i="1"/>
  <c r="Q444" i="1"/>
  <c r="Q445" i="1"/>
  <c r="Q446" i="1"/>
  <c r="Q447" i="1"/>
  <c r="Q448" i="1"/>
  <c r="Q449" i="1"/>
  <c r="Q450" i="1"/>
  <c r="R450" i="1" s="1"/>
  <c r="S450" i="1" s="1"/>
  <c r="Q451" i="1"/>
  <c r="Q452" i="1"/>
  <c r="Q453" i="1"/>
  <c r="Q454" i="1"/>
  <c r="Q455" i="1"/>
  <c r="Q456" i="1"/>
  <c r="Q457" i="1"/>
  <c r="Q458" i="1"/>
  <c r="Q459" i="1"/>
  <c r="Q460" i="1"/>
  <c r="Q461" i="1"/>
  <c r="Q462" i="1"/>
  <c r="Q463" i="1"/>
  <c r="Q464" i="1"/>
  <c r="Q465" i="1"/>
  <c r="Q466" i="1"/>
  <c r="R466" i="1" s="1"/>
  <c r="S466" i="1" s="1"/>
  <c r="Q467" i="1"/>
  <c r="Q468" i="1"/>
  <c r="Q469" i="1"/>
  <c r="Q470" i="1"/>
  <c r="Q471" i="1"/>
  <c r="Q472" i="1"/>
  <c r="Q473" i="1"/>
  <c r="Q474" i="1"/>
  <c r="Q475" i="1"/>
  <c r="Q476" i="1"/>
  <c r="Q477" i="1"/>
  <c r="Q478" i="1"/>
  <c r="Q479" i="1"/>
  <c r="Q480" i="1"/>
  <c r="Q481" i="1"/>
  <c r="Q482" i="1"/>
  <c r="R482" i="1" s="1"/>
  <c r="S482" i="1" s="1"/>
  <c r="Q483" i="1"/>
  <c r="Q484" i="1"/>
  <c r="Q485" i="1"/>
  <c r="Q486" i="1"/>
  <c r="Q487" i="1"/>
  <c r="Q488" i="1"/>
  <c r="Q489" i="1"/>
  <c r="Q490" i="1"/>
  <c r="Q491" i="1"/>
  <c r="Q492" i="1"/>
  <c r="Q493" i="1"/>
  <c r="Q494" i="1"/>
  <c r="Q495" i="1"/>
  <c r="Q496" i="1"/>
  <c r="Q497" i="1"/>
  <c r="Q498" i="1"/>
  <c r="R498" i="1" s="1"/>
  <c r="S498" i="1" s="1"/>
  <c r="Q499" i="1"/>
  <c r="Q500" i="1"/>
  <c r="Q501" i="1"/>
  <c r="Q502" i="1"/>
  <c r="Q503" i="1"/>
  <c r="Q504" i="1"/>
  <c r="Q505" i="1"/>
  <c r="Q506" i="1"/>
  <c r="Q507" i="1"/>
  <c r="Q508" i="1"/>
  <c r="Q509" i="1"/>
  <c r="Q510" i="1"/>
  <c r="Q511" i="1"/>
  <c r="Q512" i="1"/>
  <c r="Q513" i="1"/>
  <c r="Q514" i="1"/>
  <c r="R514" i="1" s="1"/>
  <c r="S514" i="1" s="1"/>
  <c r="Q515" i="1"/>
  <c r="Q516" i="1"/>
  <c r="Q517" i="1"/>
  <c r="Q518" i="1"/>
  <c r="Q519" i="1"/>
  <c r="Q520" i="1"/>
  <c r="Q521" i="1"/>
  <c r="Q522" i="1"/>
  <c r="Q523" i="1"/>
  <c r="Q524" i="1"/>
  <c r="Q525" i="1"/>
  <c r="Q526" i="1"/>
  <c r="Q527" i="1"/>
  <c r="Q528" i="1"/>
  <c r="Q529" i="1"/>
  <c r="Q530" i="1"/>
  <c r="R530" i="1" s="1"/>
  <c r="S530" i="1" s="1"/>
  <c r="Q531" i="1"/>
  <c r="Q532" i="1"/>
  <c r="Q533" i="1"/>
  <c r="Q534" i="1"/>
  <c r="Q535" i="1"/>
  <c r="Q536" i="1"/>
  <c r="Q537" i="1"/>
  <c r="Q538" i="1"/>
  <c r="Q539" i="1"/>
  <c r="Q540" i="1"/>
  <c r="Q541" i="1"/>
  <c r="Q542" i="1"/>
  <c r="Q543" i="1"/>
  <c r="Q544" i="1"/>
  <c r="Q545" i="1"/>
  <c r="Q546" i="1"/>
  <c r="R546" i="1" s="1"/>
  <c r="S546" i="1" s="1"/>
  <c r="Q547" i="1"/>
  <c r="Q548" i="1"/>
  <c r="Q549" i="1"/>
  <c r="Q550" i="1"/>
  <c r="Q551" i="1"/>
  <c r="Q552" i="1"/>
  <c r="Q553" i="1"/>
  <c r="Q554" i="1"/>
  <c r="Q555" i="1"/>
  <c r="Q556" i="1"/>
  <c r="Q557" i="1"/>
  <c r="Q558" i="1"/>
  <c r="Q559" i="1"/>
  <c r="Q560" i="1"/>
  <c r="Q561" i="1"/>
  <c r="Q562" i="1"/>
  <c r="R562" i="1" s="1"/>
  <c r="S562" i="1" s="1"/>
  <c r="Q563" i="1"/>
  <c r="Q564" i="1"/>
  <c r="Q565" i="1"/>
  <c r="Q566" i="1"/>
  <c r="Q567" i="1"/>
  <c r="Q568" i="1"/>
  <c r="Q569" i="1"/>
  <c r="Q570" i="1"/>
  <c r="Q571" i="1"/>
  <c r="Q572" i="1"/>
  <c r="Q573" i="1"/>
  <c r="Q574" i="1"/>
  <c r="Q575" i="1"/>
  <c r="Q576" i="1"/>
  <c r="Q577" i="1"/>
  <c r="Q578" i="1"/>
  <c r="R578" i="1" s="1"/>
  <c r="S578" i="1" s="1"/>
  <c r="Q579" i="1"/>
  <c r="Q580" i="1"/>
  <c r="Q581" i="1"/>
  <c r="Q582" i="1"/>
  <c r="Q583" i="1"/>
  <c r="Q584" i="1"/>
  <c r="Q585" i="1"/>
  <c r="Q586" i="1"/>
  <c r="Q587" i="1"/>
  <c r="Q588" i="1"/>
  <c r="Q589" i="1"/>
  <c r="Q590" i="1"/>
  <c r="Q591" i="1"/>
  <c r="Q592" i="1"/>
  <c r="Q593" i="1"/>
  <c r="Q594" i="1"/>
  <c r="R594" i="1" s="1"/>
  <c r="S594" i="1" s="1"/>
  <c r="Q595" i="1"/>
  <c r="Q596" i="1"/>
  <c r="Q597" i="1"/>
  <c r="Q598" i="1"/>
  <c r="Q599" i="1"/>
  <c r="Q600" i="1"/>
  <c r="Q601" i="1"/>
  <c r="Q602" i="1"/>
  <c r="Q603" i="1"/>
  <c r="Q604" i="1"/>
  <c r="Q605" i="1"/>
  <c r="Q606" i="1"/>
  <c r="Q607" i="1"/>
  <c r="Q608" i="1"/>
  <c r="Q609" i="1"/>
  <c r="Q610" i="1"/>
  <c r="R610" i="1" s="1"/>
  <c r="S610" i="1" s="1"/>
  <c r="Q611" i="1"/>
  <c r="Q612" i="1"/>
  <c r="Q613" i="1"/>
  <c r="Q614" i="1"/>
  <c r="Q615" i="1"/>
  <c r="Q616" i="1"/>
  <c r="Q617" i="1"/>
  <c r="Q618" i="1"/>
  <c r="Q619" i="1"/>
  <c r="Q620" i="1"/>
  <c r="Q621" i="1"/>
  <c r="Q622" i="1"/>
  <c r="Q623" i="1"/>
  <c r="Q624" i="1"/>
  <c r="Q625" i="1"/>
  <c r="Q626" i="1"/>
  <c r="R626" i="1" s="1"/>
  <c r="S626" i="1" s="1"/>
  <c r="Q627" i="1"/>
  <c r="Q628" i="1"/>
  <c r="Q629" i="1"/>
  <c r="Q630" i="1"/>
  <c r="Q631" i="1"/>
  <c r="Q632" i="1"/>
  <c r="Q633" i="1"/>
  <c r="Q634" i="1"/>
  <c r="Q635" i="1"/>
  <c r="Q636" i="1"/>
  <c r="Q637" i="1"/>
  <c r="Q638" i="1"/>
  <c r="Q639" i="1"/>
  <c r="Q640" i="1"/>
  <c r="Q641" i="1"/>
  <c r="Q642" i="1"/>
  <c r="R642" i="1" s="1"/>
  <c r="S642" i="1" s="1"/>
  <c r="Q643" i="1"/>
  <c r="Q644" i="1"/>
  <c r="Q645" i="1"/>
  <c r="Q646" i="1"/>
  <c r="Q647" i="1"/>
  <c r="Q648" i="1"/>
  <c r="Q649" i="1"/>
  <c r="Q650" i="1"/>
  <c r="Q651" i="1"/>
  <c r="Q652" i="1"/>
  <c r="Q653" i="1"/>
  <c r="Q654" i="1"/>
  <c r="Q655" i="1"/>
  <c r="Q656" i="1"/>
  <c r="Q657" i="1"/>
  <c r="Q658" i="1"/>
  <c r="R658" i="1" s="1"/>
  <c r="S658" i="1" s="1"/>
  <c r="Q659" i="1"/>
  <c r="Q660" i="1"/>
  <c r="Q661" i="1"/>
  <c r="Q662" i="1"/>
  <c r="Q663" i="1"/>
  <c r="Q664" i="1"/>
  <c r="Q665" i="1"/>
  <c r="Q666" i="1"/>
  <c r="Q667" i="1"/>
  <c r="Q668" i="1"/>
  <c r="Q669" i="1"/>
  <c r="Q670" i="1"/>
  <c r="Q671" i="1"/>
  <c r="Q672" i="1"/>
  <c r="Q673" i="1"/>
  <c r="Q674" i="1"/>
  <c r="R674" i="1" s="1"/>
  <c r="S674" i="1" s="1"/>
  <c r="Q675" i="1"/>
  <c r="Q676" i="1"/>
  <c r="Q677" i="1"/>
  <c r="Q678" i="1"/>
  <c r="Q679" i="1"/>
  <c r="Q680" i="1"/>
  <c r="Q681" i="1"/>
  <c r="Q682" i="1"/>
  <c r="Q683" i="1"/>
  <c r="Q684" i="1"/>
  <c r="Q685" i="1"/>
  <c r="Q686" i="1"/>
  <c r="Q687" i="1"/>
  <c r="Q688" i="1"/>
  <c r="Q689" i="1"/>
  <c r="Q690" i="1"/>
  <c r="R690" i="1" s="1"/>
  <c r="S690" i="1" s="1"/>
  <c r="Q691" i="1"/>
  <c r="Q692" i="1"/>
  <c r="Q693" i="1"/>
  <c r="Q694" i="1"/>
  <c r="Q695" i="1"/>
  <c r="Q696" i="1"/>
  <c r="Q697" i="1"/>
  <c r="Q698" i="1"/>
  <c r="Q699" i="1"/>
  <c r="Q700" i="1"/>
  <c r="Q701" i="1"/>
  <c r="Q702" i="1"/>
  <c r="Q703" i="1"/>
  <c r="Q704" i="1"/>
  <c r="Q705" i="1"/>
  <c r="Q706" i="1"/>
  <c r="R706" i="1" s="1"/>
  <c r="S706" i="1" s="1"/>
  <c r="Q707" i="1"/>
  <c r="Q708" i="1"/>
  <c r="Q709" i="1"/>
  <c r="Q710" i="1"/>
  <c r="Q711" i="1"/>
  <c r="Q712" i="1"/>
  <c r="Q713" i="1"/>
  <c r="Q714" i="1"/>
  <c r="Q715" i="1"/>
  <c r="Q716" i="1"/>
  <c r="Q717" i="1"/>
  <c r="Q718" i="1"/>
  <c r="Q719" i="1"/>
  <c r="Q720" i="1"/>
  <c r="Q721" i="1"/>
  <c r="Q722" i="1"/>
  <c r="R722" i="1" s="1"/>
  <c r="S722" i="1" s="1"/>
  <c r="Q723" i="1"/>
  <c r="Q724" i="1"/>
  <c r="Q725" i="1"/>
  <c r="Q726" i="1"/>
  <c r="Q727" i="1"/>
  <c r="Q728" i="1"/>
  <c r="Q729" i="1"/>
  <c r="Q730" i="1"/>
  <c r="R730" i="1" s="1"/>
  <c r="S730" i="1" s="1"/>
  <c r="Q731" i="1"/>
  <c r="Q732" i="1"/>
  <c r="Q733" i="1"/>
  <c r="Q734" i="1"/>
  <c r="Q735" i="1"/>
  <c r="Q736" i="1"/>
  <c r="Q737" i="1"/>
  <c r="Q738" i="1"/>
  <c r="R738" i="1" s="1"/>
  <c r="S738" i="1" s="1"/>
  <c r="Q739" i="1"/>
  <c r="Q740" i="1"/>
  <c r="Q741" i="1"/>
  <c r="Q742" i="1"/>
  <c r="Q743" i="1"/>
  <c r="Q744" i="1"/>
  <c r="Q745" i="1"/>
  <c r="Q746" i="1"/>
  <c r="Q747" i="1"/>
  <c r="Q748" i="1"/>
  <c r="Q749" i="1"/>
  <c r="Q750" i="1"/>
  <c r="Q751" i="1"/>
  <c r="Q752" i="1"/>
  <c r="Q753" i="1"/>
  <c r="Q754" i="1"/>
  <c r="R754" i="1" s="1"/>
  <c r="S754" i="1" s="1"/>
  <c r="Q755" i="1"/>
  <c r="Q756" i="1"/>
  <c r="Q757" i="1"/>
  <c r="Q758" i="1"/>
  <c r="Q759" i="1"/>
  <c r="Q760" i="1"/>
  <c r="Q761" i="1"/>
  <c r="Q762" i="1"/>
  <c r="Q763" i="1"/>
  <c r="Q764" i="1"/>
  <c r="Q765" i="1"/>
  <c r="Q766" i="1"/>
  <c r="Q767" i="1"/>
  <c r="Q768" i="1"/>
  <c r="Q769" i="1"/>
  <c r="Q770" i="1"/>
  <c r="R770" i="1" s="1"/>
  <c r="S770" i="1" s="1"/>
  <c r="Q771" i="1"/>
  <c r="Q772" i="1"/>
  <c r="Q773" i="1"/>
  <c r="Q774" i="1"/>
  <c r="Q775" i="1"/>
  <c r="Q776" i="1"/>
  <c r="Q777" i="1"/>
  <c r="Q778" i="1"/>
  <c r="Q779" i="1"/>
  <c r="Q780" i="1"/>
  <c r="Q781" i="1"/>
  <c r="Q782" i="1"/>
  <c r="Q783" i="1"/>
  <c r="Q784" i="1"/>
  <c r="Q785" i="1"/>
  <c r="Q786" i="1"/>
  <c r="R786" i="1" s="1"/>
  <c r="S786" i="1" s="1"/>
  <c r="Q787" i="1"/>
  <c r="Q788" i="1"/>
  <c r="Q789" i="1"/>
  <c r="Q790" i="1"/>
  <c r="Q791" i="1"/>
  <c r="Q792" i="1"/>
  <c r="Q793" i="1"/>
  <c r="Q794" i="1"/>
  <c r="Q795" i="1"/>
  <c r="Q796" i="1"/>
  <c r="Q797" i="1"/>
  <c r="Q798" i="1"/>
  <c r="Q799" i="1"/>
  <c r="Q800" i="1"/>
  <c r="Q801" i="1"/>
  <c r="Q802" i="1"/>
  <c r="R802" i="1" s="1"/>
  <c r="S802" i="1" s="1"/>
  <c r="Q803" i="1"/>
  <c r="Q804" i="1"/>
  <c r="Q805" i="1"/>
  <c r="Q806" i="1"/>
  <c r="Q807" i="1"/>
  <c r="Q808" i="1"/>
  <c r="Q809" i="1"/>
  <c r="Q810" i="1"/>
  <c r="Q811" i="1"/>
  <c r="Q812" i="1"/>
  <c r="Q813" i="1"/>
  <c r="Q814" i="1"/>
  <c r="Q815" i="1"/>
  <c r="Q816" i="1"/>
  <c r="Q817" i="1"/>
  <c r="Q818" i="1"/>
  <c r="R818" i="1" s="1"/>
  <c r="S818" i="1" s="1"/>
  <c r="Q819" i="1"/>
  <c r="Q820" i="1"/>
  <c r="Q821" i="1"/>
  <c r="Q822" i="1"/>
  <c r="Q823" i="1"/>
  <c r="Q824" i="1"/>
  <c r="Q825" i="1"/>
  <c r="Q826" i="1"/>
  <c r="Q827" i="1"/>
  <c r="Q828" i="1"/>
  <c r="Q829" i="1"/>
  <c r="Q830" i="1"/>
  <c r="Q831" i="1"/>
  <c r="Q832" i="1"/>
  <c r="Q833" i="1"/>
  <c r="Q834" i="1"/>
  <c r="R834" i="1" s="1"/>
  <c r="S834" i="1" s="1"/>
  <c r="Q835" i="1"/>
  <c r="Q836" i="1"/>
  <c r="Q837" i="1"/>
  <c r="Q838" i="1"/>
  <c r="Q839" i="1"/>
  <c r="Q840" i="1"/>
  <c r="Q841" i="1"/>
  <c r="Q842" i="1"/>
  <c r="Q843" i="1"/>
  <c r="Q844" i="1"/>
  <c r="Q845" i="1"/>
  <c r="Q846" i="1"/>
  <c r="Q847" i="1"/>
  <c r="Q848" i="1"/>
  <c r="Q849" i="1"/>
  <c r="Q850" i="1"/>
  <c r="R850" i="1" s="1"/>
  <c r="S850" i="1" s="1"/>
  <c r="Q851" i="1"/>
  <c r="Q852" i="1"/>
  <c r="Q853" i="1"/>
  <c r="Q854" i="1"/>
  <c r="Q855" i="1"/>
  <c r="Q856" i="1"/>
  <c r="Q857" i="1"/>
  <c r="Q858" i="1"/>
  <c r="Q859" i="1"/>
  <c r="Q860" i="1"/>
  <c r="Q861" i="1"/>
  <c r="Q862" i="1"/>
  <c r="Q863" i="1"/>
  <c r="Q864" i="1"/>
  <c r="Q865" i="1"/>
  <c r="Q866" i="1"/>
  <c r="R866" i="1" s="1"/>
  <c r="S866" i="1" s="1"/>
  <c r="Q867" i="1"/>
  <c r="Q868" i="1"/>
  <c r="Q869" i="1"/>
  <c r="Q870" i="1"/>
  <c r="Q871" i="1"/>
  <c r="Q872" i="1"/>
  <c r="Q873" i="1"/>
  <c r="Q874" i="1"/>
  <c r="Q875" i="1"/>
  <c r="Q876" i="1"/>
  <c r="Q877" i="1"/>
  <c r="Q878" i="1"/>
  <c r="Q879" i="1"/>
  <c r="Q880" i="1"/>
  <c r="Q881" i="1"/>
  <c r="Q882" i="1"/>
  <c r="R882" i="1" s="1"/>
  <c r="S882" i="1" s="1"/>
  <c r="Q883" i="1"/>
  <c r="Q884" i="1"/>
  <c r="Q885" i="1"/>
  <c r="Q886" i="1"/>
  <c r="Q887" i="1"/>
  <c r="Q888" i="1"/>
  <c r="Q889" i="1"/>
  <c r="Q890" i="1"/>
  <c r="Q891" i="1"/>
  <c r="Q892" i="1"/>
  <c r="Q893" i="1"/>
  <c r="Q894" i="1"/>
  <c r="Q895" i="1"/>
  <c r="Q896" i="1"/>
  <c r="Q897" i="1"/>
  <c r="Q898" i="1"/>
  <c r="R898" i="1" s="1"/>
  <c r="S898" i="1" s="1"/>
  <c r="Q899" i="1"/>
  <c r="Q900" i="1"/>
  <c r="Q901" i="1"/>
  <c r="Q902" i="1"/>
  <c r="Q903" i="1"/>
  <c r="Q904" i="1"/>
  <c r="Q905" i="1"/>
  <c r="Q906" i="1"/>
  <c r="Q907" i="1"/>
  <c r="Q908" i="1"/>
  <c r="Q909" i="1"/>
  <c r="Q910" i="1"/>
  <c r="Q911" i="1"/>
  <c r="Q912" i="1"/>
  <c r="Q913" i="1"/>
  <c r="Q914" i="1"/>
  <c r="R914" i="1" s="1"/>
  <c r="S914" i="1" s="1"/>
  <c r="Q915" i="1"/>
  <c r="Q916" i="1"/>
  <c r="Q917" i="1"/>
  <c r="Q918" i="1"/>
  <c r="Q919" i="1"/>
  <c r="Q920" i="1"/>
  <c r="Q921" i="1"/>
  <c r="Q922" i="1"/>
  <c r="Q923" i="1"/>
  <c r="Q924" i="1"/>
  <c r="Q925" i="1"/>
  <c r="Q926" i="1"/>
  <c r="Q927" i="1"/>
  <c r="Q928" i="1"/>
  <c r="Q929" i="1"/>
  <c r="Q930" i="1"/>
  <c r="R930" i="1" s="1"/>
  <c r="S930" i="1" s="1"/>
  <c r="Q931" i="1"/>
  <c r="Q932" i="1"/>
  <c r="Q933" i="1"/>
  <c r="Q934" i="1"/>
  <c r="Q935" i="1"/>
  <c r="Q936" i="1"/>
  <c r="Q937" i="1"/>
  <c r="Q938" i="1"/>
  <c r="Q939" i="1"/>
  <c r="Q940" i="1"/>
  <c r="Q941" i="1"/>
  <c r="Q942" i="1"/>
  <c r="Q943" i="1"/>
  <c r="Q944" i="1"/>
  <c r="Q945" i="1"/>
  <c r="Q946" i="1"/>
  <c r="R946" i="1" s="1"/>
  <c r="S946" i="1" s="1"/>
  <c r="Q947" i="1"/>
  <c r="Q948" i="1"/>
  <c r="Q949" i="1"/>
  <c r="Q950" i="1"/>
  <c r="Q951" i="1"/>
  <c r="Q952" i="1"/>
  <c r="Q953" i="1"/>
  <c r="Q954" i="1"/>
  <c r="Q955" i="1"/>
  <c r="Q956" i="1"/>
  <c r="Q957" i="1"/>
  <c r="Q958" i="1"/>
  <c r="Q959" i="1"/>
  <c r="Q960" i="1"/>
  <c r="Q961" i="1"/>
  <c r="Q962" i="1"/>
  <c r="R962" i="1" s="1"/>
  <c r="S962" i="1" s="1"/>
  <c r="Q963" i="1"/>
  <c r="Q964" i="1"/>
  <c r="Q965" i="1"/>
  <c r="Q966" i="1"/>
  <c r="Q967" i="1"/>
  <c r="Q968" i="1"/>
  <c r="Q969" i="1"/>
  <c r="Q970" i="1"/>
  <c r="Q971" i="1"/>
  <c r="Q972" i="1"/>
  <c r="Q973" i="1"/>
  <c r="Q974" i="1"/>
  <c r="Q975" i="1"/>
  <c r="Q976" i="1"/>
  <c r="Q977" i="1"/>
  <c r="Q978" i="1"/>
  <c r="R978" i="1" s="1"/>
  <c r="S978" i="1" s="1"/>
  <c r="Q979" i="1"/>
  <c r="Q980" i="1"/>
  <c r="Q981" i="1"/>
  <c r="Q982" i="1"/>
  <c r="R982" i="1" s="1"/>
  <c r="S982" i="1" s="1"/>
  <c r="Q983" i="1"/>
  <c r="Q984" i="1"/>
  <c r="Q985" i="1"/>
  <c r="Q986" i="1"/>
  <c r="Q987" i="1"/>
  <c r="Q988" i="1"/>
  <c r="Q989" i="1"/>
  <c r="Q990" i="1"/>
  <c r="Q991" i="1"/>
  <c r="Q992" i="1"/>
  <c r="Q993" i="1"/>
  <c r="Q994" i="1"/>
  <c r="R994" i="1" s="1"/>
  <c r="S994" i="1" s="1"/>
  <c r="Q995" i="1"/>
  <c r="Q996" i="1"/>
  <c r="Q997" i="1"/>
  <c r="Q998" i="1"/>
  <c r="Q999" i="1"/>
  <c r="Q1000" i="1"/>
  <c r="Q1001" i="1"/>
  <c r="Q1002" i="1"/>
  <c r="Q1003" i="1"/>
  <c r="Q1004" i="1"/>
  <c r="Q1005" i="1"/>
  <c r="Q1006" i="1"/>
  <c r="Q1007" i="1"/>
  <c r="Q1008" i="1"/>
  <c r="Q1009" i="1"/>
  <c r="Q1010" i="1"/>
  <c r="R1010" i="1" s="1"/>
  <c r="S1010" i="1" s="1"/>
  <c r="Q1011" i="1"/>
  <c r="Q1012" i="1"/>
  <c r="Q1013" i="1"/>
  <c r="Q1014" i="1"/>
  <c r="Q1015" i="1"/>
  <c r="Q1016" i="1"/>
  <c r="Q1017" i="1"/>
  <c r="Q1018" i="1"/>
  <c r="Q1019" i="1"/>
  <c r="Q1020" i="1"/>
  <c r="Q1021" i="1"/>
  <c r="Q1022" i="1"/>
  <c r="Q1023" i="1"/>
  <c r="Q1024" i="1"/>
  <c r="Q1025" i="1"/>
  <c r="Q1026" i="1"/>
  <c r="R1026" i="1" s="1"/>
  <c r="S1026" i="1" s="1"/>
  <c r="Q1027" i="1"/>
  <c r="Q1028" i="1"/>
  <c r="Q1029" i="1"/>
  <c r="Q1030" i="1"/>
  <c r="Q1031" i="1"/>
  <c r="Q1032" i="1"/>
  <c r="Q1033" i="1"/>
  <c r="Q1034" i="1"/>
  <c r="Q1035" i="1"/>
  <c r="Q1036" i="1"/>
  <c r="Q1037" i="1"/>
  <c r="Q1038" i="1"/>
  <c r="Q1039" i="1"/>
  <c r="Q1040" i="1"/>
  <c r="Q1041" i="1"/>
  <c r="Q1042" i="1"/>
  <c r="R1042" i="1" s="1"/>
  <c r="S1042" i="1" s="1"/>
  <c r="Q1043" i="1"/>
  <c r="Q1044" i="1"/>
  <c r="Q1045" i="1"/>
  <c r="Q1046" i="1"/>
  <c r="Q1047" i="1"/>
  <c r="Q1048" i="1"/>
  <c r="Q1049" i="1"/>
  <c r="Q1050" i="1"/>
  <c r="R1050" i="1" s="1"/>
  <c r="S1050" i="1" s="1"/>
  <c r="Q1051" i="1"/>
  <c r="Q1052" i="1"/>
  <c r="Q1053" i="1"/>
  <c r="Q1054" i="1"/>
  <c r="Q1055" i="1"/>
  <c r="Q1056" i="1"/>
  <c r="Q1057" i="1"/>
  <c r="Q1058" i="1"/>
  <c r="R1058" i="1" s="1"/>
  <c r="S1058" i="1" s="1"/>
  <c r="Q1059" i="1"/>
  <c r="Q1060" i="1"/>
  <c r="Q1061" i="1"/>
  <c r="Q1062" i="1"/>
  <c r="Q1063" i="1"/>
  <c r="Q1064" i="1"/>
  <c r="Q1065" i="1"/>
  <c r="Q1066" i="1"/>
  <c r="Q1067" i="1"/>
  <c r="Q1068" i="1"/>
  <c r="Q1069" i="1"/>
  <c r="Q1070" i="1"/>
  <c r="Q1071" i="1"/>
  <c r="Q1072" i="1"/>
  <c r="Q1073" i="1"/>
  <c r="Q1074" i="1"/>
  <c r="R1074" i="1" s="1"/>
  <c r="S1074" i="1" s="1"/>
  <c r="Q1075" i="1"/>
  <c r="Q1076" i="1"/>
  <c r="Q1077" i="1"/>
  <c r="Q1078" i="1"/>
  <c r="Q1079" i="1"/>
  <c r="Q1080" i="1"/>
  <c r="Q1081" i="1"/>
  <c r="Q1082" i="1"/>
  <c r="Q1083" i="1"/>
  <c r="Q1084" i="1"/>
  <c r="Q1085" i="1"/>
  <c r="Q1086" i="1"/>
  <c r="Q1087" i="1"/>
  <c r="Q1088" i="1"/>
  <c r="Q1089" i="1"/>
  <c r="Q1090" i="1"/>
  <c r="R1090" i="1" s="1"/>
  <c r="S1090" i="1" s="1"/>
  <c r="Q1091" i="1"/>
  <c r="Q1092" i="1"/>
  <c r="Q1093" i="1"/>
  <c r="Q1094" i="1"/>
  <c r="Q1095" i="1"/>
  <c r="Q1096" i="1"/>
  <c r="Q1097" i="1"/>
  <c r="Q1098" i="1"/>
  <c r="Q1099" i="1"/>
  <c r="Q1100" i="1"/>
  <c r="Q1101" i="1"/>
  <c r="Q1102" i="1"/>
  <c r="Q1103" i="1"/>
  <c r="Q1104" i="1"/>
  <c r="Q1105" i="1"/>
  <c r="Q1106" i="1"/>
  <c r="R1106" i="1" s="1"/>
  <c r="S1106" i="1" s="1"/>
  <c r="Q1107" i="1"/>
  <c r="Q1108" i="1"/>
  <c r="Q1109" i="1"/>
  <c r="Q1110" i="1"/>
  <c r="Q1111" i="1"/>
  <c r="Q1112" i="1"/>
  <c r="Q1113" i="1"/>
  <c r="Q1114" i="1"/>
  <c r="Q1115" i="1"/>
  <c r="Q1116" i="1"/>
  <c r="Q1117" i="1"/>
  <c r="Q1118" i="1"/>
  <c r="Q1119" i="1"/>
  <c r="Q1120" i="1"/>
  <c r="Q1121" i="1"/>
  <c r="Q1122" i="1"/>
  <c r="R1122" i="1" s="1"/>
  <c r="S1122" i="1" s="1"/>
  <c r="Q1123" i="1"/>
  <c r="Q1124" i="1"/>
  <c r="Q1125" i="1"/>
  <c r="Q1126" i="1"/>
  <c r="Q1127" i="1"/>
  <c r="Q1128" i="1"/>
  <c r="Q1129" i="1"/>
  <c r="Q1130" i="1"/>
  <c r="Q1131" i="1"/>
  <c r="Q1132" i="1"/>
  <c r="Q1133" i="1"/>
  <c r="Q1134" i="1"/>
  <c r="Q1135" i="1"/>
  <c r="Q1136" i="1"/>
  <c r="Q1137" i="1"/>
  <c r="Q1138" i="1"/>
  <c r="R1138" i="1" s="1"/>
  <c r="S1138" i="1" s="1"/>
  <c r="Q1139" i="1"/>
  <c r="Q1140" i="1"/>
  <c r="Q1141" i="1"/>
  <c r="Q1142" i="1"/>
  <c r="Q1143" i="1"/>
  <c r="Q1144" i="1"/>
  <c r="Q1145" i="1"/>
  <c r="Q1146" i="1"/>
  <c r="Q1147" i="1"/>
  <c r="Q1148" i="1"/>
  <c r="Q1149" i="1"/>
  <c r="Q1150" i="1"/>
  <c r="Q1151" i="1"/>
  <c r="Q1152" i="1"/>
  <c r="Q1153" i="1"/>
  <c r="Q1154" i="1"/>
  <c r="R1154" i="1" s="1"/>
  <c r="S1154" i="1" s="1"/>
  <c r="Q1155" i="1"/>
  <c r="Q1156" i="1"/>
  <c r="Q1157" i="1"/>
  <c r="Q1158" i="1"/>
  <c r="Q1159" i="1"/>
  <c r="Q1160" i="1"/>
  <c r="Q1161" i="1"/>
  <c r="Q1162" i="1"/>
  <c r="Q1163" i="1"/>
  <c r="Q1164" i="1"/>
  <c r="Q1165" i="1"/>
  <c r="Q1166" i="1"/>
  <c r="Q1167" i="1"/>
  <c r="Q1168" i="1"/>
  <c r="Q1169" i="1"/>
  <c r="Q1170" i="1"/>
  <c r="R1170" i="1" s="1"/>
  <c r="S1170" i="1" s="1"/>
  <c r="Q1171" i="1"/>
  <c r="Q1172" i="1"/>
  <c r="Q1173" i="1"/>
  <c r="Q1174" i="1"/>
  <c r="Q1175" i="1"/>
  <c r="Q1176" i="1"/>
  <c r="Q1177" i="1"/>
  <c r="Q1178" i="1"/>
  <c r="Q1179" i="1"/>
  <c r="Q1180" i="1"/>
  <c r="Q1181" i="1"/>
  <c r="Q1182" i="1"/>
  <c r="Q1183" i="1"/>
  <c r="Q1184" i="1"/>
  <c r="Q1185" i="1"/>
  <c r="Q1186" i="1"/>
  <c r="R1186" i="1" s="1"/>
  <c r="S1186" i="1" s="1"/>
  <c r="Q1187" i="1"/>
  <c r="Q1188" i="1"/>
  <c r="Q1189" i="1"/>
  <c r="Q1190" i="1"/>
  <c r="Q1191" i="1"/>
  <c r="Q1192" i="1"/>
  <c r="Q1193" i="1"/>
  <c r="Q1194" i="1"/>
  <c r="Q1195" i="1"/>
  <c r="Q1196" i="1"/>
  <c r="Q1197" i="1"/>
  <c r="Q1198" i="1"/>
  <c r="Q1199" i="1"/>
  <c r="Q1200" i="1"/>
  <c r="Q1201" i="1"/>
  <c r="Q1202" i="1"/>
  <c r="R1202" i="1" s="1"/>
  <c r="S1202" i="1" s="1"/>
  <c r="Q1203" i="1"/>
  <c r="Q1204" i="1"/>
  <c r="Q1205" i="1"/>
  <c r="Q1206" i="1"/>
  <c r="Q1207" i="1"/>
  <c r="Q1208" i="1"/>
  <c r="Q1209" i="1"/>
  <c r="Q1210" i="1"/>
  <c r="Q1211" i="1"/>
  <c r="Q1212" i="1"/>
  <c r="Q1213" i="1"/>
  <c r="Q1214" i="1"/>
  <c r="Q1215" i="1"/>
  <c r="Q1216" i="1"/>
  <c r="Q1217" i="1"/>
  <c r="Q1218" i="1"/>
  <c r="R1218" i="1" s="1"/>
  <c r="S1218" i="1" s="1"/>
  <c r="Q1219" i="1"/>
  <c r="Q1220" i="1"/>
  <c r="Q1221" i="1"/>
  <c r="Q1222" i="1"/>
  <c r="Q1223" i="1"/>
  <c r="Q1224" i="1"/>
  <c r="Q1225" i="1"/>
  <c r="Q1226" i="1"/>
  <c r="Q1227" i="1"/>
  <c r="Q1228" i="1"/>
  <c r="Q1229" i="1"/>
  <c r="Q1230" i="1"/>
  <c r="Q1231" i="1"/>
  <c r="Q1232" i="1"/>
  <c r="Q1233" i="1"/>
  <c r="Q1234" i="1"/>
  <c r="R1234" i="1" s="1"/>
  <c r="S1234" i="1" s="1"/>
  <c r="Q1235" i="1"/>
  <c r="Q1236" i="1"/>
  <c r="Q1237" i="1"/>
  <c r="Q1238" i="1"/>
  <c r="Q1239" i="1"/>
  <c r="Q1240" i="1"/>
  <c r="Q1241" i="1"/>
  <c r="Q1242" i="1"/>
  <c r="Q1243" i="1"/>
  <c r="Q1244" i="1"/>
  <c r="Q1245" i="1"/>
  <c r="Q1246" i="1"/>
  <c r="Q1247" i="1"/>
  <c r="Q1248" i="1"/>
  <c r="Q1249" i="1"/>
  <c r="Q1250" i="1"/>
  <c r="R1250" i="1" s="1"/>
  <c r="S1250" i="1" s="1"/>
  <c r="Q1251" i="1"/>
  <c r="Q1252" i="1"/>
  <c r="Q1253" i="1"/>
  <c r="Q1254" i="1"/>
  <c r="Q1255" i="1"/>
  <c r="Q1256" i="1"/>
  <c r="Q1257" i="1"/>
  <c r="Q1258" i="1"/>
  <c r="Q1259" i="1"/>
  <c r="Q1260" i="1"/>
  <c r="Q1261" i="1"/>
  <c r="Q1262" i="1"/>
  <c r="Q1263" i="1"/>
  <c r="Q1264" i="1"/>
  <c r="Q1265" i="1"/>
  <c r="Q1266" i="1"/>
  <c r="R1266" i="1" s="1"/>
  <c r="S1266" i="1" s="1"/>
  <c r="Q1267" i="1"/>
  <c r="Q1268" i="1"/>
  <c r="Q1269" i="1"/>
  <c r="Q1270" i="1"/>
  <c r="R1270" i="1" s="1"/>
  <c r="S1270" i="1" s="1"/>
  <c r="Q1271" i="1"/>
  <c r="Q1272" i="1"/>
  <c r="Q1273" i="1"/>
  <c r="Q1274" i="1"/>
  <c r="Q1275" i="1"/>
  <c r="Q1276" i="1"/>
  <c r="Q1277" i="1"/>
  <c r="Q1278" i="1"/>
  <c r="Q1279" i="1"/>
  <c r="Q1280" i="1"/>
  <c r="Q1281" i="1"/>
  <c r="Q1282" i="1"/>
  <c r="R1282" i="1" s="1"/>
  <c r="S1282" i="1" s="1"/>
  <c r="Q1283" i="1"/>
  <c r="Q1284" i="1"/>
  <c r="Q1285" i="1"/>
  <c r="Q1286" i="1"/>
  <c r="R1286" i="1" s="1"/>
  <c r="S1286" i="1" s="1"/>
  <c r="Q1287" i="1"/>
  <c r="Q1288" i="1"/>
  <c r="Q1289" i="1"/>
  <c r="Q1290" i="1"/>
  <c r="Q1291" i="1"/>
  <c r="Q1292" i="1"/>
  <c r="Q1293" i="1"/>
  <c r="R1293" i="1" s="1"/>
  <c r="S1293" i="1" s="1"/>
  <c r="Q1294" i="1"/>
  <c r="Q1295" i="1"/>
  <c r="Q1296" i="1"/>
  <c r="Q1297" i="1"/>
  <c r="Q1298" i="1"/>
  <c r="R1298" i="1" s="1"/>
  <c r="S1298" i="1" s="1"/>
  <c r="Q1299" i="1"/>
  <c r="Q1300" i="1"/>
  <c r="Q1301" i="1"/>
  <c r="Q1302" i="1"/>
  <c r="R1302" i="1" s="1"/>
  <c r="S1302" i="1" s="1"/>
  <c r="Q1303" i="1"/>
  <c r="Q1304" i="1"/>
  <c r="Q1305" i="1"/>
  <c r="Q1306" i="1"/>
  <c r="Q1307" i="1"/>
  <c r="Q1308" i="1"/>
  <c r="Q1309" i="1"/>
  <c r="R1309" i="1" s="1"/>
  <c r="S1309" i="1" s="1"/>
  <c r="Q1310" i="1"/>
  <c r="Q1311" i="1"/>
  <c r="Q1312" i="1"/>
  <c r="Q1313" i="1"/>
  <c r="Q1314" i="1"/>
  <c r="R1314" i="1" s="1"/>
  <c r="S1314" i="1" s="1"/>
  <c r="Q1315" i="1"/>
  <c r="Q1316" i="1"/>
  <c r="Q1317" i="1"/>
  <c r="Q1318" i="1"/>
  <c r="R1318" i="1" s="1"/>
  <c r="S1318" i="1" s="1"/>
  <c r="Q1319" i="1"/>
  <c r="Q1320" i="1"/>
  <c r="Q1321" i="1"/>
  <c r="Q1322" i="1"/>
  <c r="Q1323" i="1"/>
  <c r="Q1324" i="1"/>
  <c r="Q1325" i="1"/>
  <c r="R1325" i="1" s="1"/>
  <c r="S1325" i="1" s="1"/>
  <c r="Q1326" i="1"/>
  <c r="Q1327" i="1"/>
  <c r="Q1328" i="1"/>
  <c r="Q1329" i="1"/>
  <c r="Q1330" i="1"/>
  <c r="R1330" i="1" s="1"/>
  <c r="S1330" i="1" s="1"/>
  <c r="Q1331" i="1"/>
  <c r="Q1332" i="1"/>
  <c r="Q1333" i="1"/>
  <c r="Q1334" i="1"/>
  <c r="R1334" i="1" s="1"/>
  <c r="S1334" i="1" s="1"/>
  <c r="Q1335" i="1"/>
  <c r="Q1336" i="1"/>
  <c r="Q1337" i="1"/>
  <c r="Q1338" i="1"/>
  <c r="Q1339" i="1"/>
  <c r="Q1340" i="1"/>
  <c r="Q1341" i="1"/>
  <c r="R1341" i="1" s="1"/>
  <c r="S1341" i="1" s="1"/>
  <c r="Q1342" i="1"/>
  <c r="Q1343" i="1"/>
  <c r="Q1344" i="1"/>
  <c r="Q1345" i="1"/>
  <c r="Q1346" i="1"/>
  <c r="R1346" i="1" s="1"/>
  <c r="S1346" i="1" s="1"/>
  <c r="Q1347" i="1"/>
  <c r="Q1348" i="1"/>
  <c r="Q1349" i="1"/>
  <c r="Q1350" i="1"/>
  <c r="R1350" i="1" s="1"/>
  <c r="S1350" i="1" s="1"/>
  <c r="Q1351" i="1"/>
  <c r="Q1352" i="1"/>
  <c r="Q1353" i="1"/>
  <c r="Q1354" i="1"/>
  <c r="Q1355" i="1"/>
  <c r="Q1356" i="1"/>
  <c r="Q1357" i="1"/>
  <c r="R1357" i="1" s="1"/>
  <c r="S1357" i="1" s="1"/>
  <c r="Q1358" i="1"/>
  <c r="Q1359" i="1"/>
  <c r="Q1360" i="1"/>
  <c r="Q1361" i="1"/>
  <c r="Q1362" i="1"/>
  <c r="R1362" i="1" s="1"/>
  <c r="S1362" i="1" s="1"/>
  <c r="Q1363" i="1"/>
  <c r="Q1364" i="1"/>
  <c r="Q1365" i="1"/>
  <c r="Q1366" i="1"/>
  <c r="R1366" i="1" s="1"/>
  <c r="S1366" i="1" s="1"/>
  <c r="Q1367" i="1"/>
  <c r="Q1368" i="1"/>
  <c r="Q1369" i="1"/>
  <c r="Q1370" i="1"/>
  <c r="Q1371" i="1"/>
  <c r="Q1372" i="1"/>
  <c r="Q1373" i="1"/>
  <c r="R1373" i="1" s="1"/>
  <c r="S1373" i="1" s="1"/>
  <c r="Q1374" i="1"/>
  <c r="Q1375" i="1"/>
  <c r="Q1376" i="1"/>
  <c r="Q1377" i="1"/>
  <c r="Q1378" i="1"/>
  <c r="R1378" i="1" s="1"/>
  <c r="S1378" i="1" s="1"/>
  <c r="Q1379" i="1"/>
  <c r="Q1380" i="1"/>
  <c r="Q1381" i="1"/>
  <c r="Q1382" i="1"/>
  <c r="R1382" i="1" s="1"/>
  <c r="S1382" i="1" s="1"/>
  <c r="Q1383" i="1"/>
  <c r="Q1384" i="1"/>
  <c r="Q1385" i="1"/>
  <c r="Q1386" i="1"/>
  <c r="Q1387" i="1"/>
  <c r="Q1388" i="1"/>
  <c r="Q1389" i="1"/>
  <c r="R1389" i="1" s="1"/>
  <c r="S1389" i="1" s="1"/>
  <c r="Q1390" i="1"/>
  <c r="Q1391" i="1"/>
  <c r="Q1392" i="1"/>
  <c r="Q1393" i="1"/>
  <c r="Q1394" i="1"/>
  <c r="R1394" i="1" s="1"/>
  <c r="S1394" i="1" s="1"/>
  <c r="Q1395" i="1"/>
  <c r="Q1396" i="1"/>
  <c r="Q1397" i="1"/>
  <c r="Q1398" i="1"/>
  <c r="R1398" i="1" s="1"/>
  <c r="S1398" i="1" s="1"/>
  <c r="Q1399" i="1"/>
  <c r="Q1400" i="1"/>
  <c r="Q1401" i="1"/>
  <c r="Q1402" i="1"/>
  <c r="Q1403" i="1"/>
  <c r="Q1404" i="1"/>
  <c r="Q1405" i="1"/>
  <c r="R1405" i="1" s="1"/>
  <c r="S1405" i="1" s="1"/>
  <c r="Q1406" i="1"/>
  <c r="Q1407" i="1"/>
  <c r="Q1408" i="1"/>
  <c r="Q1409" i="1"/>
  <c r="Q1410" i="1"/>
  <c r="R1410" i="1" s="1"/>
  <c r="S1410" i="1" s="1"/>
  <c r="Q1411" i="1"/>
  <c r="Q1412" i="1"/>
  <c r="Q1413" i="1"/>
  <c r="Q1414" i="1"/>
  <c r="R1414" i="1" s="1"/>
  <c r="S1414" i="1" s="1"/>
  <c r="Q1415" i="1"/>
  <c r="Q1416" i="1"/>
  <c r="Q1417" i="1"/>
  <c r="Q1418" i="1"/>
  <c r="Q1419" i="1"/>
  <c r="Q1420" i="1"/>
  <c r="Q1421" i="1"/>
  <c r="R1421" i="1" s="1"/>
  <c r="S1421" i="1" s="1"/>
  <c r="Q1422" i="1"/>
  <c r="Q1423" i="1"/>
  <c r="Q1424" i="1"/>
  <c r="Q1425" i="1"/>
  <c r="Q1426" i="1"/>
  <c r="R1426" i="1" s="1"/>
  <c r="S1426" i="1" s="1"/>
  <c r="Q1427" i="1"/>
  <c r="Q1428" i="1"/>
  <c r="Q1429" i="1"/>
  <c r="Q1430" i="1"/>
  <c r="R1430" i="1" s="1"/>
  <c r="S1430" i="1" s="1"/>
  <c r="Q1431" i="1"/>
  <c r="Q1432" i="1"/>
  <c r="Q1433" i="1"/>
  <c r="Q1434" i="1"/>
  <c r="Q1435" i="1"/>
  <c r="Q1436" i="1"/>
  <c r="Q1437" i="1"/>
  <c r="R1437" i="1" s="1"/>
  <c r="S1437" i="1" s="1"/>
  <c r="Q1438" i="1"/>
  <c r="Q1439" i="1"/>
  <c r="Q1440" i="1"/>
  <c r="Q1441" i="1"/>
  <c r="Q1442" i="1"/>
  <c r="R1442" i="1" s="1"/>
  <c r="S1442" i="1" s="1"/>
  <c r="Q1443" i="1"/>
  <c r="Q1444" i="1"/>
  <c r="Q1445" i="1"/>
  <c r="Q1446" i="1"/>
  <c r="R1446" i="1" s="1"/>
  <c r="S1446" i="1" s="1"/>
  <c r="Q1447" i="1"/>
  <c r="Q1448" i="1"/>
  <c r="Q1449" i="1"/>
  <c r="Q1450" i="1"/>
  <c r="Q1451" i="1"/>
  <c r="Q1452" i="1"/>
  <c r="Q1453" i="1"/>
  <c r="R1453" i="1" s="1"/>
  <c r="S1453" i="1" s="1"/>
  <c r="Q1454" i="1"/>
  <c r="Q1455" i="1"/>
  <c r="Q1456" i="1"/>
  <c r="Q1457" i="1"/>
  <c r="Q1458" i="1"/>
  <c r="R1458" i="1" s="1"/>
  <c r="S1458" i="1" s="1"/>
  <c r="Q1459" i="1"/>
  <c r="Q1460" i="1"/>
  <c r="Q1461" i="1"/>
  <c r="Q1462" i="1"/>
  <c r="R1462" i="1" s="1"/>
  <c r="S1462" i="1" s="1"/>
  <c r="Q1463" i="1"/>
  <c r="Q1464" i="1"/>
  <c r="Q1465" i="1"/>
  <c r="Q1466" i="1"/>
  <c r="Q1467" i="1"/>
  <c r="Q1468" i="1"/>
  <c r="Q1469" i="1"/>
  <c r="R1469" i="1" s="1"/>
  <c r="S1469" i="1" s="1"/>
  <c r="Q1470" i="1"/>
  <c r="Q1471" i="1"/>
  <c r="Q1472" i="1"/>
  <c r="Q1473" i="1"/>
  <c r="Q1474" i="1"/>
  <c r="R1474" i="1" s="1"/>
  <c r="S1474" i="1" s="1"/>
  <c r="Q1475" i="1"/>
  <c r="Q1476" i="1"/>
  <c r="Q1477" i="1"/>
  <c r="Q1478" i="1"/>
  <c r="R1478" i="1" s="1"/>
  <c r="S1478" i="1" s="1"/>
  <c r="Q1479" i="1"/>
  <c r="Q1480" i="1"/>
  <c r="Q1481" i="1"/>
  <c r="Q1482" i="1"/>
  <c r="Q1483" i="1"/>
  <c r="Q1484" i="1"/>
  <c r="Q1485" i="1"/>
  <c r="R1485" i="1" s="1"/>
  <c r="S1485" i="1" s="1"/>
  <c r="Q1486" i="1"/>
  <c r="Q1487" i="1"/>
  <c r="Q1488" i="1"/>
  <c r="Q1489" i="1"/>
  <c r="Q1490" i="1"/>
  <c r="R1490" i="1" s="1"/>
  <c r="S1490" i="1" s="1"/>
  <c r="Q1491" i="1"/>
  <c r="Q1492" i="1"/>
  <c r="Q1493" i="1"/>
  <c r="Q1494" i="1"/>
  <c r="R1494" i="1" s="1"/>
  <c r="S1494" i="1" s="1"/>
  <c r="Q1495" i="1"/>
  <c r="Q1496" i="1"/>
  <c r="Q1497" i="1"/>
  <c r="Q1498" i="1"/>
  <c r="Q1499" i="1"/>
  <c r="Q1500" i="1"/>
  <c r="Q1501" i="1"/>
  <c r="R1501" i="1" s="1"/>
  <c r="S1501" i="1" s="1"/>
  <c r="Q1502" i="1"/>
  <c r="Q1503" i="1"/>
  <c r="Q1504" i="1"/>
  <c r="Q1505" i="1"/>
  <c r="Q1506" i="1"/>
  <c r="R1506" i="1" s="1"/>
  <c r="S1506" i="1" s="1"/>
  <c r="Q1507" i="1"/>
  <c r="Q1508" i="1"/>
  <c r="Q1509" i="1"/>
  <c r="Q1510" i="1"/>
  <c r="R1510" i="1" s="1"/>
  <c r="S1510" i="1" s="1"/>
  <c r="Q1511" i="1"/>
  <c r="Q1512" i="1"/>
  <c r="Q1513" i="1"/>
  <c r="Q1514" i="1"/>
  <c r="Q1515" i="1"/>
  <c r="Q1516" i="1"/>
  <c r="Q1517" i="1"/>
  <c r="R1517" i="1" s="1"/>
  <c r="S1517" i="1" s="1"/>
  <c r="Q1518" i="1"/>
  <c r="Q1519" i="1"/>
  <c r="Q1520" i="1"/>
  <c r="Q1521" i="1"/>
  <c r="Q1522" i="1"/>
  <c r="R1522" i="1" s="1"/>
  <c r="S1522" i="1" s="1"/>
  <c r="Q1523" i="1"/>
  <c r="Q1524" i="1"/>
  <c r="Q1525" i="1"/>
  <c r="Q1526" i="1"/>
  <c r="R1526" i="1" s="1"/>
  <c r="S1526" i="1" s="1"/>
  <c r="Q1527" i="1"/>
  <c r="Q1528" i="1"/>
  <c r="Q1529" i="1"/>
  <c r="Q1530" i="1"/>
  <c r="Q1531" i="1"/>
  <c r="Q1532" i="1"/>
  <c r="Q1533" i="1"/>
  <c r="R1533" i="1" s="1"/>
  <c r="S1533" i="1" s="1"/>
  <c r="Q1534" i="1"/>
  <c r="Q1535" i="1"/>
  <c r="Q1536" i="1"/>
  <c r="Q1537" i="1"/>
  <c r="Q1538" i="1"/>
  <c r="R1538" i="1" s="1"/>
  <c r="S1538" i="1" s="1"/>
  <c r="Q1539" i="1"/>
  <c r="Q1540" i="1"/>
  <c r="Q1541" i="1"/>
  <c r="Q1542" i="1"/>
  <c r="R1542" i="1" s="1"/>
  <c r="S1542" i="1" s="1"/>
  <c r="Q1543" i="1"/>
  <c r="Q1544" i="1"/>
  <c r="Q1545" i="1"/>
  <c r="Q1546" i="1"/>
  <c r="Q1547" i="1"/>
  <c r="Q1548" i="1"/>
  <c r="Q1549" i="1"/>
  <c r="R1549" i="1" s="1"/>
  <c r="S1549" i="1" s="1"/>
  <c r="Q1550" i="1"/>
  <c r="Q1551" i="1"/>
  <c r="Q1552" i="1"/>
  <c r="Q1553" i="1"/>
  <c r="Q1554" i="1"/>
  <c r="R1554" i="1" s="1"/>
  <c r="S1554" i="1" s="1"/>
  <c r="Q1555" i="1"/>
  <c r="Q1556" i="1"/>
  <c r="Q1557" i="1"/>
  <c r="Q1558" i="1"/>
  <c r="R1558" i="1" s="1"/>
  <c r="S1558" i="1" s="1"/>
  <c r="Q1559" i="1"/>
  <c r="Q1560" i="1"/>
  <c r="Q1561" i="1"/>
  <c r="Q1562" i="1"/>
  <c r="Q1563" i="1"/>
  <c r="Q1564" i="1"/>
  <c r="Q1565" i="1"/>
  <c r="R1565" i="1" s="1"/>
  <c r="S1565" i="1" s="1"/>
  <c r="Q1566" i="1"/>
  <c r="Q1567" i="1"/>
  <c r="Q1568" i="1"/>
  <c r="Q1569" i="1"/>
  <c r="Q1570" i="1"/>
  <c r="R1570" i="1" s="1"/>
  <c r="S1570" i="1" s="1"/>
  <c r="Q1571" i="1"/>
  <c r="Q1572" i="1"/>
  <c r="Q1573" i="1"/>
  <c r="Q1574" i="1"/>
  <c r="R1574" i="1" s="1"/>
  <c r="S1574" i="1" s="1"/>
  <c r="Q1575" i="1"/>
  <c r="Q1576" i="1"/>
  <c r="Q1577" i="1"/>
  <c r="Q1578" i="1"/>
  <c r="R1578" i="1" s="1"/>
  <c r="S1578" i="1" s="1"/>
  <c r="Q1579" i="1"/>
  <c r="Q1580" i="1"/>
  <c r="Q1581" i="1"/>
  <c r="R1581" i="1" s="1"/>
  <c r="S1581" i="1" s="1"/>
  <c r="Q1582" i="1"/>
  <c r="Q1583" i="1"/>
  <c r="Q1584" i="1"/>
  <c r="Q1585" i="1"/>
  <c r="Q1586" i="1"/>
  <c r="R1586" i="1" s="1"/>
  <c r="S1586" i="1" s="1"/>
  <c r="Q1587" i="1"/>
  <c r="Q1588" i="1"/>
  <c r="Q1589" i="1"/>
  <c r="Q1590" i="1"/>
  <c r="R1590" i="1" s="1"/>
  <c r="S1590" i="1" s="1"/>
  <c r="Q1591" i="1"/>
  <c r="Q1592" i="1"/>
  <c r="Q1593" i="1"/>
  <c r="Q1594" i="1"/>
  <c r="Q1595" i="1"/>
  <c r="Q1596" i="1"/>
  <c r="Q1597" i="1"/>
  <c r="R1597" i="1" s="1"/>
  <c r="S1597" i="1" s="1"/>
  <c r="Q1598" i="1"/>
  <c r="Q1599" i="1"/>
  <c r="Q1600" i="1"/>
  <c r="Q1601" i="1"/>
  <c r="Q1602" i="1"/>
  <c r="R1602" i="1" s="1"/>
  <c r="S1602" i="1" s="1"/>
  <c r="Q1603" i="1"/>
  <c r="Q1604" i="1"/>
  <c r="Q1605" i="1"/>
  <c r="Q1606" i="1"/>
  <c r="R1606" i="1" s="1"/>
  <c r="S1606" i="1" s="1"/>
  <c r="Q1607" i="1"/>
  <c r="Q1608" i="1"/>
  <c r="Q1609" i="1"/>
  <c r="Q1610" i="1"/>
  <c r="Q1611" i="1"/>
  <c r="Q1612" i="1"/>
  <c r="Q1613" i="1"/>
  <c r="R1613" i="1" s="1"/>
  <c r="S1613" i="1" s="1"/>
  <c r="Q1614" i="1"/>
  <c r="Q1615" i="1"/>
  <c r="Q1616" i="1"/>
  <c r="Q1617" i="1"/>
  <c r="Q1618" i="1"/>
  <c r="R1618" i="1" s="1"/>
  <c r="S1618" i="1" s="1"/>
  <c r="Q1619" i="1"/>
  <c r="Q1620" i="1"/>
  <c r="Q1621" i="1"/>
  <c r="Q1622" i="1"/>
  <c r="R1622" i="1" s="1"/>
  <c r="S1622" i="1" s="1"/>
  <c r="Q1623" i="1"/>
  <c r="Q1624" i="1"/>
  <c r="Q1625" i="1"/>
  <c r="Q1626" i="1"/>
  <c r="Q1627" i="1"/>
  <c r="Q1628" i="1"/>
  <c r="Q1629" i="1"/>
  <c r="R1629" i="1" s="1"/>
  <c r="S1629" i="1" s="1"/>
  <c r="Q1630" i="1"/>
  <c r="Q1631" i="1"/>
  <c r="Q1632" i="1"/>
  <c r="Q1633" i="1"/>
  <c r="Q1634" i="1"/>
  <c r="R1634" i="1" s="1"/>
  <c r="S1634" i="1" s="1"/>
  <c r="Q1635" i="1"/>
  <c r="Q1636" i="1"/>
  <c r="Q1637" i="1"/>
  <c r="Q1638" i="1"/>
  <c r="R1638" i="1" s="1"/>
  <c r="S1638" i="1" s="1"/>
  <c r="Q1639" i="1"/>
  <c r="Q1640" i="1"/>
  <c r="Q1641" i="1"/>
  <c r="Q1642" i="1"/>
  <c r="Q1643" i="1"/>
  <c r="Q1644" i="1"/>
  <c r="Q1645" i="1"/>
  <c r="R1645" i="1" s="1"/>
  <c r="S1645" i="1" s="1"/>
  <c r="Q1646" i="1"/>
  <c r="Q1647" i="1"/>
  <c r="Q1648" i="1"/>
  <c r="Q1649" i="1"/>
  <c r="Q1650" i="1"/>
  <c r="R1650" i="1" s="1"/>
  <c r="S1650" i="1" s="1"/>
  <c r="Q1651" i="1"/>
  <c r="Q1652" i="1"/>
  <c r="Q1653" i="1"/>
  <c r="Q1654" i="1"/>
  <c r="R1654" i="1" s="1"/>
  <c r="S1654" i="1" s="1"/>
  <c r="Q1655" i="1"/>
  <c r="Q1656" i="1"/>
  <c r="Q1657" i="1"/>
  <c r="Q1658" i="1"/>
  <c r="Q1659" i="1"/>
  <c r="Q1660" i="1"/>
  <c r="Q1661" i="1"/>
  <c r="R1661" i="1" s="1"/>
  <c r="S1661" i="1" s="1"/>
  <c r="Q1662" i="1"/>
  <c r="Q1663" i="1"/>
  <c r="Q1664" i="1"/>
  <c r="Q1665" i="1"/>
  <c r="Q1666" i="1"/>
  <c r="R1666" i="1" s="1"/>
  <c r="S1666" i="1" s="1"/>
  <c r="Q1667" i="1"/>
  <c r="Q1668" i="1"/>
  <c r="Q1669" i="1"/>
  <c r="Q1670" i="1"/>
  <c r="R1670" i="1" s="1"/>
  <c r="S1670" i="1" s="1"/>
  <c r="Q1671" i="1"/>
  <c r="Q1672" i="1"/>
  <c r="Q1673" i="1"/>
  <c r="Q1674" i="1"/>
  <c r="Q1675" i="1"/>
  <c r="Q1676" i="1"/>
  <c r="Q1677" i="1"/>
  <c r="R1677" i="1" s="1"/>
  <c r="S1677" i="1" s="1"/>
  <c r="Q1678" i="1"/>
  <c r="Q1679" i="1"/>
  <c r="Q1680" i="1"/>
  <c r="Q1681" i="1"/>
  <c r="Q1682" i="1"/>
  <c r="R1682" i="1" s="1"/>
  <c r="S1682" i="1" s="1"/>
  <c r="Q1683" i="1"/>
  <c r="Q1684" i="1"/>
  <c r="Q1685" i="1"/>
  <c r="Q1686" i="1"/>
  <c r="R1686" i="1" s="1"/>
  <c r="S1686" i="1" s="1"/>
  <c r="Q1687" i="1"/>
  <c r="Q1688" i="1"/>
  <c r="Q1689" i="1"/>
  <c r="Q1690" i="1"/>
  <c r="Q1691" i="1"/>
  <c r="Q1692" i="1"/>
  <c r="Q1693" i="1"/>
  <c r="R1693" i="1" s="1"/>
  <c r="S1693" i="1" s="1"/>
  <c r="Q1694" i="1"/>
  <c r="Q1695" i="1"/>
  <c r="Q1696" i="1"/>
  <c r="Q1697" i="1"/>
  <c r="Q1698" i="1"/>
  <c r="R1698" i="1" s="1"/>
  <c r="S1698" i="1" s="1"/>
  <c r="Q1699" i="1"/>
  <c r="Q1700" i="1"/>
  <c r="Q1701" i="1"/>
  <c r="Q1702" i="1"/>
  <c r="R1702" i="1" s="1"/>
  <c r="S1702" i="1" s="1"/>
  <c r="Q1703" i="1"/>
  <c r="Q1704" i="1"/>
  <c r="Q1705" i="1"/>
  <c r="Q1706" i="1"/>
  <c r="Q1707" i="1"/>
  <c r="Q1708" i="1"/>
  <c r="Q1709" i="1"/>
  <c r="R1709" i="1" s="1"/>
  <c r="S1709" i="1" s="1"/>
  <c r="Q1710" i="1"/>
  <c r="Q1711" i="1"/>
  <c r="Q1712" i="1"/>
  <c r="Q1713" i="1"/>
  <c r="Q1714" i="1"/>
  <c r="R1714" i="1" s="1"/>
  <c r="S1714" i="1" s="1"/>
  <c r="Q1715" i="1"/>
  <c r="Q1716" i="1"/>
  <c r="Q1717" i="1"/>
  <c r="Q1718" i="1"/>
  <c r="R1718" i="1" s="1"/>
  <c r="S1718" i="1" s="1"/>
  <c r="Q1719" i="1"/>
  <c r="Q1720" i="1"/>
  <c r="Q1721" i="1"/>
  <c r="Q1722" i="1"/>
  <c r="Q1723" i="1"/>
  <c r="Q1724" i="1"/>
  <c r="Q1725" i="1"/>
  <c r="R1725" i="1" s="1"/>
  <c r="S1725" i="1" s="1"/>
  <c r="Q1726" i="1"/>
  <c r="Q1727" i="1"/>
  <c r="Q1728" i="1"/>
  <c r="Q1729" i="1"/>
  <c r="Q1730" i="1"/>
  <c r="R1730" i="1" s="1"/>
  <c r="S1730" i="1" s="1"/>
  <c r="Q1731" i="1"/>
  <c r="Q1732" i="1"/>
  <c r="Q1733" i="1"/>
  <c r="Q1734" i="1"/>
  <c r="R1734" i="1" s="1"/>
  <c r="S1734" i="1" s="1"/>
  <c r="Q1735" i="1"/>
  <c r="Q1736" i="1"/>
  <c r="Q1737" i="1"/>
  <c r="Q1738" i="1"/>
  <c r="Q1739" i="1"/>
  <c r="Q1740" i="1"/>
  <c r="Q1741" i="1"/>
  <c r="R1741" i="1" s="1"/>
  <c r="S1741" i="1" s="1"/>
  <c r="Q1742" i="1"/>
  <c r="Q1743" i="1"/>
  <c r="Q1744" i="1"/>
  <c r="Q1745" i="1"/>
  <c r="Q1746" i="1"/>
  <c r="R1746" i="1" s="1"/>
  <c r="S1746" i="1" s="1"/>
  <c r="Q1747" i="1"/>
  <c r="Q1748" i="1"/>
  <c r="Q1749" i="1"/>
  <c r="Q1750" i="1"/>
  <c r="R1750" i="1" s="1"/>
  <c r="S1750" i="1" s="1"/>
  <c r="Q1751" i="1"/>
  <c r="Q1752" i="1"/>
  <c r="Q1753" i="1"/>
  <c r="Q1754" i="1"/>
  <c r="Q1755" i="1"/>
  <c r="Q1756" i="1"/>
  <c r="Q1757" i="1"/>
  <c r="R1757" i="1" s="1"/>
  <c r="S1757" i="1" s="1"/>
  <c r="Q1758" i="1"/>
  <c r="Q1759" i="1"/>
  <c r="Q1760" i="1"/>
  <c r="Q1761" i="1"/>
  <c r="Q1762" i="1"/>
  <c r="R1762" i="1" s="1"/>
  <c r="S1762" i="1" s="1"/>
  <c r="Q1763" i="1"/>
  <c r="Q1764" i="1"/>
  <c r="Q1765" i="1"/>
  <c r="Q1766" i="1"/>
  <c r="R1766" i="1" s="1"/>
  <c r="S1766" i="1" s="1"/>
  <c r="Q1767" i="1"/>
  <c r="Q1768" i="1"/>
  <c r="Q1769" i="1"/>
  <c r="Q1770" i="1"/>
  <c r="Q1771" i="1"/>
  <c r="Q1772" i="1"/>
  <c r="Q1773" i="1"/>
  <c r="R1773" i="1" s="1"/>
  <c r="S1773" i="1" s="1"/>
  <c r="Q1774" i="1"/>
  <c r="Q1775" i="1"/>
  <c r="Q1776" i="1"/>
  <c r="Q1777" i="1"/>
  <c r="Q1778" i="1"/>
  <c r="R1778" i="1" s="1"/>
  <c r="S1778" i="1" s="1"/>
  <c r="Q1779" i="1"/>
  <c r="Q1780" i="1"/>
  <c r="Q1781" i="1"/>
  <c r="Q1782" i="1"/>
  <c r="R1782" i="1" s="1"/>
  <c r="S1782" i="1" s="1"/>
  <c r="Q1783" i="1"/>
  <c r="Q1784" i="1"/>
  <c r="Q1785" i="1"/>
  <c r="Q1786" i="1"/>
  <c r="Q1787" i="1"/>
  <c r="Q1788" i="1"/>
  <c r="Q1789" i="1"/>
  <c r="R1789" i="1" s="1"/>
  <c r="S1789" i="1" s="1"/>
  <c r="Q1790" i="1"/>
  <c r="Q1791" i="1"/>
  <c r="Q1792" i="1"/>
  <c r="Q1793" i="1"/>
  <c r="Q1794" i="1"/>
  <c r="R1794" i="1" s="1"/>
  <c r="S1794" i="1" s="1"/>
  <c r="Q1795" i="1"/>
  <c r="Q1796" i="1"/>
  <c r="Q1797" i="1"/>
  <c r="Q1798" i="1"/>
  <c r="R1798" i="1" s="1"/>
  <c r="S1798" i="1" s="1"/>
  <c r="Q1799" i="1"/>
  <c r="Q1800" i="1"/>
  <c r="Q1801" i="1"/>
  <c r="Q1802" i="1"/>
  <c r="Q1803" i="1"/>
  <c r="Q1804" i="1"/>
  <c r="Q1805" i="1"/>
  <c r="R1805" i="1" s="1"/>
  <c r="S1805" i="1" s="1"/>
  <c r="Q1806" i="1"/>
  <c r="Q1807" i="1"/>
  <c r="Q1808" i="1"/>
  <c r="Q1809" i="1"/>
  <c r="Q1810" i="1"/>
  <c r="R1810" i="1" s="1"/>
  <c r="S1810" i="1" s="1"/>
  <c r="Q1811" i="1"/>
  <c r="Q1812" i="1"/>
  <c r="Q1813" i="1"/>
  <c r="Q1814" i="1"/>
  <c r="R1814" i="1" s="1"/>
  <c r="S1814" i="1" s="1"/>
  <c r="Q1815" i="1"/>
  <c r="Q1816" i="1"/>
  <c r="Q1817" i="1"/>
  <c r="Q1818" i="1"/>
  <c r="Q1819" i="1"/>
  <c r="Q1820" i="1"/>
  <c r="Q1821" i="1"/>
  <c r="R1821" i="1" s="1"/>
  <c r="S1821" i="1" s="1"/>
  <c r="Q1822" i="1"/>
  <c r="Q1823" i="1"/>
  <c r="Q1824" i="1"/>
  <c r="Q1825" i="1"/>
  <c r="Q1826" i="1"/>
  <c r="R1826" i="1" s="1"/>
  <c r="S1826" i="1" s="1"/>
  <c r="Q1827" i="1"/>
  <c r="Q1828" i="1"/>
  <c r="Q1829" i="1"/>
  <c r="Q1830" i="1"/>
  <c r="R1830" i="1" s="1"/>
  <c r="S1830" i="1" s="1"/>
  <c r="Q1831" i="1"/>
  <c r="Q1832" i="1"/>
  <c r="Q1833" i="1"/>
  <c r="Q1834" i="1"/>
  <c r="Q1835" i="1"/>
  <c r="Q1836" i="1"/>
  <c r="Q1837" i="1"/>
  <c r="R1837" i="1" s="1"/>
  <c r="S1837" i="1" s="1"/>
  <c r="Q1838" i="1"/>
  <c r="Q1839" i="1"/>
  <c r="Q1840" i="1"/>
  <c r="Q1841" i="1"/>
  <c r="Q1842" i="1"/>
  <c r="R1842" i="1" s="1"/>
  <c r="S1842" i="1" s="1"/>
  <c r="Q1843" i="1"/>
  <c r="Q1844" i="1"/>
  <c r="Q1845" i="1"/>
  <c r="Q1846" i="1"/>
  <c r="R1846" i="1" s="1"/>
  <c r="S1846" i="1" s="1"/>
  <c r="Q1847" i="1"/>
  <c r="Q1848" i="1"/>
  <c r="Q1849" i="1"/>
  <c r="Q1850" i="1"/>
  <c r="Q1851" i="1"/>
  <c r="Q1852" i="1"/>
  <c r="Q1853" i="1"/>
  <c r="R1853" i="1" s="1"/>
  <c r="S1853" i="1" s="1"/>
  <c r="Q1854" i="1"/>
  <c r="Q1855" i="1"/>
  <c r="Q1856" i="1"/>
  <c r="Q1857" i="1"/>
  <c r="Q1858" i="1"/>
  <c r="R1858" i="1" s="1"/>
  <c r="S1858" i="1" s="1"/>
  <c r="Q1859" i="1"/>
  <c r="Q1860" i="1"/>
  <c r="Q1861" i="1"/>
  <c r="Q1862" i="1"/>
  <c r="R1862" i="1" s="1"/>
  <c r="S1862" i="1" s="1"/>
  <c r="Q1863" i="1"/>
  <c r="Q1864" i="1"/>
  <c r="Q1865" i="1"/>
  <c r="Q1866" i="1"/>
  <c r="Q1867" i="1"/>
  <c r="Q1868" i="1"/>
  <c r="Q1869" i="1"/>
  <c r="R1869" i="1" s="1"/>
  <c r="S1869" i="1" s="1"/>
  <c r="Q1870" i="1"/>
  <c r="Q1871" i="1"/>
  <c r="Q1872" i="1"/>
  <c r="Q1873" i="1"/>
  <c r="Q1874" i="1"/>
  <c r="R1874" i="1" s="1"/>
  <c r="S1874" i="1" s="1"/>
  <c r="Q1875" i="1"/>
  <c r="Q1876" i="1"/>
  <c r="Q1877" i="1"/>
  <c r="Q1878" i="1"/>
  <c r="R1878" i="1" s="1"/>
  <c r="S1878" i="1" s="1"/>
  <c r="Q1879" i="1"/>
  <c r="Q1880" i="1"/>
  <c r="Q1881" i="1"/>
  <c r="Q1882" i="1"/>
  <c r="Q1883" i="1"/>
  <c r="Q1884" i="1"/>
  <c r="Q1885" i="1"/>
  <c r="R1885" i="1" s="1"/>
  <c r="S1885" i="1" s="1"/>
  <c r="Q1886" i="1"/>
  <c r="Q1887" i="1"/>
  <c r="Q1888" i="1"/>
  <c r="Q1889" i="1"/>
  <c r="Q1890" i="1"/>
  <c r="R1890" i="1" s="1"/>
  <c r="S1890" i="1" s="1"/>
  <c r="Q1891" i="1"/>
  <c r="Q1892" i="1"/>
  <c r="Q1893" i="1"/>
  <c r="Q1894" i="1"/>
  <c r="R1894" i="1" s="1"/>
  <c r="S1894" i="1" s="1"/>
  <c r="Q1895" i="1"/>
  <c r="Q1896" i="1"/>
  <c r="Q1897" i="1"/>
  <c r="Q1898" i="1"/>
  <c r="Q1899" i="1"/>
  <c r="Q1900" i="1"/>
  <c r="Q1901" i="1"/>
  <c r="R1901" i="1" s="1"/>
  <c r="S1901" i="1" s="1"/>
  <c r="Q1902" i="1"/>
  <c r="Q1903" i="1"/>
  <c r="Q1904" i="1"/>
  <c r="Q1905" i="1"/>
  <c r="Q1906" i="1"/>
  <c r="R1906" i="1" s="1"/>
  <c r="S1906" i="1" s="1"/>
  <c r="Q1907" i="1"/>
  <c r="Q1908" i="1"/>
  <c r="Q1909" i="1"/>
  <c r="Q1910" i="1"/>
  <c r="R1910" i="1" s="1"/>
  <c r="S1910" i="1" s="1"/>
  <c r="Q1911" i="1"/>
  <c r="Q1912" i="1"/>
  <c r="Q1913" i="1"/>
  <c r="Q1914" i="1"/>
  <c r="Q1915" i="1"/>
  <c r="Q1916" i="1"/>
  <c r="Q1917" i="1"/>
  <c r="R1917" i="1" s="1"/>
  <c r="S1917" i="1" s="1"/>
  <c r="Q1918" i="1"/>
  <c r="Q1919" i="1"/>
  <c r="Q1920" i="1"/>
  <c r="Q1921" i="1"/>
  <c r="Q1922" i="1"/>
  <c r="R1922" i="1" s="1"/>
  <c r="S1922" i="1" s="1"/>
  <c r="Q1923" i="1"/>
  <c r="Q1924" i="1"/>
  <c r="Q1925" i="1"/>
  <c r="Q1926" i="1"/>
  <c r="R1926" i="1" s="1"/>
  <c r="S1926" i="1" s="1"/>
  <c r="Q1927" i="1"/>
  <c r="Q1928" i="1"/>
  <c r="Q1929" i="1"/>
  <c r="Q1930" i="1"/>
  <c r="Q1931" i="1"/>
  <c r="Q1932" i="1"/>
  <c r="Q1933" i="1"/>
  <c r="R1933" i="1" s="1"/>
  <c r="S1933" i="1" s="1"/>
  <c r="Q1934" i="1"/>
  <c r="Q1935" i="1"/>
  <c r="Q1936" i="1"/>
  <c r="Q1937" i="1"/>
  <c r="Q1938" i="1"/>
  <c r="R1938" i="1" s="1"/>
  <c r="S1938" i="1" s="1"/>
  <c r="Q1939" i="1"/>
  <c r="Q1940" i="1"/>
  <c r="Q1941" i="1"/>
  <c r="Q1942" i="1"/>
  <c r="R1942" i="1" s="1"/>
  <c r="S1942" i="1" s="1"/>
  <c r="Q1943" i="1"/>
  <c r="Q1944" i="1"/>
  <c r="Q1945" i="1"/>
  <c r="Q1946" i="1"/>
  <c r="Q1947" i="1"/>
  <c r="Q1948" i="1"/>
  <c r="Q1949" i="1"/>
  <c r="R1949" i="1" s="1"/>
  <c r="S1949" i="1" s="1"/>
  <c r="Q1950" i="1"/>
  <c r="Q1951" i="1"/>
  <c r="Q1952" i="1"/>
  <c r="Q1953" i="1"/>
  <c r="Q1954" i="1"/>
  <c r="R1954" i="1" s="1"/>
  <c r="S1954" i="1" s="1"/>
  <c r="Q1955" i="1"/>
  <c r="Q1956" i="1"/>
  <c r="Q1957" i="1"/>
  <c r="Q1958" i="1"/>
  <c r="R1958" i="1" s="1"/>
  <c r="S1958" i="1" s="1"/>
  <c r="Q1959" i="1"/>
  <c r="Q1960" i="1"/>
  <c r="Q1961" i="1"/>
  <c r="Q1962" i="1"/>
  <c r="Q1963" i="1"/>
  <c r="Q1964" i="1"/>
  <c r="Q1965" i="1"/>
  <c r="R1965" i="1" s="1"/>
  <c r="S1965" i="1" s="1"/>
  <c r="Q1966" i="1"/>
  <c r="Q1967" i="1"/>
  <c r="Q1968" i="1"/>
  <c r="Q1969" i="1"/>
  <c r="Q1970" i="1"/>
  <c r="R1970" i="1" s="1"/>
  <c r="S1970" i="1" s="1"/>
  <c r="Q1971" i="1"/>
  <c r="Q1972" i="1"/>
  <c r="Q1973" i="1"/>
  <c r="Q1974" i="1"/>
  <c r="R1974" i="1" s="1"/>
  <c r="S1974" i="1" s="1"/>
  <c r="Q1975" i="1"/>
  <c r="Q1976" i="1"/>
  <c r="Q1977" i="1"/>
  <c r="Q1978" i="1"/>
  <c r="Q1979" i="1"/>
  <c r="Q1980" i="1"/>
  <c r="Q1981" i="1"/>
  <c r="R1981" i="1" s="1"/>
  <c r="S1981" i="1" s="1"/>
  <c r="Q1982" i="1"/>
  <c r="Q1983" i="1"/>
  <c r="Q1984" i="1"/>
  <c r="Q1985" i="1"/>
  <c r="Q1986" i="1"/>
  <c r="R1986" i="1" s="1"/>
  <c r="S1986" i="1" s="1"/>
  <c r="Q1987" i="1"/>
  <c r="Q1988" i="1"/>
  <c r="Q1989" i="1"/>
  <c r="Q1990" i="1"/>
  <c r="R1990" i="1" s="1"/>
  <c r="S1990" i="1" s="1"/>
  <c r="Q1991" i="1"/>
  <c r="Q1992" i="1"/>
  <c r="Q1993" i="1"/>
  <c r="Q1994" i="1"/>
  <c r="Q1995" i="1"/>
  <c r="Q1996" i="1"/>
  <c r="Q1997" i="1"/>
  <c r="R1997" i="1" s="1"/>
  <c r="S1997" i="1" s="1"/>
  <c r="Q1998" i="1"/>
  <c r="Q1999" i="1"/>
  <c r="Q2000" i="1"/>
  <c r="Q2001" i="1"/>
  <c r="Q2002" i="1"/>
  <c r="R2002" i="1" s="1"/>
  <c r="S2002" i="1" s="1"/>
  <c r="Q2003" i="1"/>
  <c r="Q2004" i="1"/>
  <c r="Q2005" i="1"/>
  <c r="Q2006" i="1"/>
  <c r="R2006" i="1" s="1"/>
  <c r="S2006" i="1" s="1"/>
  <c r="Q2007" i="1"/>
  <c r="Q2008" i="1"/>
  <c r="Q2009" i="1"/>
  <c r="Q2010" i="1"/>
  <c r="Q2011" i="1"/>
  <c r="Q2012" i="1"/>
  <c r="Q2013" i="1"/>
  <c r="R2013" i="1" s="1"/>
  <c r="S2013" i="1" s="1"/>
  <c r="Q2014" i="1"/>
  <c r="Q2015" i="1"/>
  <c r="Q2016" i="1"/>
  <c r="Q2017" i="1"/>
  <c r="Q2018" i="1"/>
  <c r="R2018" i="1" s="1"/>
  <c r="S2018" i="1" s="1"/>
  <c r="Q2019" i="1"/>
  <c r="Q2020" i="1"/>
  <c r="Q2021" i="1"/>
  <c r="Q2022" i="1"/>
  <c r="R2022" i="1" s="1"/>
  <c r="S2022" i="1" s="1"/>
  <c r="Q2023" i="1"/>
  <c r="Q2024" i="1"/>
  <c r="Q2025" i="1"/>
  <c r="Q2026" i="1"/>
  <c r="Q2027" i="1"/>
  <c r="Q2028" i="1"/>
  <c r="Q2029" i="1"/>
  <c r="R2029" i="1" s="1"/>
  <c r="S2029" i="1" s="1"/>
  <c r="Q2030" i="1"/>
  <c r="Q2031" i="1"/>
  <c r="Q2032" i="1"/>
  <c r="Q2033" i="1"/>
  <c r="Q2034" i="1"/>
  <c r="R2034" i="1" s="1"/>
  <c r="S2034" i="1" s="1"/>
  <c r="Q2035" i="1"/>
  <c r="Q2036" i="1"/>
  <c r="Q2037" i="1"/>
  <c r="Q2038" i="1"/>
  <c r="R2038" i="1" s="1"/>
  <c r="S2038" i="1" s="1"/>
  <c r="Q2039" i="1"/>
  <c r="Q2040" i="1"/>
  <c r="Q2041" i="1"/>
  <c r="Q2042" i="1"/>
  <c r="R2042" i="1" s="1"/>
  <c r="S2042" i="1" s="1"/>
  <c r="Q2043" i="1"/>
  <c r="Q2044" i="1"/>
  <c r="Q2045" i="1"/>
  <c r="R2045" i="1" s="1"/>
  <c r="S2045" i="1" s="1"/>
  <c r="Q2046" i="1"/>
  <c r="Q2047" i="1"/>
  <c r="Q2048" i="1"/>
  <c r="Q2049" i="1"/>
  <c r="Q2050" i="1"/>
  <c r="R2050" i="1" s="1"/>
  <c r="S2050" i="1" s="1"/>
  <c r="Q2051" i="1"/>
  <c r="Q2052" i="1"/>
  <c r="Q2053" i="1"/>
  <c r="Q2054" i="1"/>
  <c r="R2054" i="1" s="1"/>
  <c r="S2054" i="1" s="1"/>
  <c r="Q2055" i="1"/>
  <c r="Q2056" i="1"/>
  <c r="Q2057" i="1"/>
  <c r="Q2058" i="1"/>
  <c r="Q2059" i="1"/>
  <c r="Q2060" i="1"/>
  <c r="Q2061" i="1"/>
  <c r="R2061" i="1" s="1"/>
  <c r="S2061" i="1" s="1"/>
  <c r="Q2062" i="1"/>
  <c r="Q2063" i="1"/>
  <c r="Q2064" i="1"/>
  <c r="Q2065" i="1"/>
  <c r="Q2066" i="1"/>
  <c r="R2066" i="1" s="1"/>
  <c r="S2066" i="1" s="1"/>
  <c r="Q2067" i="1"/>
  <c r="Q2068" i="1"/>
  <c r="Q2069" i="1"/>
  <c r="Q2070" i="1"/>
  <c r="R2070" i="1" s="1"/>
  <c r="S2070" i="1" s="1"/>
  <c r="Q2071" i="1"/>
  <c r="Q2072" i="1"/>
  <c r="Q2073" i="1"/>
  <c r="Q2074" i="1"/>
  <c r="Q2075" i="1"/>
  <c r="Q2076" i="1"/>
  <c r="Q2077" i="1"/>
  <c r="R2077" i="1" s="1"/>
  <c r="S2077" i="1" s="1"/>
  <c r="Q2078" i="1"/>
  <c r="Q2079" i="1"/>
  <c r="Q2080" i="1"/>
  <c r="Q2081" i="1"/>
  <c r="Q2082" i="1"/>
  <c r="R2082" i="1" s="1"/>
  <c r="S2082" i="1" s="1"/>
  <c r="Q2083" i="1"/>
  <c r="Q2084" i="1"/>
  <c r="Q2085" i="1"/>
  <c r="Q2086" i="1"/>
  <c r="R2086" i="1" s="1"/>
  <c r="S2086" i="1" s="1"/>
  <c r="Q2087" i="1"/>
  <c r="Q2088" i="1"/>
  <c r="Q2089" i="1"/>
  <c r="Q2090" i="1"/>
  <c r="Q2091" i="1"/>
  <c r="Q2092" i="1"/>
  <c r="Q2093" i="1"/>
  <c r="R2093" i="1" s="1"/>
  <c r="S2093" i="1" s="1"/>
  <c r="Q2094" i="1"/>
  <c r="Q2095" i="1"/>
  <c r="Q2096" i="1"/>
  <c r="Q2097" i="1"/>
  <c r="Q2098" i="1"/>
  <c r="R2098" i="1" s="1"/>
  <c r="S2098" i="1" s="1"/>
  <c r="Q2099" i="1"/>
  <c r="Q2100" i="1"/>
  <c r="Q2101" i="1"/>
  <c r="Q2102" i="1"/>
  <c r="R2102" i="1" s="1"/>
  <c r="S2102" i="1" s="1"/>
  <c r="Q2103" i="1"/>
  <c r="Q2104" i="1"/>
  <c r="Q2105" i="1"/>
  <c r="Q2106" i="1"/>
  <c r="Q2107" i="1"/>
  <c r="Q2108" i="1"/>
  <c r="Q2109" i="1"/>
  <c r="R2109" i="1" s="1"/>
  <c r="S2109" i="1" s="1"/>
  <c r="Q2110" i="1"/>
  <c r="Q2111" i="1"/>
  <c r="Q2112" i="1"/>
  <c r="Q2113" i="1"/>
  <c r="Q2114" i="1"/>
  <c r="R2114" i="1" s="1"/>
  <c r="S2114" i="1" s="1"/>
  <c r="Q2115" i="1"/>
  <c r="Q2116" i="1"/>
  <c r="Q2117" i="1"/>
  <c r="Q2118" i="1"/>
  <c r="R2118" i="1" s="1"/>
  <c r="S2118" i="1" s="1"/>
  <c r="Q2119" i="1"/>
  <c r="Q2120" i="1"/>
  <c r="Q2121" i="1"/>
  <c r="Q2122" i="1"/>
  <c r="Q2123" i="1"/>
  <c r="Q2124" i="1"/>
  <c r="Q2125" i="1"/>
  <c r="R2125" i="1" s="1"/>
  <c r="S2125" i="1" s="1"/>
  <c r="Q2126" i="1"/>
  <c r="Q2127" i="1"/>
  <c r="Q2128" i="1"/>
  <c r="Q2129" i="1"/>
  <c r="Q2130" i="1"/>
  <c r="R2130" i="1" s="1"/>
  <c r="S2130" i="1" s="1"/>
  <c r="Q2131" i="1"/>
  <c r="Q2132" i="1"/>
  <c r="Q2133" i="1"/>
  <c r="Q2134" i="1"/>
  <c r="R2134" i="1" s="1"/>
  <c r="S2134" i="1" s="1"/>
  <c r="Q2135" i="1"/>
  <c r="Q2136" i="1"/>
  <c r="Q2137" i="1"/>
  <c r="Q2138" i="1"/>
  <c r="Q2139" i="1"/>
  <c r="Q2140" i="1"/>
  <c r="Q2141" i="1"/>
  <c r="R2141" i="1" s="1"/>
  <c r="S2141" i="1" s="1"/>
  <c r="Q2142" i="1"/>
  <c r="Q2143" i="1"/>
  <c r="Q2144" i="1"/>
  <c r="Q2145" i="1"/>
  <c r="Q2146" i="1"/>
  <c r="R2146" i="1" s="1"/>
  <c r="S2146" i="1" s="1"/>
  <c r="Q2147" i="1"/>
  <c r="Q2148" i="1"/>
  <c r="Q2149" i="1"/>
  <c r="Q2150" i="1"/>
  <c r="R2150" i="1" s="1"/>
  <c r="S2150" i="1" s="1"/>
  <c r="Q2151" i="1"/>
  <c r="Q2152" i="1"/>
  <c r="Q2153" i="1"/>
  <c r="Q2154" i="1"/>
  <c r="Q2155" i="1"/>
  <c r="Q2156" i="1"/>
  <c r="Q2157" i="1"/>
  <c r="R2157" i="1" s="1"/>
  <c r="S2157" i="1" s="1"/>
  <c r="Q2158" i="1"/>
  <c r="Q2159" i="1"/>
  <c r="Q2160" i="1"/>
  <c r="Q2161" i="1"/>
  <c r="Q2162" i="1"/>
  <c r="R2162" i="1" s="1"/>
  <c r="S2162" i="1" s="1"/>
  <c r="Q2163" i="1"/>
  <c r="Q2164" i="1"/>
  <c r="Q2165" i="1"/>
  <c r="Q2166" i="1"/>
  <c r="R2166" i="1" s="1"/>
  <c r="S2166" i="1" s="1"/>
  <c r="Q2167" i="1"/>
  <c r="Q2168" i="1"/>
  <c r="Q2169" i="1"/>
  <c r="Q2170" i="1"/>
  <c r="Q2171" i="1"/>
  <c r="Q2172" i="1"/>
  <c r="Q2173" i="1"/>
  <c r="R2173" i="1" s="1"/>
  <c r="S2173" i="1" s="1"/>
  <c r="Q2174" i="1"/>
  <c r="Q2175" i="1"/>
  <c r="Q2176" i="1"/>
  <c r="Q2177" i="1"/>
  <c r="Q2178" i="1"/>
  <c r="R2178" i="1" s="1"/>
  <c r="S2178" i="1" s="1"/>
  <c r="Q2179" i="1"/>
  <c r="Q2180" i="1"/>
  <c r="Q2181" i="1"/>
  <c r="Q2182" i="1"/>
  <c r="R2182" i="1" s="1"/>
  <c r="S2182" i="1" s="1"/>
  <c r="Q2183" i="1"/>
  <c r="Q2184" i="1"/>
  <c r="Q2185" i="1"/>
  <c r="Q2186" i="1"/>
  <c r="Q2187" i="1"/>
  <c r="Q2188" i="1"/>
  <c r="Q2189" i="1"/>
  <c r="R2189" i="1" s="1"/>
  <c r="S2189" i="1" s="1"/>
  <c r="Q2190" i="1"/>
  <c r="Q2191" i="1"/>
  <c r="Q2192" i="1"/>
  <c r="Q2193" i="1"/>
  <c r="Q2194" i="1"/>
  <c r="R2194" i="1" s="1"/>
  <c r="S2194" i="1" s="1"/>
  <c r="Q2195" i="1"/>
  <c r="Q2196" i="1"/>
  <c r="Q2197" i="1"/>
  <c r="Q2198" i="1"/>
  <c r="R2198" i="1" s="1"/>
  <c r="S2198" i="1" s="1"/>
  <c r="Q2199" i="1"/>
  <c r="Q2200" i="1"/>
  <c r="Q2201" i="1"/>
  <c r="Q2202" i="1"/>
  <c r="Q2203" i="1"/>
  <c r="Q2204" i="1"/>
  <c r="Q2205" i="1"/>
  <c r="R2205" i="1" s="1"/>
  <c r="S2205" i="1" s="1"/>
  <c r="Q2206" i="1"/>
  <c r="Q2207" i="1"/>
  <c r="Q2208" i="1"/>
  <c r="Q2209" i="1"/>
  <c r="Q2210" i="1"/>
  <c r="R2210" i="1" s="1"/>
  <c r="S2210" i="1" s="1"/>
  <c r="Q2211" i="1"/>
  <c r="Q2212" i="1"/>
  <c r="Q2213" i="1"/>
  <c r="Q2214" i="1"/>
  <c r="R2214" i="1" s="1"/>
  <c r="S2214" i="1" s="1"/>
  <c r="Q2215" i="1"/>
  <c r="Q2216" i="1"/>
  <c r="Q2217" i="1"/>
  <c r="Q2218" i="1"/>
  <c r="Q2219" i="1"/>
  <c r="Q2220" i="1"/>
  <c r="Q2221" i="1"/>
  <c r="R2221" i="1" s="1"/>
  <c r="S2221" i="1" s="1"/>
  <c r="Q2222" i="1"/>
  <c r="Q2223" i="1"/>
  <c r="Q2224" i="1"/>
  <c r="Q2225" i="1"/>
  <c r="Q2226" i="1"/>
  <c r="R2226" i="1" s="1"/>
  <c r="S2226" i="1" s="1"/>
  <c r="Q2227" i="1"/>
  <c r="Q2228" i="1"/>
  <c r="Q2229" i="1"/>
  <c r="Q2230" i="1"/>
  <c r="R2230" i="1" s="1"/>
  <c r="S2230" i="1" s="1"/>
  <c r="Q2231" i="1"/>
  <c r="Q2232" i="1"/>
  <c r="Q2233" i="1"/>
  <c r="Q2234" i="1"/>
  <c r="R2234" i="1" s="1"/>
  <c r="S2234" i="1" s="1"/>
  <c r="Q2235" i="1"/>
  <c r="Q2236" i="1"/>
  <c r="Q2237" i="1"/>
  <c r="R2237" i="1" s="1"/>
  <c r="S2237" i="1" s="1"/>
  <c r="Q2238" i="1"/>
  <c r="Q2239" i="1"/>
  <c r="Q2240" i="1"/>
  <c r="Q2241" i="1"/>
  <c r="Q2242" i="1"/>
  <c r="R2242" i="1" s="1"/>
  <c r="S2242" i="1" s="1"/>
  <c r="Q2243" i="1"/>
  <c r="Q2244" i="1"/>
  <c r="Q2245" i="1"/>
  <c r="Q2246" i="1"/>
  <c r="R2246" i="1" s="1"/>
  <c r="S2246" i="1" s="1"/>
  <c r="Q2247" i="1"/>
  <c r="Q2248" i="1"/>
  <c r="Q2249" i="1"/>
  <c r="Q2250" i="1"/>
  <c r="Q2251" i="1"/>
  <c r="Q2252" i="1"/>
  <c r="Q2253" i="1"/>
  <c r="R2253" i="1" s="1"/>
  <c r="S2253" i="1" s="1"/>
  <c r="Q2254" i="1"/>
  <c r="Q2255" i="1"/>
  <c r="Q2256" i="1"/>
  <c r="Q2257" i="1"/>
  <c r="Q2258" i="1"/>
  <c r="R2258" i="1" s="1"/>
  <c r="S2258" i="1" s="1"/>
  <c r="Q2259" i="1"/>
  <c r="Q2260" i="1"/>
  <c r="Q2261" i="1"/>
  <c r="Q2262" i="1"/>
  <c r="R2262" i="1" s="1"/>
  <c r="S2262" i="1" s="1"/>
  <c r="Q2263" i="1"/>
  <c r="Q2264" i="1"/>
  <c r="Q2265" i="1"/>
  <c r="Q2266" i="1"/>
  <c r="Q2267" i="1"/>
  <c r="Q2268" i="1"/>
  <c r="Q2269" i="1"/>
  <c r="R2269" i="1" s="1"/>
  <c r="S2269" i="1" s="1"/>
  <c r="Q2270" i="1"/>
  <c r="Q2271" i="1"/>
  <c r="Q2272" i="1"/>
  <c r="Q2273" i="1"/>
  <c r="Q2274" i="1"/>
  <c r="R2274" i="1" s="1"/>
  <c r="S2274" i="1" s="1"/>
  <c r="Q2275" i="1"/>
  <c r="Q2276" i="1"/>
  <c r="Q2277" i="1"/>
  <c r="Q2278" i="1"/>
  <c r="R2278" i="1" s="1"/>
  <c r="S2278" i="1" s="1"/>
  <c r="Q2279" i="1"/>
  <c r="Q2280" i="1"/>
  <c r="Q2281" i="1"/>
  <c r="Q2282" i="1"/>
  <c r="Q2283" i="1"/>
  <c r="Q2284" i="1"/>
  <c r="Q2285" i="1"/>
  <c r="R2285" i="1" s="1"/>
  <c r="S2285" i="1" s="1"/>
  <c r="Q2286" i="1"/>
  <c r="Q2287" i="1"/>
  <c r="Q2288" i="1"/>
  <c r="Q2289" i="1"/>
  <c r="Q2290" i="1"/>
  <c r="R2290" i="1" s="1"/>
  <c r="S2290" i="1" s="1"/>
  <c r="Q2291" i="1"/>
  <c r="Q2292" i="1"/>
  <c r="Q2293" i="1"/>
  <c r="Q2294" i="1"/>
  <c r="R2294" i="1" s="1"/>
  <c r="S2294" i="1" s="1"/>
  <c r="Q2295" i="1"/>
  <c r="Q2296" i="1"/>
  <c r="Q2297" i="1"/>
  <c r="Q2298" i="1"/>
  <c r="Q2299" i="1"/>
  <c r="Q2300" i="1"/>
  <c r="Q2301" i="1"/>
  <c r="R2301" i="1" s="1"/>
  <c r="S2301" i="1" s="1"/>
  <c r="Q2302" i="1"/>
  <c r="Q2303" i="1"/>
  <c r="Q2304" i="1"/>
  <c r="Q2305" i="1"/>
  <c r="Q2306" i="1"/>
  <c r="R2306" i="1" s="1"/>
  <c r="S2306" i="1" s="1"/>
  <c r="Q2307" i="1"/>
  <c r="Q2308"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R180" i="1" s="1"/>
  <c r="S180" i="1" s="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R452" i="1" s="1"/>
  <c r="S452" i="1" s="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R641" i="1" s="1"/>
  <c r="S641" i="1" s="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R916" i="1" s="1"/>
  <c r="S916" i="1" s="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R1044" i="1" s="1"/>
  <c r="S1044" i="1" s="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R2289" i="1" s="1"/>
  <c r="S2289" i="1" s="1"/>
  <c r="P2290" i="1"/>
  <c r="P2291" i="1"/>
  <c r="P2292" i="1"/>
  <c r="P2293" i="1"/>
  <c r="P2294" i="1"/>
  <c r="P2295" i="1"/>
  <c r="P2296" i="1"/>
  <c r="P2297" i="1"/>
  <c r="P2298" i="1"/>
  <c r="P2299" i="1"/>
  <c r="P2300" i="1"/>
  <c r="P2301" i="1"/>
  <c r="P2302" i="1"/>
  <c r="P2303" i="1"/>
  <c r="P2304" i="1"/>
  <c r="P2305" i="1"/>
  <c r="P2306" i="1"/>
  <c r="P2307" i="1"/>
  <c r="P2308" i="1"/>
  <c r="Q5" i="1"/>
  <c r="P5" i="1"/>
  <c r="H6" i="1"/>
  <c r="I6" i="1" s="1"/>
  <c r="J6" i="1" s="1"/>
  <c r="H7" i="1"/>
  <c r="I7" i="1" s="1"/>
  <c r="J7" i="1" s="1"/>
  <c r="H8" i="1"/>
  <c r="H9" i="1"/>
  <c r="H10" i="1"/>
  <c r="H11" i="1"/>
  <c r="H12" i="1"/>
  <c r="H13" i="1"/>
  <c r="I13" i="1" s="1"/>
  <c r="J13" i="1" s="1"/>
  <c r="H14" i="1"/>
  <c r="H15" i="1"/>
  <c r="H16" i="1"/>
  <c r="H17" i="1"/>
  <c r="H18" i="1"/>
  <c r="I18" i="1" s="1"/>
  <c r="J18" i="1" s="1"/>
  <c r="H19" i="1"/>
  <c r="I19" i="1" s="1"/>
  <c r="J19" i="1" s="1"/>
  <c r="H20" i="1"/>
  <c r="H21" i="1"/>
  <c r="I21" i="1" s="1"/>
  <c r="J21" i="1" s="1"/>
  <c r="H22" i="1"/>
  <c r="I22" i="1" s="1"/>
  <c r="J22" i="1" s="1"/>
  <c r="H23" i="1"/>
  <c r="I23" i="1" s="1"/>
  <c r="J23" i="1" s="1"/>
  <c r="H24" i="1"/>
  <c r="H25" i="1"/>
  <c r="H26" i="1"/>
  <c r="H27" i="1"/>
  <c r="H28" i="1"/>
  <c r="H29" i="1"/>
  <c r="I29" i="1" s="1"/>
  <c r="J29" i="1" s="1"/>
  <c r="H30" i="1"/>
  <c r="H31" i="1"/>
  <c r="H32" i="1"/>
  <c r="H33" i="1"/>
  <c r="H34" i="1"/>
  <c r="I34" i="1" s="1"/>
  <c r="J34" i="1" s="1"/>
  <c r="H35" i="1"/>
  <c r="H36" i="1"/>
  <c r="H37" i="1"/>
  <c r="I37" i="1" s="1"/>
  <c r="J37" i="1" s="1"/>
  <c r="H38" i="1"/>
  <c r="I38" i="1" s="1"/>
  <c r="J38" i="1" s="1"/>
  <c r="H39" i="1"/>
  <c r="I39" i="1" s="1"/>
  <c r="J39" i="1" s="1"/>
  <c r="H40" i="1"/>
  <c r="H41" i="1"/>
  <c r="H42" i="1"/>
  <c r="H43" i="1"/>
  <c r="H44" i="1"/>
  <c r="H45" i="1"/>
  <c r="I45" i="1" s="1"/>
  <c r="J45" i="1" s="1"/>
  <c r="H46" i="1"/>
  <c r="H47" i="1"/>
  <c r="H48" i="1"/>
  <c r="H49" i="1"/>
  <c r="H50" i="1"/>
  <c r="I50" i="1" s="1"/>
  <c r="J50" i="1" s="1"/>
  <c r="H51" i="1"/>
  <c r="H52" i="1"/>
  <c r="H53" i="1"/>
  <c r="I53" i="1" s="1"/>
  <c r="J53" i="1" s="1"/>
  <c r="H54" i="1"/>
  <c r="I54" i="1" s="1"/>
  <c r="J54" i="1" s="1"/>
  <c r="H55" i="1"/>
  <c r="H56" i="1"/>
  <c r="H57" i="1"/>
  <c r="H58" i="1"/>
  <c r="H59" i="1"/>
  <c r="H60" i="1"/>
  <c r="H61" i="1"/>
  <c r="I61" i="1" s="1"/>
  <c r="J61" i="1" s="1"/>
  <c r="H62" i="1"/>
  <c r="H63" i="1"/>
  <c r="H64" i="1"/>
  <c r="H65" i="1"/>
  <c r="H66" i="1"/>
  <c r="I66" i="1" s="1"/>
  <c r="J66" i="1" s="1"/>
  <c r="H67" i="1"/>
  <c r="I67" i="1" s="1"/>
  <c r="J67" i="1" s="1"/>
  <c r="H68" i="1"/>
  <c r="H69" i="1"/>
  <c r="I69" i="1" s="1"/>
  <c r="J69" i="1" s="1"/>
  <c r="H70" i="1"/>
  <c r="I70" i="1" s="1"/>
  <c r="J70" i="1" s="1"/>
  <c r="H71" i="1"/>
  <c r="I71" i="1" s="1"/>
  <c r="J71" i="1" s="1"/>
  <c r="H72" i="1"/>
  <c r="H73" i="1"/>
  <c r="H74" i="1"/>
  <c r="H75" i="1"/>
  <c r="H76" i="1"/>
  <c r="H77" i="1"/>
  <c r="I77" i="1" s="1"/>
  <c r="J77" i="1" s="1"/>
  <c r="H78" i="1"/>
  <c r="H79" i="1"/>
  <c r="H80" i="1"/>
  <c r="H81" i="1"/>
  <c r="H82" i="1"/>
  <c r="I82" i="1" s="1"/>
  <c r="J82" i="1" s="1"/>
  <c r="H83" i="1"/>
  <c r="H84" i="1"/>
  <c r="H85" i="1"/>
  <c r="I85" i="1" s="1"/>
  <c r="J85" i="1" s="1"/>
  <c r="H86" i="1"/>
  <c r="I86" i="1" s="1"/>
  <c r="J86" i="1" s="1"/>
  <c r="H87" i="1"/>
  <c r="I87" i="1" s="1"/>
  <c r="J87" i="1" s="1"/>
  <c r="H88" i="1"/>
  <c r="H89" i="1"/>
  <c r="H90" i="1"/>
  <c r="H91" i="1"/>
  <c r="H92" i="1"/>
  <c r="H93" i="1"/>
  <c r="I93" i="1" s="1"/>
  <c r="J93" i="1" s="1"/>
  <c r="H94" i="1"/>
  <c r="H95" i="1"/>
  <c r="H96" i="1"/>
  <c r="H97" i="1"/>
  <c r="H98" i="1"/>
  <c r="I98" i="1" s="1"/>
  <c r="J98" i="1" s="1"/>
  <c r="H99" i="1"/>
  <c r="H100" i="1"/>
  <c r="H101" i="1"/>
  <c r="I101" i="1" s="1"/>
  <c r="J101" i="1" s="1"/>
  <c r="H102" i="1"/>
  <c r="I102" i="1" s="1"/>
  <c r="J102" i="1" s="1"/>
  <c r="H103" i="1"/>
  <c r="I103" i="1" s="1"/>
  <c r="J103" i="1" s="1"/>
  <c r="H104" i="1"/>
  <c r="H105" i="1"/>
  <c r="H106" i="1"/>
  <c r="H107" i="1"/>
  <c r="H108" i="1"/>
  <c r="H109" i="1"/>
  <c r="I109" i="1" s="1"/>
  <c r="J109" i="1" s="1"/>
  <c r="H110" i="1"/>
  <c r="H111" i="1"/>
  <c r="H112" i="1"/>
  <c r="H113" i="1"/>
  <c r="H114" i="1"/>
  <c r="I114" i="1" s="1"/>
  <c r="J114" i="1" s="1"/>
  <c r="H115" i="1"/>
  <c r="I115" i="1" s="1"/>
  <c r="J115" i="1" s="1"/>
  <c r="H116" i="1"/>
  <c r="I116" i="1" s="1"/>
  <c r="J116" i="1" s="1"/>
  <c r="H117" i="1"/>
  <c r="I117" i="1" s="1"/>
  <c r="J117" i="1" s="1"/>
  <c r="H118" i="1"/>
  <c r="I118" i="1" s="1"/>
  <c r="J118" i="1" s="1"/>
  <c r="H119" i="1"/>
  <c r="H120" i="1"/>
  <c r="H121" i="1"/>
  <c r="H122" i="1"/>
  <c r="H123" i="1"/>
  <c r="H124" i="1"/>
  <c r="H125" i="1"/>
  <c r="I125" i="1" s="1"/>
  <c r="J125" i="1" s="1"/>
  <c r="H126" i="1"/>
  <c r="H127" i="1"/>
  <c r="H128" i="1"/>
  <c r="H129" i="1"/>
  <c r="H130" i="1"/>
  <c r="I130" i="1" s="1"/>
  <c r="J130" i="1" s="1"/>
  <c r="H131" i="1"/>
  <c r="I131" i="1" s="1"/>
  <c r="J131" i="1" s="1"/>
  <c r="H132" i="1"/>
  <c r="I132" i="1" s="1"/>
  <c r="J132" i="1" s="1"/>
  <c r="H133" i="1"/>
  <c r="I133" i="1" s="1"/>
  <c r="J133" i="1" s="1"/>
  <c r="H134" i="1"/>
  <c r="I134" i="1" s="1"/>
  <c r="J134" i="1" s="1"/>
  <c r="H135" i="1"/>
  <c r="I135" i="1" s="1"/>
  <c r="J135" i="1" s="1"/>
  <c r="H136" i="1"/>
  <c r="H137" i="1"/>
  <c r="H138" i="1"/>
  <c r="H139" i="1"/>
  <c r="H140" i="1"/>
  <c r="H141" i="1"/>
  <c r="I141" i="1" s="1"/>
  <c r="J141" i="1" s="1"/>
  <c r="H142" i="1"/>
  <c r="H143" i="1"/>
  <c r="H144" i="1"/>
  <c r="H145" i="1"/>
  <c r="H146" i="1"/>
  <c r="I146" i="1" s="1"/>
  <c r="J146" i="1" s="1"/>
  <c r="H147" i="1"/>
  <c r="I147" i="1" s="1"/>
  <c r="J147" i="1" s="1"/>
  <c r="H148" i="1"/>
  <c r="I148" i="1" s="1"/>
  <c r="J148" i="1" s="1"/>
  <c r="H149" i="1"/>
  <c r="I149" i="1" s="1"/>
  <c r="J149" i="1" s="1"/>
  <c r="H150" i="1"/>
  <c r="I150" i="1" s="1"/>
  <c r="J150" i="1" s="1"/>
  <c r="H151" i="1"/>
  <c r="I151" i="1" s="1"/>
  <c r="J151" i="1" s="1"/>
  <c r="H152" i="1"/>
  <c r="H153" i="1"/>
  <c r="H154" i="1"/>
  <c r="H155" i="1"/>
  <c r="H156" i="1"/>
  <c r="H157" i="1"/>
  <c r="I157" i="1" s="1"/>
  <c r="J157" i="1" s="1"/>
  <c r="H158" i="1"/>
  <c r="H159" i="1"/>
  <c r="H160" i="1"/>
  <c r="H161" i="1"/>
  <c r="H162" i="1"/>
  <c r="I162" i="1" s="1"/>
  <c r="J162" i="1" s="1"/>
  <c r="H163" i="1"/>
  <c r="H164" i="1"/>
  <c r="H165" i="1"/>
  <c r="I165" i="1" s="1"/>
  <c r="J165" i="1" s="1"/>
  <c r="H166" i="1"/>
  <c r="I166" i="1" s="1"/>
  <c r="J166" i="1" s="1"/>
  <c r="H167" i="1"/>
  <c r="I167" i="1" s="1"/>
  <c r="J167" i="1" s="1"/>
  <c r="H168" i="1"/>
  <c r="H169" i="1"/>
  <c r="H170" i="1"/>
  <c r="H171" i="1"/>
  <c r="H172" i="1"/>
  <c r="H173" i="1"/>
  <c r="I173" i="1" s="1"/>
  <c r="J173" i="1" s="1"/>
  <c r="H174" i="1"/>
  <c r="H175" i="1"/>
  <c r="H176" i="1"/>
  <c r="H177" i="1"/>
  <c r="H178" i="1"/>
  <c r="I178" i="1" s="1"/>
  <c r="J178" i="1" s="1"/>
  <c r="H179" i="1"/>
  <c r="H180" i="1"/>
  <c r="I180" i="1" s="1"/>
  <c r="J180" i="1" s="1"/>
  <c r="H181" i="1"/>
  <c r="I181" i="1" s="1"/>
  <c r="J181" i="1" s="1"/>
  <c r="H182" i="1"/>
  <c r="I182" i="1" s="1"/>
  <c r="J182" i="1" s="1"/>
  <c r="H183" i="1"/>
  <c r="H184" i="1"/>
  <c r="H185" i="1"/>
  <c r="H186" i="1"/>
  <c r="H187" i="1"/>
  <c r="H188" i="1"/>
  <c r="H189" i="1"/>
  <c r="I189" i="1" s="1"/>
  <c r="J189" i="1" s="1"/>
  <c r="H190" i="1"/>
  <c r="H191" i="1"/>
  <c r="H192" i="1"/>
  <c r="H193" i="1"/>
  <c r="H194" i="1"/>
  <c r="I194" i="1" s="1"/>
  <c r="J194" i="1" s="1"/>
  <c r="H195" i="1"/>
  <c r="H196" i="1"/>
  <c r="I196" i="1" s="1"/>
  <c r="J196" i="1" s="1"/>
  <c r="H197" i="1"/>
  <c r="I197" i="1" s="1"/>
  <c r="J197" i="1" s="1"/>
  <c r="H198" i="1"/>
  <c r="I198" i="1" s="1"/>
  <c r="J198" i="1" s="1"/>
  <c r="H199" i="1"/>
  <c r="I199" i="1" s="1"/>
  <c r="J199" i="1" s="1"/>
  <c r="H200" i="1"/>
  <c r="H201" i="1"/>
  <c r="H202" i="1"/>
  <c r="H203" i="1"/>
  <c r="H204" i="1"/>
  <c r="H205" i="1"/>
  <c r="I205" i="1" s="1"/>
  <c r="J205" i="1" s="1"/>
  <c r="H206" i="1"/>
  <c r="H207" i="1"/>
  <c r="H208" i="1"/>
  <c r="H209" i="1"/>
  <c r="H210" i="1"/>
  <c r="I210" i="1" s="1"/>
  <c r="J210" i="1" s="1"/>
  <c r="H211" i="1"/>
  <c r="H212" i="1"/>
  <c r="I212" i="1" s="1"/>
  <c r="J212" i="1" s="1"/>
  <c r="H213" i="1"/>
  <c r="I213" i="1" s="1"/>
  <c r="J213" i="1" s="1"/>
  <c r="H214" i="1"/>
  <c r="I214" i="1" s="1"/>
  <c r="J214" i="1" s="1"/>
  <c r="H215" i="1"/>
  <c r="I215" i="1" s="1"/>
  <c r="J215" i="1" s="1"/>
  <c r="H216" i="1"/>
  <c r="H217" i="1"/>
  <c r="H218" i="1"/>
  <c r="H219" i="1"/>
  <c r="H220" i="1"/>
  <c r="H221" i="1"/>
  <c r="I221" i="1" s="1"/>
  <c r="J221" i="1" s="1"/>
  <c r="H222" i="1"/>
  <c r="H223" i="1"/>
  <c r="H224" i="1"/>
  <c r="H225" i="1"/>
  <c r="H226" i="1"/>
  <c r="I226" i="1" s="1"/>
  <c r="J226" i="1" s="1"/>
  <c r="H227" i="1"/>
  <c r="H228" i="1"/>
  <c r="H229" i="1"/>
  <c r="I229" i="1" s="1"/>
  <c r="J229" i="1" s="1"/>
  <c r="H230" i="1"/>
  <c r="I230" i="1" s="1"/>
  <c r="J230" i="1" s="1"/>
  <c r="H231" i="1"/>
  <c r="I231" i="1" s="1"/>
  <c r="J231" i="1" s="1"/>
  <c r="H232" i="1"/>
  <c r="H233" i="1"/>
  <c r="H234" i="1"/>
  <c r="H235" i="1"/>
  <c r="H236" i="1"/>
  <c r="H237" i="1"/>
  <c r="I237" i="1" s="1"/>
  <c r="J237" i="1" s="1"/>
  <c r="H238" i="1"/>
  <c r="H239" i="1"/>
  <c r="H240" i="1"/>
  <c r="H241" i="1"/>
  <c r="H242" i="1"/>
  <c r="I242" i="1" s="1"/>
  <c r="J242" i="1" s="1"/>
  <c r="H243" i="1"/>
  <c r="I243" i="1" s="1"/>
  <c r="J243" i="1" s="1"/>
  <c r="H244" i="1"/>
  <c r="I244" i="1" s="1"/>
  <c r="J244" i="1" s="1"/>
  <c r="H245" i="1"/>
  <c r="I245" i="1" s="1"/>
  <c r="J245" i="1" s="1"/>
  <c r="H246" i="1"/>
  <c r="I246" i="1" s="1"/>
  <c r="J246" i="1" s="1"/>
  <c r="H247" i="1"/>
  <c r="H248" i="1"/>
  <c r="H249" i="1"/>
  <c r="H250" i="1"/>
  <c r="H251" i="1"/>
  <c r="H252" i="1"/>
  <c r="H253" i="1"/>
  <c r="I253" i="1" s="1"/>
  <c r="J253" i="1" s="1"/>
  <c r="H254" i="1"/>
  <c r="H255" i="1"/>
  <c r="H256" i="1"/>
  <c r="H257" i="1"/>
  <c r="H258" i="1"/>
  <c r="I258" i="1" s="1"/>
  <c r="J258" i="1" s="1"/>
  <c r="H259" i="1"/>
  <c r="I259" i="1" s="1"/>
  <c r="J259" i="1" s="1"/>
  <c r="H260" i="1"/>
  <c r="I260" i="1" s="1"/>
  <c r="J260" i="1" s="1"/>
  <c r="H261" i="1"/>
  <c r="I261" i="1" s="1"/>
  <c r="J261" i="1" s="1"/>
  <c r="H262" i="1"/>
  <c r="I262" i="1" s="1"/>
  <c r="J262" i="1" s="1"/>
  <c r="H263" i="1"/>
  <c r="I263" i="1" s="1"/>
  <c r="J263" i="1" s="1"/>
  <c r="H264" i="1"/>
  <c r="H265" i="1"/>
  <c r="H266" i="1"/>
  <c r="H267" i="1"/>
  <c r="H268" i="1"/>
  <c r="H269" i="1"/>
  <c r="I269" i="1" s="1"/>
  <c r="J269" i="1" s="1"/>
  <c r="H270" i="1"/>
  <c r="H271" i="1"/>
  <c r="H272" i="1"/>
  <c r="H273" i="1"/>
  <c r="H274" i="1"/>
  <c r="I274" i="1" s="1"/>
  <c r="J274" i="1" s="1"/>
  <c r="H275" i="1"/>
  <c r="I275" i="1" s="1"/>
  <c r="J275" i="1" s="1"/>
  <c r="H276" i="1"/>
  <c r="I276" i="1" s="1"/>
  <c r="J276" i="1" s="1"/>
  <c r="H277" i="1"/>
  <c r="I277" i="1" s="1"/>
  <c r="J277" i="1" s="1"/>
  <c r="H278" i="1"/>
  <c r="I278" i="1" s="1"/>
  <c r="J278" i="1" s="1"/>
  <c r="H279" i="1"/>
  <c r="I279" i="1" s="1"/>
  <c r="J279" i="1" s="1"/>
  <c r="H280" i="1"/>
  <c r="H281" i="1"/>
  <c r="H282" i="1"/>
  <c r="H283" i="1"/>
  <c r="H284" i="1"/>
  <c r="H285" i="1"/>
  <c r="I285" i="1" s="1"/>
  <c r="J285" i="1" s="1"/>
  <c r="H286" i="1"/>
  <c r="H287" i="1"/>
  <c r="H288" i="1"/>
  <c r="H289" i="1"/>
  <c r="H290" i="1"/>
  <c r="I290" i="1" s="1"/>
  <c r="J290" i="1" s="1"/>
  <c r="H291" i="1"/>
  <c r="H292" i="1"/>
  <c r="H293" i="1"/>
  <c r="I293" i="1" s="1"/>
  <c r="J293" i="1" s="1"/>
  <c r="H294" i="1"/>
  <c r="I294" i="1" s="1"/>
  <c r="J294" i="1" s="1"/>
  <c r="H295" i="1"/>
  <c r="I295" i="1" s="1"/>
  <c r="J295" i="1" s="1"/>
  <c r="H296" i="1"/>
  <c r="H297" i="1"/>
  <c r="H298" i="1"/>
  <c r="H299" i="1"/>
  <c r="H300" i="1"/>
  <c r="H301" i="1"/>
  <c r="I301" i="1" s="1"/>
  <c r="J301" i="1" s="1"/>
  <c r="H302" i="1"/>
  <c r="H303" i="1"/>
  <c r="H304" i="1"/>
  <c r="H305" i="1"/>
  <c r="H306" i="1"/>
  <c r="I306" i="1" s="1"/>
  <c r="J306" i="1" s="1"/>
  <c r="H307" i="1"/>
  <c r="H308" i="1"/>
  <c r="I308" i="1" s="1"/>
  <c r="J308" i="1" s="1"/>
  <c r="H309" i="1"/>
  <c r="I309" i="1" s="1"/>
  <c r="J309" i="1" s="1"/>
  <c r="H310" i="1"/>
  <c r="I310" i="1" s="1"/>
  <c r="J310" i="1" s="1"/>
  <c r="H311" i="1"/>
  <c r="H312" i="1"/>
  <c r="H313" i="1"/>
  <c r="H314" i="1"/>
  <c r="H315" i="1"/>
  <c r="H316" i="1"/>
  <c r="H317" i="1"/>
  <c r="I317" i="1" s="1"/>
  <c r="J317" i="1" s="1"/>
  <c r="H318" i="1"/>
  <c r="H319" i="1"/>
  <c r="H320" i="1"/>
  <c r="H321" i="1"/>
  <c r="H322" i="1"/>
  <c r="I322" i="1" s="1"/>
  <c r="J322" i="1" s="1"/>
  <c r="H323" i="1"/>
  <c r="H324" i="1"/>
  <c r="I324" i="1" s="1"/>
  <c r="J324" i="1" s="1"/>
  <c r="H325" i="1"/>
  <c r="I325" i="1" s="1"/>
  <c r="J325" i="1" s="1"/>
  <c r="H326" i="1"/>
  <c r="I326" i="1" s="1"/>
  <c r="J326" i="1" s="1"/>
  <c r="H327" i="1"/>
  <c r="I327" i="1" s="1"/>
  <c r="J327" i="1" s="1"/>
  <c r="H328" i="1"/>
  <c r="H329" i="1"/>
  <c r="H330" i="1"/>
  <c r="H331" i="1"/>
  <c r="H332" i="1"/>
  <c r="H333" i="1"/>
  <c r="I333" i="1" s="1"/>
  <c r="J333" i="1" s="1"/>
  <c r="H334" i="1"/>
  <c r="H335" i="1"/>
  <c r="H336" i="1"/>
  <c r="H337" i="1"/>
  <c r="H338" i="1"/>
  <c r="I338" i="1" s="1"/>
  <c r="J338" i="1" s="1"/>
  <c r="H339" i="1"/>
  <c r="H340" i="1"/>
  <c r="I340" i="1" s="1"/>
  <c r="J340" i="1" s="1"/>
  <c r="H341" i="1"/>
  <c r="I341" i="1" s="1"/>
  <c r="J341" i="1" s="1"/>
  <c r="H342" i="1"/>
  <c r="I342" i="1" s="1"/>
  <c r="J342" i="1" s="1"/>
  <c r="H343" i="1"/>
  <c r="I343" i="1" s="1"/>
  <c r="J343" i="1" s="1"/>
  <c r="H344" i="1"/>
  <c r="H345" i="1"/>
  <c r="H346" i="1"/>
  <c r="H347" i="1"/>
  <c r="H348" i="1"/>
  <c r="H349" i="1"/>
  <c r="I349" i="1" s="1"/>
  <c r="J349" i="1" s="1"/>
  <c r="H350" i="1"/>
  <c r="H351" i="1"/>
  <c r="H352" i="1"/>
  <c r="H353" i="1"/>
  <c r="H354" i="1"/>
  <c r="I354" i="1" s="1"/>
  <c r="J354" i="1" s="1"/>
  <c r="H355" i="1"/>
  <c r="H356" i="1"/>
  <c r="H357" i="1"/>
  <c r="I357" i="1" s="1"/>
  <c r="J357" i="1" s="1"/>
  <c r="H358" i="1"/>
  <c r="I358" i="1" s="1"/>
  <c r="J358" i="1" s="1"/>
  <c r="H359" i="1"/>
  <c r="I359" i="1" s="1"/>
  <c r="J359" i="1" s="1"/>
  <c r="H360" i="1"/>
  <c r="H361" i="1"/>
  <c r="H362" i="1"/>
  <c r="H363" i="1"/>
  <c r="H364" i="1"/>
  <c r="H365" i="1"/>
  <c r="I365" i="1" s="1"/>
  <c r="J365" i="1" s="1"/>
  <c r="H366" i="1"/>
  <c r="H367" i="1"/>
  <c r="H368" i="1"/>
  <c r="H369" i="1"/>
  <c r="H370" i="1"/>
  <c r="I370" i="1" s="1"/>
  <c r="J370" i="1" s="1"/>
  <c r="H371" i="1"/>
  <c r="I371" i="1" s="1"/>
  <c r="J371" i="1" s="1"/>
  <c r="H372" i="1"/>
  <c r="I372" i="1" s="1"/>
  <c r="J372" i="1" s="1"/>
  <c r="H373" i="1"/>
  <c r="I373" i="1" s="1"/>
  <c r="J373" i="1" s="1"/>
  <c r="H374" i="1"/>
  <c r="I374" i="1" s="1"/>
  <c r="J374" i="1" s="1"/>
  <c r="H375" i="1"/>
  <c r="H376" i="1"/>
  <c r="H377" i="1"/>
  <c r="H378" i="1"/>
  <c r="H379" i="1"/>
  <c r="H380" i="1"/>
  <c r="H381" i="1"/>
  <c r="I381" i="1" s="1"/>
  <c r="J381" i="1" s="1"/>
  <c r="H382" i="1"/>
  <c r="H383" i="1"/>
  <c r="H384" i="1"/>
  <c r="H385" i="1"/>
  <c r="H386" i="1"/>
  <c r="I386" i="1" s="1"/>
  <c r="J386" i="1" s="1"/>
  <c r="H387" i="1"/>
  <c r="I387" i="1" s="1"/>
  <c r="J387" i="1" s="1"/>
  <c r="H388" i="1"/>
  <c r="I388" i="1" s="1"/>
  <c r="J388" i="1" s="1"/>
  <c r="H389" i="1"/>
  <c r="I389" i="1" s="1"/>
  <c r="J389" i="1" s="1"/>
  <c r="H390" i="1"/>
  <c r="I390" i="1" s="1"/>
  <c r="J390" i="1" s="1"/>
  <c r="H391" i="1"/>
  <c r="I391" i="1" s="1"/>
  <c r="J391" i="1" s="1"/>
  <c r="H392" i="1"/>
  <c r="H393" i="1"/>
  <c r="H394" i="1"/>
  <c r="H395" i="1"/>
  <c r="H396" i="1"/>
  <c r="H397" i="1"/>
  <c r="I397" i="1" s="1"/>
  <c r="J397" i="1" s="1"/>
  <c r="H398" i="1"/>
  <c r="H399" i="1"/>
  <c r="H400" i="1"/>
  <c r="H401" i="1"/>
  <c r="H402" i="1"/>
  <c r="I402" i="1" s="1"/>
  <c r="J402" i="1" s="1"/>
  <c r="H403" i="1"/>
  <c r="I403" i="1" s="1"/>
  <c r="J403" i="1" s="1"/>
  <c r="H404" i="1"/>
  <c r="I404" i="1" s="1"/>
  <c r="J404" i="1" s="1"/>
  <c r="H405" i="1"/>
  <c r="I405" i="1" s="1"/>
  <c r="J405" i="1" s="1"/>
  <c r="H406" i="1"/>
  <c r="I406" i="1" s="1"/>
  <c r="J406" i="1" s="1"/>
  <c r="H407" i="1"/>
  <c r="I407" i="1" s="1"/>
  <c r="J407" i="1" s="1"/>
  <c r="H408" i="1"/>
  <c r="H409" i="1"/>
  <c r="H410" i="1"/>
  <c r="H411" i="1"/>
  <c r="H412" i="1"/>
  <c r="H413" i="1"/>
  <c r="I413" i="1" s="1"/>
  <c r="J413" i="1" s="1"/>
  <c r="H414" i="1"/>
  <c r="H415" i="1"/>
  <c r="H416" i="1"/>
  <c r="H417" i="1"/>
  <c r="H418" i="1"/>
  <c r="I418" i="1" s="1"/>
  <c r="J418" i="1" s="1"/>
  <c r="H419" i="1"/>
  <c r="H420" i="1"/>
  <c r="H421" i="1"/>
  <c r="I421" i="1" s="1"/>
  <c r="J421" i="1" s="1"/>
  <c r="H422" i="1"/>
  <c r="I422" i="1" s="1"/>
  <c r="J422" i="1" s="1"/>
  <c r="H423" i="1"/>
  <c r="I423" i="1" s="1"/>
  <c r="J423" i="1" s="1"/>
  <c r="H424" i="1"/>
  <c r="H425" i="1"/>
  <c r="H426" i="1"/>
  <c r="H427" i="1"/>
  <c r="H428" i="1"/>
  <c r="H429" i="1"/>
  <c r="I429" i="1" s="1"/>
  <c r="J429" i="1" s="1"/>
  <c r="H430" i="1"/>
  <c r="H431" i="1"/>
  <c r="H432" i="1"/>
  <c r="H433" i="1"/>
  <c r="H434" i="1"/>
  <c r="I434" i="1" s="1"/>
  <c r="J434" i="1" s="1"/>
  <c r="H435" i="1"/>
  <c r="H436" i="1"/>
  <c r="I436" i="1" s="1"/>
  <c r="J436" i="1" s="1"/>
  <c r="H437" i="1"/>
  <c r="I437" i="1" s="1"/>
  <c r="J437" i="1" s="1"/>
  <c r="H438" i="1"/>
  <c r="I438" i="1" s="1"/>
  <c r="J438" i="1" s="1"/>
  <c r="H439" i="1"/>
  <c r="H440" i="1"/>
  <c r="H441" i="1"/>
  <c r="H442" i="1"/>
  <c r="H443" i="1"/>
  <c r="H444" i="1"/>
  <c r="H445" i="1"/>
  <c r="I445" i="1" s="1"/>
  <c r="J445" i="1" s="1"/>
  <c r="H446" i="1"/>
  <c r="H447" i="1"/>
  <c r="H448" i="1"/>
  <c r="H449" i="1"/>
  <c r="H450" i="1"/>
  <c r="I450" i="1" s="1"/>
  <c r="J450" i="1" s="1"/>
  <c r="H451" i="1"/>
  <c r="H452" i="1"/>
  <c r="I452" i="1" s="1"/>
  <c r="J452" i="1" s="1"/>
  <c r="H453" i="1"/>
  <c r="I453" i="1" s="1"/>
  <c r="J453" i="1" s="1"/>
  <c r="H454" i="1"/>
  <c r="I454" i="1" s="1"/>
  <c r="J454" i="1" s="1"/>
  <c r="H455" i="1"/>
  <c r="I455" i="1" s="1"/>
  <c r="J455" i="1" s="1"/>
  <c r="H456" i="1"/>
  <c r="H457" i="1"/>
  <c r="H458" i="1"/>
  <c r="H459" i="1"/>
  <c r="H460" i="1"/>
  <c r="H461" i="1"/>
  <c r="I461" i="1" s="1"/>
  <c r="J461" i="1" s="1"/>
  <c r="H462" i="1"/>
  <c r="H463" i="1"/>
  <c r="H464" i="1"/>
  <c r="H465" i="1"/>
  <c r="H466" i="1"/>
  <c r="I466" i="1" s="1"/>
  <c r="J466" i="1" s="1"/>
  <c r="H467" i="1"/>
  <c r="H468" i="1"/>
  <c r="I468" i="1" s="1"/>
  <c r="J468" i="1" s="1"/>
  <c r="H469" i="1"/>
  <c r="I469" i="1" s="1"/>
  <c r="J469" i="1" s="1"/>
  <c r="H470" i="1"/>
  <c r="I470" i="1" s="1"/>
  <c r="J470" i="1" s="1"/>
  <c r="H471" i="1"/>
  <c r="I471" i="1" s="1"/>
  <c r="J471" i="1" s="1"/>
  <c r="H472" i="1"/>
  <c r="H473" i="1"/>
  <c r="H474" i="1"/>
  <c r="H475" i="1"/>
  <c r="H476" i="1"/>
  <c r="H477" i="1"/>
  <c r="I477" i="1" s="1"/>
  <c r="J477" i="1" s="1"/>
  <c r="H478" i="1"/>
  <c r="H479" i="1"/>
  <c r="H480" i="1"/>
  <c r="H481" i="1"/>
  <c r="H482" i="1"/>
  <c r="I482" i="1" s="1"/>
  <c r="J482" i="1" s="1"/>
  <c r="H483" i="1"/>
  <c r="H484" i="1"/>
  <c r="H485" i="1"/>
  <c r="I485" i="1" s="1"/>
  <c r="J485" i="1" s="1"/>
  <c r="H486" i="1"/>
  <c r="I486" i="1" s="1"/>
  <c r="J486" i="1" s="1"/>
  <c r="H487" i="1"/>
  <c r="I487" i="1" s="1"/>
  <c r="J487" i="1" s="1"/>
  <c r="H488" i="1"/>
  <c r="H489" i="1"/>
  <c r="H490" i="1"/>
  <c r="H491" i="1"/>
  <c r="H492" i="1"/>
  <c r="H493" i="1"/>
  <c r="I493" i="1" s="1"/>
  <c r="J493" i="1" s="1"/>
  <c r="H494" i="1"/>
  <c r="H495" i="1"/>
  <c r="H496" i="1"/>
  <c r="H497" i="1"/>
  <c r="H498" i="1"/>
  <c r="I498" i="1" s="1"/>
  <c r="J498" i="1" s="1"/>
  <c r="H499" i="1"/>
  <c r="I499" i="1" s="1"/>
  <c r="J499" i="1" s="1"/>
  <c r="H500" i="1"/>
  <c r="I500" i="1" s="1"/>
  <c r="J500" i="1" s="1"/>
  <c r="H501" i="1"/>
  <c r="I501" i="1" s="1"/>
  <c r="J501" i="1" s="1"/>
  <c r="H502" i="1"/>
  <c r="I502" i="1" s="1"/>
  <c r="J502" i="1" s="1"/>
  <c r="H503" i="1"/>
  <c r="H504" i="1"/>
  <c r="H505" i="1"/>
  <c r="H506" i="1"/>
  <c r="H507" i="1"/>
  <c r="H508" i="1"/>
  <c r="H509" i="1"/>
  <c r="I509" i="1" s="1"/>
  <c r="J509" i="1" s="1"/>
  <c r="H510" i="1"/>
  <c r="H511" i="1"/>
  <c r="H512" i="1"/>
  <c r="H513" i="1"/>
  <c r="H514" i="1"/>
  <c r="I514" i="1" s="1"/>
  <c r="J514" i="1" s="1"/>
  <c r="H515" i="1"/>
  <c r="I515" i="1" s="1"/>
  <c r="J515" i="1" s="1"/>
  <c r="H516" i="1"/>
  <c r="I516" i="1" s="1"/>
  <c r="J516" i="1" s="1"/>
  <c r="H517" i="1"/>
  <c r="I517" i="1" s="1"/>
  <c r="J517" i="1" s="1"/>
  <c r="H518" i="1"/>
  <c r="I518" i="1" s="1"/>
  <c r="J518" i="1" s="1"/>
  <c r="H519" i="1"/>
  <c r="I519" i="1" s="1"/>
  <c r="J519" i="1" s="1"/>
  <c r="H520" i="1"/>
  <c r="H521" i="1"/>
  <c r="H522" i="1"/>
  <c r="H523" i="1"/>
  <c r="H524" i="1"/>
  <c r="H525" i="1"/>
  <c r="I525" i="1" s="1"/>
  <c r="J525" i="1" s="1"/>
  <c r="H526" i="1"/>
  <c r="H527" i="1"/>
  <c r="H528" i="1"/>
  <c r="H529" i="1"/>
  <c r="H530" i="1"/>
  <c r="I530" i="1" s="1"/>
  <c r="J530" i="1" s="1"/>
  <c r="H531" i="1"/>
  <c r="I531" i="1" s="1"/>
  <c r="J531" i="1" s="1"/>
  <c r="H532" i="1"/>
  <c r="I532" i="1" s="1"/>
  <c r="J532" i="1" s="1"/>
  <c r="H533" i="1"/>
  <c r="I533" i="1" s="1"/>
  <c r="J533" i="1" s="1"/>
  <c r="H534" i="1"/>
  <c r="I534" i="1" s="1"/>
  <c r="J534" i="1" s="1"/>
  <c r="H535" i="1"/>
  <c r="I535" i="1" s="1"/>
  <c r="J535" i="1" s="1"/>
  <c r="H536" i="1"/>
  <c r="H537" i="1"/>
  <c r="H538" i="1"/>
  <c r="H539" i="1"/>
  <c r="H540" i="1"/>
  <c r="H541" i="1"/>
  <c r="I541" i="1" s="1"/>
  <c r="J541" i="1" s="1"/>
  <c r="H542" i="1"/>
  <c r="H543" i="1"/>
  <c r="H544" i="1"/>
  <c r="H545" i="1"/>
  <c r="H546" i="1"/>
  <c r="I546" i="1" s="1"/>
  <c r="J546" i="1" s="1"/>
  <c r="H547" i="1"/>
  <c r="H548" i="1"/>
  <c r="H549" i="1"/>
  <c r="I549" i="1" s="1"/>
  <c r="J549" i="1" s="1"/>
  <c r="H550" i="1"/>
  <c r="I550" i="1" s="1"/>
  <c r="J550" i="1" s="1"/>
  <c r="H551" i="1"/>
  <c r="I551" i="1" s="1"/>
  <c r="J551" i="1" s="1"/>
  <c r="H552" i="1"/>
  <c r="H553" i="1"/>
  <c r="H554" i="1"/>
  <c r="H555" i="1"/>
  <c r="H556" i="1"/>
  <c r="H557" i="1"/>
  <c r="I557" i="1" s="1"/>
  <c r="J557" i="1" s="1"/>
  <c r="H558" i="1"/>
  <c r="H559" i="1"/>
  <c r="H560" i="1"/>
  <c r="H561" i="1"/>
  <c r="H562" i="1"/>
  <c r="I562" i="1" s="1"/>
  <c r="J562" i="1" s="1"/>
  <c r="H563" i="1"/>
  <c r="H564" i="1"/>
  <c r="I564" i="1" s="1"/>
  <c r="J564" i="1" s="1"/>
  <c r="H565" i="1"/>
  <c r="I565" i="1" s="1"/>
  <c r="J565" i="1" s="1"/>
  <c r="H566" i="1"/>
  <c r="I566" i="1" s="1"/>
  <c r="J566" i="1" s="1"/>
  <c r="H567" i="1"/>
  <c r="H568" i="1"/>
  <c r="H569" i="1"/>
  <c r="H570" i="1"/>
  <c r="H571" i="1"/>
  <c r="H572" i="1"/>
  <c r="H573" i="1"/>
  <c r="I573" i="1" s="1"/>
  <c r="J573" i="1" s="1"/>
  <c r="H574" i="1"/>
  <c r="H575" i="1"/>
  <c r="H576" i="1"/>
  <c r="H577" i="1"/>
  <c r="H578" i="1"/>
  <c r="I578" i="1" s="1"/>
  <c r="J578" i="1" s="1"/>
  <c r="H579" i="1"/>
  <c r="H580" i="1"/>
  <c r="I580" i="1" s="1"/>
  <c r="J580" i="1" s="1"/>
  <c r="H581" i="1"/>
  <c r="I581" i="1" s="1"/>
  <c r="J581" i="1" s="1"/>
  <c r="H582" i="1"/>
  <c r="I582" i="1" s="1"/>
  <c r="J582" i="1" s="1"/>
  <c r="H583" i="1"/>
  <c r="I583" i="1" s="1"/>
  <c r="J583" i="1" s="1"/>
  <c r="H584" i="1"/>
  <c r="H585" i="1"/>
  <c r="H586" i="1"/>
  <c r="H587" i="1"/>
  <c r="H588" i="1"/>
  <c r="H589" i="1"/>
  <c r="I589" i="1" s="1"/>
  <c r="J589" i="1" s="1"/>
  <c r="H590" i="1"/>
  <c r="H591" i="1"/>
  <c r="H592" i="1"/>
  <c r="H593" i="1"/>
  <c r="H594" i="1"/>
  <c r="I594" i="1" s="1"/>
  <c r="J594" i="1" s="1"/>
  <c r="H595" i="1"/>
  <c r="H596" i="1"/>
  <c r="I596" i="1" s="1"/>
  <c r="J596" i="1" s="1"/>
  <c r="H597" i="1"/>
  <c r="I597" i="1" s="1"/>
  <c r="J597" i="1" s="1"/>
  <c r="H598" i="1"/>
  <c r="I598" i="1" s="1"/>
  <c r="J598" i="1" s="1"/>
  <c r="H599" i="1"/>
  <c r="I599" i="1" s="1"/>
  <c r="J599" i="1" s="1"/>
  <c r="H600" i="1"/>
  <c r="H601" i="1"/>
  <c r="H602" i="1"/>
  <c r="H603" i="1"/>
  <c r="H604" i="1"/>
  <c r="H605" i="1"/>
  <c r="I605" i="1" s="1"/>
  <c r="J605" i="1" s="1"/>
  <c r="H606" i="1"/>
  <c r="H607" i="1"/>
  <c r="H608" i="1"/>
  <c r="H609" i="1"/>
  <c r="H610" i="1"/>
  <c r="I610" i="1" s="1"/>
  <c r="J610" i="1" s="1"/>
  <c r="H611" i="1"/>
  <c r="H612" i="1"/>
  <c r="H613" i="1"/>
  <c r="I613" i="1" s="1"/>
  <c r="J613" i="1" s="1"/>
  <c r="H614" i="1"/>
  <c r="I614" i="1" s="1"/>
  <c r="J614" i="1" s="1"/>
  <c r="H615" i="1"/>
  <c r="I615" i="1" s="1"/>
  <c r="J615" i="1" s="1"/>
  <c r="H616" i="1"/>
  <c r="H617" i="1"/>
  <c r="H618" i="1"/>
  <c r="H619" i="1"/>
  <c r="H620" i="1"/>
  <c r="H621" i="1"/>
  <c r="I621" i="1" s="1"/>
  <c r="J621" i="1" s="1"/>
  <c r="H622" i="1"/>
  <c r="H623" i="1"/>
  <c r="H624" i="1"/>
  <c r="H625" i="1"/>
  <c r="H626" i="1"/>
  <c r="I626" i="1" s="1"/>
  <c r="J626" i="1" s="1"/>
  <c r="H627" i="1"/>
  <c r="I627" i="1" s="1"/>
  <c r="J627" i="1" s="1"/>
  <c r="H628" i="1"/>
  <c r="I628" i="1" s="1"/>
  <c r="J628" i="1" s="1"/>
  <c r="H629" i="1"/>
  <c r="I629" i="1" s="1"/>
  <c r="J629" i="1" s="1"/>
  <c r="H630" i="1"/>
  <c r="I630" i="1" s="1"/>
  <c r="J630" i="1" s="1"/>
  <c r="H631" i="1"/>
  <c r="H632" i="1"/>
  <c r="H633" i="1"/>
  <c r="H634" i="1"/>
  <c r="H635" i="1"/>
  <c r="H636" i="1"/>
  <c r="H637" i="1"/>
  <c r="I637" i="1" s="1"/>
  <c r="J637" i="1" s="1"/>
  <c r="H638" i="1"/>
  <c r="H639" i="1"/>
  <c r="H640" i="1"/>
  <c r="H641" i="1"/>
  <c r="H642" i="1"/>
  <c r="I642" i="1" s="1"/>
  <c r="J642" i="1" s="1"/>
  <c r="H643" i="1"/>
  <c r="I643" i="1" s="1"/>
  <c r="J643" i="1" s="1"/>
  <c r="H644" i="1"/>
  <c r="I644" i="1" s="1"/>
  <c r="J644" i="1" s="1"/>
  <c r="H645" i="1"/>
  <c r="I645" i="1" s="1"/>
  <c r="J645" i="1" s="1"/>
  <c r="H646" i="1"/>
  <c r="I646" i="1" s="1"/>
  <c r="J646" i="1" s="1"/>
  <c r="H647" i="1"/>
  <c r="I647" i="1" s="1"/>
  <c r="J647" i="1" s="1"/>
  <c r="H648" i="1"/>
  <c r="H649" i="1"/>
  <c r="H650" i="1"/>
  <c r="H651" i="1"/>
  <c r="H652" i="1"/>
  <c r="H653" i="1"/>
  <c r="I653" i="1" s="1"/>
  <c r="J653" i="1" s="1"/>
  <c r="H654" i="1"/>
  <c r="H655" i="1"/>
  <c r="H656" i="1"/>
  <c r="H657" i="1"/>
  <c r="H658" i="1"/>
  <c r="I658" i="1" s="1"/>
  <c r="J658" i="1" s="1"/>
  <c r="H659" i="1"/>
  <c r="I659" i="1" s="1"/>
  <c r="J659" i="1" s="1"/>
  <c r="H660" i="1"/>
  <c r="I660" i="1" s="1"/>
  <c r="J660" i="1" s="1"/>
  <c r="H661" i="1"/>
  <c r="I661" i="1" s="1"/>
  <c r="J661" i="1" s="1"/>
  <c r="H662" i="1"/>
  <c r="I662" i="1" s="1"/>
  <c r="J662" i="1" s="1"/>
  <c r="H663" i="1"/>
  <c r="I663" i="1" s="1"/>
  <c r="J663" i="1" s="1"/>
  <c r="H664" i="1"/>
  <c r="H665" i="1"/>
  <c r="H666" i="1"/>
  <c r="H667" i="1"/>
  <c r="H668" i="1"/>
  <c r="H669" i="1"/>
  <c r="I669" i="1" s="1"/>
  <c r="J669" i="1" s="1"/>
  <c r="H670" i="1"/>
  <c r="H671" i="1"/>
  <c r="H672" i="1"/>
  <c r="H673" i="1"/>
  <c r="H674" i="1"/>
  <c r="I674" i="1" s="1"/>
  <c r="J674" i="1" s="1"/>
  <c r="H675" i="1"/>
  <c r="H676" i="1"/>
  <c r="H677" i="1"/>
  <c r="I677" i="1" s="1"/>
  <c r="J677" i="1" s="1"/>
  <c r="H678" i="1"/>
  <c r="I678" i="1" s="1"/>
  <c r="J678" i="1" s="1"/>
  <c r="H679" i="1"/>
  <c r="I679" i="1" s="1"/>
  <c r="J679" i="1" s="1"/>
  <c r="H680" i="1"/>
  <c r="H681" i="1"/>
  <c r="H682" i="1"/>
  <c r="H683" i="1"/>
  <c r="H684" i="1"/>
  <c r="H685" i="1"/>
  <c r="I685" i="1" s="1"/>
  <c r="J685" i="1" s="1"/>
  <c r="H686" i="1"/>
  <c r="H687" i="1"/>
  <c r="H688" i="1"/>
  <c r="H689" i="1"/>
  <c r="H690" i="1"/>
  <c r="I690" i="1" s="1"/>
  <c r="J690" i="1" s="1"/>
  <c r="H691" i="1"/>
  <c r="I691" i="1" s="1"/>
  <c r="J691" i="1" s="1"/>
  <c r="H692" i="1"/>
  <c r="I692" i="1" s="1"/>
  <c r="J692" i="1" s="1"/>
  <c r="H693" i="1"/>
  <c r="I693" i="1" s="1"/>
  <c r="J693" i="1" s="1"/>
  <c r="H694" i="1"/>
  <c r="I694" i="1" s="1"/>
  <c r="J694" i="1" s="1"/>
  <c r="H695" i="1"/>
  <c r="H696" i="1"/>
  <c r="H697" i="1"/>
  <c r="H698" i="1"/>
  <c r="H699" i="1"/>
  <c r="H700" i="1"/>
  <c r="H701" i="1"/>
  <c r="I701" i="1" s="1"/>
  <c r="J701" i="1" s="1"/>
  <c r="H702" i="1"/>
  <c r="H703" i="1"/>
  <c r="H704" i="1"/>
  <c r="H705" i="1"/>
  <c r="H706" i="1"/>
  <c r="I706" i="1" s="1"/>
  <c r="J706" i="1" s="1"/>
  <c r="H707" i="1"/>
  <c r="H708" i="1"/>
  <c r="I708" i="1" s="1"/>
  <c r="J708" i="1" s="1"/>
  <c r="H709" i="1"/>
  <c r="I709" i="1" s="1"/>
  <c r="J709" i="1" s="1"/>
  <c r="H710" i="1"/>
  <c r="I710" i="1" s="1"/>
  <c r="J710" i="1" s="1"/>
  <c r="H711" i="1"/>
  <c r="I711" i="1" s="1"/>
  <c r="J711" i="1" s="1"/>
  <c r="H712" i="1"/>
  <c r="H713" i="1"/>
  <c r="H714" i="1"/>
  <c r="H715" i="1"/>
  <c r="H716" i="1"/>
  <c r="H717" i="1"/>
  <c r="I717" i="1" s="1"/>
  <c r="J717" i="1" s="1"/>
  <c r="H718" i="1"/>
  <c r="H719" i="1"/>
  <c r="H720" i="1"/>
  <c r="H721" i="1"/>
  <c r="H722" i="1"/>
  <c r="I722" i="1" s="1"/>
  <c r="J722" i="1" s="1"/>
  <c r="H723" i="1"/>
  <c r="H724" i="1"/>
  <c r="I724" i="1" s="1"/>
  <c r="J724" i="1" s="1"/>
  <c r="H725" i="1"/>
  <c r="I725" i="1" s="1"/>
  <c r="J725" i="1" s="1"/>
  <c r="H726" i="1"/>
  <c r="I726" i="1" s="1"/>
  <c r="J726" i="1" s="1"/>
  <c r="H727" i="1"/>
  <c r="I727" i="1" s="1"/>
  <c r="J727" i="1" s="1"/>
  <c r="H728" i="1"/>
  <c r="H729" i="1"/>
  <c r="H730" i="1"/>
  <c r="H731" i="1"/>
  <c r="H732" i="1"/>
  <c r="H733" i="1"/>
  <c r="I733" i="1" s="1"/>
  <c r="J733" i="1" s="1"/>
  <c r="H734" i="1"/>
  <c r="H735" i="1"/>
  <c r="H736" i="1"/>
  <c r="H737" i="1"/>
  <c r="H738" i="1"/>
  <c r="I738" i="1" s="1"/>
  <c r="J738" i="1" s="1"/>
  <c r="H739" i="1"/>
  <c r="H740" i="1"/>
  <c r="H741" i="1"/>
  <c r="I741" i="1" s="1"/>
  <c r="J741" i="1" s="1"/>
  <c r="H742" i="1"/>
  <c r="I742" i="1" s="1"/>
  <c r="J742" i="1" s="1"/>
  <c r="H743" i="1"/>
  <c r="I743" i="1" s="1"/>
  <c r="J743" i="1" s="1"/>
  <c r="H744" i="1"/>
  <c r="H745" i="1"/>
  <c r="H746" i="1"/>
  <c r="H747" i="1"/>
  <c r="H748" i="1"/>
  <c r="H749" i="1"/>
  <c r="I749" i="1" s="1"/>
  <c r="J749" i="1" s="1"/>
  <c r="H750" i="1"/>
  <c r="H751" i="1"/>
  <c r="H752" i="1"/>
  <c r="H753" i="1"/>
  <c r="H754" i="1"/>
  <c r="I754" i="1" s="1"/>
  <c r="J754" i="1" s="1"/>
  <c r="H755" i="1"/>
  <c r="I755" i="1" s="1"/>
  <c r="J755" i="1" s="1"/>
  <c r="H756" i="1"/>
  <c r="I756" i="1" s="1"/>
  <c r="J756" i="1" s="1"/>
  <c r="H757" i="1"/>
  <c r="I757" i="1" s="1"/>
  <c r="J757" i="1" s="1"/>
  <c r="H758" i="1"/>
  <c r="I758" i="1" s="1"/>
  <c r="J758" i="1" s="1"/>
  <c r="H759" i="1"/>
  <c r="H760" i="1"/>
  <c r="H761" i="1"/>
  <c r="H762" i="1"/>
  <c r="H763" i="1"/>
  <c r="H764" i="1"/>
  <c r="H765" i="1"/>
  <c r="I765" i="1" s="1"/>
  <c r="J765" i="1" s="1"/>
  <c r="H766" i="1"/>
  <c r="H767" i="1"/>
  <c r="H768" i="1"/>
  <c r="H769" i="1"/>
  <c r="H770" i="1"/>
  <c r="I770" i="1" s="1"/>
  <c r="J770" i="1" s="1"/>
  <c r="H771" i="1"/>
  <c r="I771" i="1" s="1"/>
  <c r="J771" i="1" s="1"/>
  <c r="H772" i="1"/>
  <c r="I772" i="1" s="1"/>
  <c r="J772" i="1" s="1"/>
  <c r="H773" i="1"/>
  <c r="I773" i="1" s="1"/>
  <c r="J773" i="1" s="1"/>
  <c r="H774" i="1"/>
  <c r="I774" i="1" s="1"/>
  <c r="J774" i="1" s="1"/>
  <c r="H775" i="1"/>
  <c r="I775" i="1" s="1"/>
  <c r="J775" i="1" s="1"/>
  <c r="H776" i="1"/>
  <c r="H777" i="1"/>
  <c r="H778" i="1"/>
  <c r="H779" i="1"/>
  <c r="H780" i="1"/>
  <c r="H781" i="1"/>
  <c r="I781" i="1" s="1"/>
  <c r="J781" i="1" s="1"/>
  <c r="H782" i="1"/>
  <c r="H783" i="1"/>
  <c r="H784" i="1"/>
  <c r="H785" i="1"/>
  <c r="H786" i="1"/>
  <c r="I786" i="1" s="1"/>
  <c r="J786" i="1" s="1"/>
  <c r="H787" i="1"/>
  <c r="I787" i="1" s="1"/>
  <c r="J787" i="1" s="1"/>
  <c r="H788" i="1"/>
  <c r="I788" i="1" s="1"/>
  <c r="J788" i="1" s="1"/>
  <c r="H789" i="1"/>
  <c r="I789" i="1" s="1"/>
  <c r="J789" i="1" s="1"/>
  <c r="H790" i="1"/>
  <c r="I790" i="1" s="1"/>
  <c r="J790" i="1" s="1"/>
  <c r="H791" i="1"/>
  <c r="I791" i="1" s="1"/>
  <c r="J791" i="1" s="1"/>
  <c r="H792" i="1"/>
  <c r="H793" i="1"/>
  <c r="H794" i="1"/>
  <c r="H795" i="1"/>
  <c r="H796" i="1"/>
  <c r="H797" i="1"/>
  <c r="I797" i="1" s="1"/>
  <c r="J797" i="1" s="1"/>
  <c r="H798" i="1"/>
  <c r="H799" i="1"/>
  <c r="H800" i="1"/>
  <c r="H801" i="1"/>
  <c r="H802" i="1"/>
  <c r="I802" i="1" s="1"/>
  <c r="J802" i="1" s="1"/>
  <c r="H803" i="1"/>
  <c r="H804" i="1"/>
  <c r="H805" i="1"/>
  <c r="I805" i="1" s="1"/>
  <c r="J805" i="1" s="1"/>
  <c r="H806" i="1"/>
  <c r="I806" i="1" s="1"/>
  <c r="J806" i="1" s="1"/>
  <c r="H807" i="1"/>
  <c r="I807" i="1" s="1"/>
  <c r="J807" i="1" s="1"/>
  <c r="H808" i="1"/>
  <c r="H809" i="1"/>
  <c r="H810" i="1"/>
  <c r="H811" i="1"/>
  <c r="H812" i="1"/>
  <c r="H813" i="1"/>
  <c r="I813" i="1" s="1"/>
  <c r="J813" i="1" s="1"/>
  <c r="H814" i="1"/>
  <c r="H815" i="1"/>
  <c r="H816" i="1"/>
  <c r="H817" i="1"/>
  <c r="H818" i="1"/>
  <c r="I818" i="1" s="1"/>
  <c r="J818" i="1" s="1"/>
  <c r="H819" i="1"/>
  <c r="H820" i="1"/>
  <c r="I820" i="1" s="1"/>
  <c r="J820" i="1" s="1"/>
  <c r="H821" i="1"/>
  <c r="I821" i="1" s="1"/>
  <c r="J821" i="1" s="1"/>
  <c r="H822" i="1"/>
  <c r="I822" i="1" s="1"/>
  <c r="J822" i="1" s="1"/>
  <c r="H823" i="1"/>
  <c r="H824" i="1"/>
  <c r="H825" i="1"/>
  <c r="H826" i="1"/>
  <c r="H827" i="1"/>
  <c r="H828" i="1"/>
  <c r="H829" i="1"/>
  <c r="I829" i="1" s="1"/>
  <c r="J829" i="1" s="1"/>
  <c r="H830" i="1"/>
  <c r="H831" i="1"/>
  <c r="H832" i="1"/>
  <c r="H833" i="1"/>
  <c r="H834" i="1"/>
  <c r="I834" i="1" s="1"/>
  <c r="J834" i="1" s="1"/>
  <c r="H835" i="1"/>
  <c r="H836" i="1"/>
  <c r="I836" i="1" s="1"/>
  <c r="J836" i="1" s="1"/>
  <c r="H837" i="1"/>
  <c r="I837" i="1" s="1"/>
  <c r="J837" i="1" s="1"/>
  <c r="H838" i="1"/>
  <c r="I838" i="1" s="1"/>
  <c r="J838" i="1" s="1"/>
  <c r="H839" i="1"/>
  <c r="I839" i="1" s="1"/>
  <c r="J839" i="1" s="1"/>
  <c r="H840" i="1"/>
  <c r="H841" i="1"/>
  <c r="H842" i="1"/>
  <c r="H843" i="1"/>
  <c r="H844" i="1"/>
  <c r="H845" i="1"/>
  <c r="I845" i="1" s="1"/>
  <c r="J845" i="1" s="1"/>
  <c r="H846" i="1"/>
  <c r="H847" i="1"/>
  <c r="H848" i="1"/>
  <c r="H849" i="1"/>
  <c r="H850" i="1"/>
  <c r="I850" i="1" s="1"/>
  <c r="J850" i="1" s="1"/>
  <c r="H851" i="1"/>
  <c r="H852" i="1"/>
  <c r="I852" i="1" s="1"/>
  <c r="J852" i="1" s="1"/>
  <c r="H853" i="1"/>
  <c r="I853" i="1" s="1"/>
  <c r="J853" i="1" s="1"/>
  <c r="H854" i="1"/>
  <c r="I854" i="1" s="1"/>
  <c r="J854" i="1" s="1"/>
  <c r="H855" i="1"/>
  <c r="I855" i="1" s="1"/>
  <c r="J855" i="1" s="1"/>
  <c r="H856" i="1"/>
  <c r="H857" i="1"/>
  <c r="H858" i="1"/>
  <c r="H859" i="1"/>
  <c r="H860" i="1"/>
  <c r="H861" i="1"/>
  <c r="I861" i="1" s="1"/>
  <c r="J861" i="1" s="1"/>
  <c r="H862" i="1"/>
  <c r="H863" i="1"/>
  <c r="H864" i="1"/>
  <c r="H865" i="1"/>
  <c r="H866" i="1"/>
  <c r="I866" i="1" s="1"/>
  <c r="J866" i="1" s="1"/>
  <c r="H867" i="1"/>
  <c r="H868" i="1"/>
  <c r="H869" i="1"/>
  <c r="I869" i="1" s="1"/>
  <c r="J869" i="1" s="1"/>
  <c r="H870" i="1"/>
  <c r="I870" i="1" s="1"/>
  <c r="J870" i="1" s="1"/>
  <c r="H871" i="1"/>
  <c r="I871" i="1" s="1"/>
  <c r="J871" i="1" s="1"/>
  <c r="H872" i="1"/>
  <c r="H873" i="1"/>
  <c r="H874" i="1"/>
  <c r="H875" i="1"/>
  <c r="H876" i="1"/>
  <c r="H877" i="1"/>
  <c r="I877" i="1" s="1"/>
  <c r="J877" i="1" s="1"/>
  <c r="H878" i="1"/>
  <c r="H879" i="1"/>
  <c r="H880" i="1"/>
  <c r="H881" i="1"/>
  <c r="H882" i="1"/>
  <c r="I882" i="1" s="1"/>
  <c r="J882" i="1" s="1"/>
  <c r="H883" i="1"/>
  <c r="I883" i="1" s="1"/>
  <c r="J883" i="1" s="1"/>
  <c r="H884" i="1"/>
  <c r="I884" i="1" s="1"/>
  <c r="J884" i="1" s="1"/>
  <c r="H885" i="1"/>
  <c r="I885" i="1" s="1"/>
  <c r="J885" i="1" s="1"/>
  <c r="H886" i="1"/>
  <c r="I886" i="1" s="1"/>
  <c r="J886" i="1" s="1"/>
  <c r="H887" i="1"/>
  <c r="H888" i="1"/>
  <c r="H889" i="1"/>
  <c r="H890" i="1"/>
  <c r="H891" i="1"/>
  <c r="H892" i="1"/>
  <c r="H893" i="1"/>
  <c r="I893" i="1" s="1"/>
  <c r="J893" i="1" s="1"/>
  <c r="H894" i="1"/>
  <c r="H895" i="1"/>
  <c r="H896" i="1"/>
  <c r="H897" i="1"/>
  <c r="H898" i="1"/>
  <c r="I898" i="1" s="1"/>
  <c r="J898" i="1" s="1"/>
  <c r="H899" i="1"/>
  <c r="I899" i="1" s="1"/>
  <c r="J899" i="1" s="1"/>
  <c r="H900" i="1"/>
  <c r="I900" i="1" s="1"/>
  <c r="J900" i="1" s="1"/>
  <c r="H901" i="1"/>
  <c r="I901" i="1" s="1"/>
  <c r="J901" i="1" s="1"/>
  <c r="H902" i="1"/>
  <c r="I902" i="1" s="1"/>
  <c r="J902" i="1" s="1"/>
  <c r="H903" i="1"/>
  <c r="I903" i="1" s="1"/>
  <c r="J903" i="1" s="1"/>
  <c r="H904" i="1"/>
  <c r="H905" i="1"/>
  <c r="H906" i="1"/>
  <c r="H907" i="1"/>
  <c r="H908" i="1"/>
  <c r="H909" i="1"/>
  <c r="I909" i="1" s="1"/>
  <c r="J909" i="1" s="1"/>
  <c r="H910" i="1"/>
  <c r="H911" i="1"/>
  <c r="H912" i="1"/>
  <c r="H913" i="1"/>
  <c r="H914" i="1"/>
  <c r="I914" i="1" s="1"/>
  <c r="J914" i="1" s="1"/>
  <c r="H915" i="1"/>
  <c r="I915" i="1" s="1"/>
  <c r="J915" i="1" s="1"/>
  <c r="H916" i="1"/>
  <c r="I916" i="1" s="1"/>
  <c r="J916" i="1" s="1"/>
  <c r="H917" i="1"/>
  <c r="I917" i="1" s="1"/>
  <c r="J917" i="1" s="1"/>
  <c r="H918" i="1"/>
  <c r="I918" i="1" s="1"/>
  <c r="J918" i="1" s="1"/>
  <c r="H919" i="1"/>
  <c r="I919" i="1" s="1"/>
  <c r="J919" i="1" s="1"/>
  <c r="H920" i="1"/>
  <c r="H921" i="1"/>
  <c r="H922" i="1"/>
  <c r="H923" i="1"/>
  <c r="H924" i="1"/>
  <c r="H925" i="1"/>
  <c r="I925" i="1" s="1"/>
  <c r="J925" i="1" s="1"/>
  <c r="H926" i="1"/>
  <c r="H927" i="1"/>
  <c r="H928" i="1"/>
  <c r="H929" i="1"/>
  <c r="H930" i="1"/>
  <c r="I930" i="1" s="1"/>
  <c r="J930" i="1" s="1"/>
  <c r="H931" i="1"/>
  <c r="H932" i="1"/>
  <c r="H933" i="1"/>
  <c r="I933" i="1" s="1"/>
  <c r="J933" i="1" s="1"/>
  <c r="H934" i="1"/>
  <c r="I934" i="1" s="1"/>
  <c r="J934" i="1" s="1"/>
  <c r="H935" i="1"/>
  <c r="I935" i="1" s="1"/>
  <c r="J935" i="1" s="1"/>
  <c r="H936" i="1"/>
  <c r="H937" i="1"/>
  <c r="H938" i="1"/>
  <c r="H939" i="1"/>
  <c r="H940" i="1"/>
  <c r="H941" i="1"/>
  <c r="I941" i="1" s="1"/>
  <c r="J941" i="1" s="1"/>
  <c r="H942" i="1"/>
  <c r="H943" i="1"/>
  <c r="H944" i="1"/>
  <c r="H945" i="1"/>
  <c r="H946" i="1"/>
  <c r="I946" i="1" s="1"/>
  <c r="J946" i="1" s="1"/>
  <c r="H947" i="1"/>
  <c r="H948" i="1"/>
  <c r="I948" i="1" s="1"/>
  <c r="J948" i="1" s="1"/>
  <c r="H949" i="1"/>
  <c r="I949" i="1" s="1"/>
  <c r="J949" i="1" s="1"/>
  <c r="H950" i="1"/>
  <c r="I950" i="1" s="1"/>
  <c r="J950" i="1" s="1"/>
  <c r="H951" i="1"/>
  <c r="H952" i="1"/>
  <c r="H953" i="1"/>
  <c r="H954" i="1"/>
  <c r="H955" i="1"/>
  <c r="H956" i="1"/>
  <c r="H957" i="1"/>
  <c r="I957" i="1" s="1"/>
  <c r="J957" i="1" s="1"/>
  <c r="H958" i="1"/>
  <c r="H959" i="1"/>
  <c r="H960" i="1"/>
  <c r="H961" i="1"/>
  <c r="H962" i="1"/>
  <c r="I962" i="1" s="1"/>
  <c r="J962" i="1" s="1"/>
  <c r="H963" i="1"/>
  <c r="H964" i="1"/>
  <c r="I964" i="1" s="1"/>
  <c r="J964" i="1" s="1"/>
  <c r="H965" i="1"/>
  <c r="I965" i="1" s="1"/>
  <c r="J965" i="1" s="1"/>
  <c r="H966" i="1"/>
  <c r="I966" i="1" s="1"/>
  <c r="J966" i="1" s="1"/>
  <c r="H967" i="1"/>
  <c r="I967" i="1" s="1"/>
  <c r="J967" i="1" s="1"/>
  <c r="H968" i="1"/>
  <c r="H969" i="1"/>
  <c r="H970" i="1"/>
  <c r="H971" i="1"/>
  <c r="H972" i="1"/>
  <c r="H973" i="1"/>
  <c r="I973" i="1" s="1"/>
  <c r="J973" i="1" s="1"/>
  <c r="H974" i="1"/>
  <c r="H975" i="1"/>
  <c r="H976" i="1"/>
  <c r="H977" i="1"/>
  <c r="H978" i="1"/>
  <c r="I978" i="1" s="1"/>
  <c r="J978" i="1" s="1"/>
  <c r="H979" i="1"/>
  <c r="I979" i="1" s="1"/>
  <c r="J979" i="1" s="1"/>
  <c r="H980" i="1"/>
  <c r="I980" i="1" s="1"/>
  <c r="J980" i="1" s="1"/>
  <c r="H981" i="1"/>
  <c r="I981" i="1" s="1"/>
  <c r="J981" i="1" s="1"/>
  <c r="H982" i="1"/>
  <c r="I982" i="1" s="1"/>
  <c r="J982" i="1" s="1"/>
  <c r="H983" i="1"/>
  <c r="I983" i="1" s="1"/>
  <c r="J983" i="1" s="1"/>
  <c r="H984" i="1"/>
  <c r="H985" i="1"/>
  <c r="H986" i="1"/>
  <c r="H987" i="1"/>
  <c r="H988" i="1"/>
  <c r="H989" i="1"/>
  <c r="I989" i="1" s="1"/>
  <c r="J989" i="1" s="1"/>
  <c r="H990" i="1"/>
  <c r="H991" i="1"/>
  <c r="H992" i="1"/>
  <c r="H993" i="1"/>
  <c r="H994" i="1"/>
  <c r="I994" i="1" s="1"/>
  <c r="J994" i="1" s="1"/>
  <c r="H995" i="1"/>
  <c r="H996" i="1"/>
  <c r="H997" i="1"/>
  <c r="I997" i="1" s="1"/>
  <c r="J997" i="1" s="1"/>
  <c r="H998" i="1"/>
  <c r="I998" i="1" s="1"/>
  <c r="J998" i="1" s="1"/>
  <c r="H999" i="1"/>
  <c r="I999" i="1" s="1"/>
  <c r="J999" i="1" s="1"/>
  <c r="H1000" i="1"/>
  <c r="H1001" i="1"/>
  <c r="H1002" i="1"/>
  <c r="H1003" i="1"/>
  <c r="H1004" i="1"/>
  <c r="H1005" i="1"/>
  <c r="I1005" i="1" s="1"/>
  <c r="J1005" i="1" s="1"/>
  <c r="H1006" i="1"/>
  <c r="H1007" i="1"/>
  <c r="H1008" i="1"/>
  <c r="H1009" i="1"/>
  <c r="H1010" i="1"/>
  <c r="I1010" i="1" s="1"/>
  <c r="J1010" i="1" s="1"/>
  <c r="H1011" i="1"/>
  <c r="I1011" i="1" s="1"/>
  <c r="J1011" i="1" s="1"/>
  <c r="H1012" i="1"/>
  <c r="I1012" i="1" s="1"/>
  <c r="J1012" i="1" s="1"/>
  <c r="H1013" i="1"/>
  <c r="I1013" i="1" s="1"/>
  <c r="J1013" i="1" s="1"/>
  <c r="H1014" i="1"/>
  <c r="I1014" i="1" s="1"/>
  <c r="J1014" i="1" s="1"/>
  <c r="H1015" i="1"/>
  <c r="H1016" i="1"/>
  <c r="H1017" i="1"/>
  <c r="I1017" i="1" s="1"/>
  <c r="J1017" i="1" s="1"/>
  <c r="H1018" i="1"/>
  <c r="H1019" i="1"/>
  <c r="H1020" i="1"/>
  <c r="H1021" i="1"/>
  <c r="I1021" i="1" s="1"/>
  <c r="J1021" i="1" s="1"/>
  <c r="H1022" i="1"/>
  <c r="H1023" i="1"/>
  <c r="H1024" i="1"/>
  <c r="H1025" i="1"/>
  <c r="H1026" i="1"/>
  <c r="I1026" i="1" s="1"/>
  <c r="J1026" i="1" s="1"/>
  <c r="H1027" i="1"/>
  <c r="I1027" i="1" s="1"/>
  <c r="J1027" i="1" s="1"/>
  <c r="H1028" i="1"/>
  <c r="I1028" i="1" s="1"/>
  <c r="J1028" i="1" s="1"/>
  <c r="H1029" i="1"/>
  <c r="I1029" i="1" s="1"/>
  <c r="J1029" i="1" s="1"/>
  <c r="H1030" i="1"/>
  <c r="I1030" i="1" s="1"/>
  <c r="J1030" i="1" s="1"/>
  <c r="H1031" i="1"/>
  <c r="I1031" i="1" s="1"/>
  <c r="J1031" i="1" s="1"/>
  <c r="H1032" i="1"/>
  <c r="H1033" i="1"/>
  <c r="I1033" i="1" s="1"/>
  <c r="J1033" i="1" s="1"/>
  <c r="H1034" i="1"/>
  <c r="H1035" i="1"/>
  <c r="H1036" i="1"/>
  <c r="H1037" i="1"/>
  <c r="I1037" i="1" s="1"/>
  <c r="J1037" i="1" s="1"/>
  <c r="H1038" i="1"/>
  <c r="H1039" i="1"/>
  <c r="H1040" i="1"/>
  <c r="H1041" i="1"/>
  <c r="H1042" i="1"/>
  <c r="I1042" i="1" s="1"/>
  <c r="J1042" i="1" s="1"/>
  <c r="H1043" i="1"/>
  <c r="I1043" i="1" s="1"/>
  <c r="J1043" i="1" s="1"/>
  <c r="H1044" i="1"/>
  <c r="I1044" i="1" s="1"/>
  <c r="J1044" i="1" s="1"/>
  <c r="H1045" i="1"/>
  <c r="I1045" i="1" s="1"/>
  <c r="J1045" i="1" s="1"/>
  <c r="H1046" i="1"/>
  <c r="I1046" i="1" s="1"/>
  <c r="J1046" i="1" s="1"/>
  <c r="H1047" i="1"/>
  <c r="I1047" i="1" s="1"/>
  <c r="J1047" i="1" s="1"/>
  <c r="H1048" i="1"/>
  <c r="H1049" i="1"/>
  <c r="I1049" i="1" s="1"/>
  <c r="J1049" i="1" s="1"/>
  <c r="H1050" i="1"/>
  <c r="H1051" i="1"/>
  <c r="H1052" i="1"/>
  <c r="H1053" i="1"/>
  <c r="I1053" i="1" s="1"/>
  <c r="J1053" i="1" s="1"/>
  <c r="H1054" i="1"/>
  <c r="H1055" i="1"/>
  <c r="H1056" i="1"/>
  <c r="H1057" i="1"/>
  <c r="H1058" i="1"/>
  <c r="I1058" i="1" s="1"/>
  <c r="J1058" i="1" s="1"/>
  <c r="H1059" i="1"/>
  <c r="H1060" i="1"/>
  <c r="H1061" i="1"/>
  <c r="I1061" i="1" s="1"/>
  <c r="J1061" i="1" s="1"/>
  <c r="H1062" i="1"/>
  <c r="I1062" i="1" s="1"/>
  <c r="J1062" i="1" s="1"/>
  <c r="H1063" i="1"/>
  <c r="I1063" i="1" s="1"/>
  <c r="J1063" i="1" s="1"/>
  <c r="H1064" i="1"/>
  <c r="H1065" i="1"/>
  <c r="I1065" i="1" s="1"/>
  <c r="J1065" i="1" s="1"/>
  <c r="H1066" i="1"/>
  <c r="H1067" i="1"/>
  <c r="H1068" i="1"/>
  <c r="H1069" i="1"/>
  <c r="I1069" i="1" s="1"/>
  <c r="J1069" i="1" s="1"/>
  <c r="H1070" i="1"/>
  <c r="H1071" i="1"/>
  <c r="H1072" i="1"/>
  <c r="H1073" i="1"/>
  <c r="H1074" i="1"/>
  <c r="I1074" i="1" s="1"/>
  <c r="J1074" i="1" s="1"/>
  <c r="H1075" i="1"/>
  <c r="H1076" i="1"/>
  <c r="I1076" i="1" s="1"/>
  <c r="J1076" i="1" s="1"/>
  <c r="H1077" i="1"/>
  <c r="I1077" i="1" s="1"/>
  <c r="J1077" i="1" s="1"/>
  <c r="H1078" i="1"/>
  <c r="I1078" i="1" s="1"/>
  <c r="J1078" i="1" s="1"/>
  <c r="H1079" i="1"/>
  <c r="H1080" i="1"/>
  <c r="H1081" i="1"/>
  <c r="I1081" i="1" s="1"/>
  <c r="J1081" i="1" s="1"/>
  <c r="H1082" i="1"/>
  <c r="H1083" i="1"/>
  <c r="H1084" i="1"/>
  <c r="H1085" i="1"/>
  <c r="I1085" i="1" s="1"/>
  <c r="J1085" i="1" s="1"/>
  <c r="H1086" i="1"/>
  <c r="H1087" i="1"/>
  <c r="H1088" i="1"/>
  <c r="H1089" i="1"/>
  <c r="H1090" i="1"/>
  <c r="I1090" i="1" s="1"/>
  <c r="J1090" i="1" s="1"/>
  <c r="H1091" i="1"/>
  <c r="H1092" i="1"/>
  <c r="I1092" i="1" s="1"/>
  <c r="J1092" i="1" s="1"/>
  <c r="H1093" i="1"/>
  <c r="I1093" i="1" s="1"/>
  <c r="J1093" i="1" s="1"/>
  <c r="H1094" i="1"/>
  <c r="I1094" i="1" s="1"/>
  <c r="J1094" i="1" s="1"/>
  <c r="H1095" i="1"/>
  <c r="I1095" i="1" s="1"/>
  <c r="J1095" i="1" s="1"/>
  <c r="H1096" i="1"/>
  <c r="H1097" i="1"/>
  <c r="I1097" i="1" s="1"/>
  <c r="J1097" i="1" s="1"/>
  <c r="H1098" i="1"/>
  <c r="H1099" i="1"/>
  <c r="H1100" i="1"/>
  <c r="H1101" i="1"/>
  <c r="I1101" i="1" s="1"/>
  <c r="J1101" i="1" s="1"/>
  <c r="H1102" i="1"/>
  <c r="H1103" i="1"/>
  <c r="H1104" i="1"/>
  <c r="H1105" i="1"/>
  <c r="H1106" i="1"/>
  <c r="I1106" i="1" s="1"/>
  <c r="J1106" i="1" s="1"/>
  <c r="H1107" i="1"/>
  <c r="H1108" i="1"/>
  <c r="I1108" i="1" s="1"/>
  <c r="J1108" i="1" s="1"/>
  <c r="H1109" i="1"/>
  <c r="I1109" i="1" s="1"/>
  <c r="J1109" i="1" s="1"/>
  <c r="H1110" i="1"/>
  <c r="I1110" i="1" s="1"/>
  <c r="J1110" i="1" s="1"/>
  <c r="H1111" i="1"/>
  <c r="I1111" i="1" s="1"/>
  <c r="J1111" i="1" s="1"/>
  <c r="H1112" i="1"/>
  <c r="H1113" i="1"/>
  <c r="I1113" i="1" s="1"/>
  <c r="J1113" i="1" s="1"/>
  <c r="H1114" i="1"/>
  <c r="H1115" i="1"/>
  <c r="H1116" i="1"/>
  <c r="H1117" i="1"/>
  <c r="I1117" i="1" s="1"/>
  <c r="J1117" i="1" s="1"/>
  <c r="H1118" i="1"/>
  <c r="H1119" i="1"/>
  <c r="H1120" i="1"/>
  <c r="H1121" i="1"/>
  <c r="H1122" i="1"/>
  <c r="I1122" i="1" s="1"/>
  <c r="J1122" i="1" s="1"/>
  <c r="H1123" i="1"/>
  <c r="H1124" i="1"/>
  <c r="H1125" i="1"/>
  <c r="I1125" i="1" s="1"/>
  <c r="J1125" i="1" s="1"/>
  <c r="H1126" i="1"/>
  <c r="I1126" i="1" s="1"/>
  <c r="J1126" i="1" s="1"/>
  <c r="H1127" i="1"/>
  <c r="I1127" i="1" s="1"/>
  <c r="J1127" i="1" s="1"/>
  <c r="H1128" i="1"/>
  <c r="H1129" i="1"/>
  <c r="I1129" i="1" s="1"/>
  <c r="J1129" i="1" s="1"/>
  <c r="H1130" i="1"/>
  <c r="H1131" i="1"/>
  <c r="H1132" i="1"/>
  <c r="H1133" i="1"/>
  <c r="I1133" i="1" s="1"/>
  <c r="J1133" i="1" s="1"/>
  <c r="H1134" i="1"/>
  <c r="H1135" i="1"/>
  <c r="H1136" i="1"/>
  <c r="H1137" i="1"/>
  <c r="H1138" i="1"/>
  <c r="I1138" i="1" s="1"/>
  <c r="J1138" i="1" s="1"/>
  <c r="H1139" i="1"/>
  <c r="I1139" i="1" s="1"/>
  <c r="J1139" i="1" s="1"/>
  <c r="H1140" i="1"/>
  <c r="I1140" i="1" s="1"/>
  <c r="J1140" i="1" s="1"/>
  <c r="H1141" i="1"/>
  <c r="I1141" i="1" s="1"/>
  <c r="J1141" i="1" s="1"/>
  <c r="H1142" i="1"/>
  <c r="I1142" i="1" s="1"/>
  <c r="J1142" i="1" s="1"/>
  <c r="H1143" i="1"/>
  <c r="H1144" i="1"/>
  <c r="H1145" i="1"/>
  <c r="I1145" i="1" s="1"/>
  <c r="J1145" i="1" s="1"/>
  <c r="H1146" i="1"/>
  <c r="H1147" i="1"/>
  <c r="H1148" i="1"/>
  <c r="H1149" i="1"/>
  <c r="I1149" i="1" s="1"/>
  <c r="J1149" i="1" s="1"/>
  <c r="H1150" i="1"/>
  <c r="H1151" i="1"/>
  <c r="H1152" i="1"/>
  <c r="H1153" i="1"/>
  <c r="H1154" i="1"/>
  <c r="I1154" i="1" s="1"/>
  <c r="J1154" i="1" s="1"/>
  <c r="H1155" i="1"/>
  <c r="I1155" i="1" s="1"/>
  <c r="J1155" i="1" s="1"/>
  <c r="H1156" i="1"/>
  <c r="I1156" i="1" s="1"/>
  <c r="J1156" i="1" s="1"/>
  <c r="H1157" i="1"/>
  <c r="I1157" i="1" s="1"/>
  <c r="J1157" i="1" s="1"/>
  <c r="H1158" i="1"/>
  <c r="I1158" i="1" s="1"/>
  <c r="J1158" i="1" s="1"/>
  <c r="H1159" i="1"/>
  <c r="I1159" i="1" s="1"/>
  <c r="J1159" i="1" s="1"/>
  <c r="H1160" i="1"/>
  <c r="H1161" i="1"/>
  <c r="I1161" i="1" s="1"/>
  <c r="J1161" i="1" s="1"/>
  <c r="H1162" i="1"/>
  <c r="H1163" i="1"/>
  <c r="H1164" i="1"/>
  <c r="H1165" i="1"/>
  <c r="I1165" i="1" s="1"/>
  <c r="J1165" i="1" s="1"/>
  <c r="H1166" i="1"/>
  <c r="H1167" i="1"/>
  <c r="H1168" i="1"/>
  <c r="H1169" i="1"/>
  <c r="H1170" i="1"/>
  <c r="I1170" i="1" s="1"/>
  <c r="J1170" i="1" s="1"/>
  <c r="H1171" i="1"/>
  <c r="I1171" i="1" s="1"/>
  <c r="J1171" i="1" s="1"/>
  <c r="H1172" i="1"/>
  <c r="I1172" i="1" s="1"/>
  <c r="J1172" i="1" s="1"/>
  <c r="H1173" i="1"/>
  <c r="I1173" i="1" s="1"/>
  <c r="J1173" i="1" s="1"/>
  <c r="H1174" i="1"/>
  <c r="I1174" i="1" s="1"/>
  <c r="J1174" i="1" s="1"/>
  <c r="H1175" i="1"/>
  <c r="I1175" i="1" s="1"/>
  <c r="J1175" i="1" s="1"/>
  <c r="H1176" i="1"/>
  <c r="H1177" i="1"/>
  <c r="I1177" i="1" s="1"/>
  <c r="J1177" i="1" s="1"/>
  <c r="H1178" i="1"/>
  <c r="H1179" i="1"/>
  <c r="H1180" i="1"/>
  <c r="H1181" i="1"/>
  <c r="I1181" i="1" s="1"/>
  <c r="J1181" i="1" s="1"/>
  <c r="H1182" i="1"/>
  <c r="H1183" i="1"/>
  <c r="H1184" i="1"/>
  <c r="H1185" i="1"/>
  <c r="H1186" i="1"/>
  <c r="I1186" i="1" s="1"/>
  <c r="J1186" i="1" s="1"/>
  <c r="H1187" i="1"/>
  <c r="H1188" i="1"/>
  <c r="H1189" i="1"/>
  <c r="I1189" i="1" s="1"/>
  <c r="J1189" i="1" s="1"/>
  <c r="H1190" i="1"/>
  <c r="I1190" i="1" s="1"/>
  <c r="J1190" i="1" s="1"/>
  <c r="H1191" i="1"/>
  <c r="I1191" i="1" s="1"/>
  <c r="J1191" i="1" s="1"/>
  <c r="H1192" i="1"/>
  <c r="H1193" i="1"/>
  <c r="I1193" i="1" s="1"/>
  <c r="J1193" i="1" s="1"/>
  <c r="H1194" i="1"/>
  <c r="H1195" i="1"/>
  <c r="H1196" i="1"/>
  <c r="H1197" i="1"/>
  <c r="I1197" i="1" s="1"/>
  <c r="J1197" i="1" s="1"/>
  <c r="H1198" i="1"/>
  <c r="H1199" i="1"/>
  <c r="H1200" i="1"/>
  <c r="H1201" i="1"/>
  <c r="H1202" i="1"/>
  <c r="I1202" i="1" s="1"/>
  <c r="J1202" i="1" s="1"/>
  <c r="H1203" i="1"/>
  <c r="H1204" i="1"/>
  <c r="I1204" i="1" s="1"/>
  <c r="J1204" i="1" s="1"/>
  <c r="H1205" i="1"/>
  <c r="I1205" i="1" s="1"/>
  <c r="J1205" i="1" s="1"/>
  <c r="H1206" i="1"/>
  <c r="I1206" i="1" s="1"/>
  <c r="J1206" i="1" s="1"/>
  <c r="H1207" i="1"/>
  <c r="H1208" i="1"/>
  <c r="H1209" i="1"/>
  <c r="I1209" i="1" s="1"/>
  <c r="J1209" i="1" s="1"/>
  <c r="H1210" i="1"/>
  <c r="H1211" i="1"/>
  <c r="H1212" i="1"/>
  <c r="H1213" i="1"/>
  <c r="I1213" i="1" s="1"/>
  <c r="J1213" i="1" s="1"/>
  <c r="H1214" i="1"/>
  <c r="H1215" i="1"/>
  <c r="H1216" i="1"/>
  <c r="H1217" i="1"/>
  <c r="H1218" i="1"/>
  <c r="I1218" i="1" s="1"/>
  <c r="J1218" i="1" s="1"/>
  <c r="H1219" i="1"/>
  <c r="H1220" i="1"/>
  <c r="I1220" i="1" s="1"/>
  <c r="J1220" i="1" s="1"/>
  <c r="H1221" i="1"/>
  <c r="I1221" i="1" s="1"/>
  <c r="J1221" i="1" s="1"/>
  <c r="H1222" i="1"/>
  <c r="I1222" i="1" s="1"/>
  <c r="J1222" i="1" s="1"/>
  <c r="H1223" i="1"/>
  <c r="I1223" i="1" s="1"/>
  <c r="J1223" i="1" s="1"/>
  <c r="H1224" i="1"/>
  <c r="H1225" i="1"/>
  <c r="I1225" i="1" s="1"/>
  <c r="J1225" i="1" s="1"/>
  <c r="H1226" i="1"/>
  <c r="H1227" i="1"/>
  <c r="H1228" i="1"/>
  <c r="H1229" i="1"/>
  <c r="I1229" i="1" s="1"/>
  <c r="J1229" i="1" s="1"/>
  <c r="H1230" i="1"/>
  <c r="H1231" i="1"/>
  <c r="H1232" i="1"/>
  <c r="H1233" i="1"/>
  <c r="H1234" i="1"/>
  <c r="I1234" i="1" s="1"/>
  <c r="J1234" i="1" s="1"/>
  <c r="H1235" i="1"/>
  <c r="H1236" i="1"/>
  <c r="I1236" i="1" s="1"/>
  <c r="J1236" i="1" s="1"/>
  <c r="H1237" i="1"/>
  <c r="I1237" i="1" s="1"/>
  <c r="J1237" i="1" s="1"/>
  <c r="H1238" i="1"/>
  <c r="I1238" i="1" s="1"/>
  <c r="J1238" i="1" s="1"/>
  <c r="H1239" i="1"/>
  <c r="I1239" i="1" s="1"/>
  <c r="J1239" i="1" s="1"/>
  <c r="H1240" i="1"/>
  <c r="H1241" i="1"/>
  <c r="I1241" i="1" s="1"/>
  <c r="J1241" i="1" s="1"/>
  <c r="H1242" i="1"/>
  <c r="H1243" i="1"/>
  <c r="H1244" i="1"/>
  <c r="H1245" i="1"/>
  <c r="I1245" i="1" s="1"/>
  <c r="J1245" i="1" s="1"/>
  <c r="H1246" i="1"/>
  <c r="H1247" i="1"/>
  <c r="H1248" i="1"/>
  <c r="H1249" i="1"/>
  <c r="H1250" i="1"/>
  <c r="I1250" i="1" s="1"/>
  <c r="J1250" i="1" s="1"/>
  <c r="H1251" i="1"/>
  <c r="H1252" i="1"/>
  <c r="H1253" i="1"/>
  <c r="I1253" i="1" s="1"/>
  <c r="J1253" i="1" s="1"/>
  <c r="H1254" i="1"/>
  <c r="I1254" i="1" s="1"/>
  <c r="J1254" i="1" s="1"/>
  <c r="H1255" i="1"/>
  <c r="I1255" i="1" s="1"/>
  <c r="J1255" i="1" s="1"/>
  <c r="H1256" i="1"/>
  <c r="H1257" i="1"/>
  <c r="I1257" i="1" s="1"/>
  <c r="J1257" i="1" s="1"/>
  <c r="H1258" i="1"/>
  <c r="H1259" i="1"/>
  <c r="H1260" i="1"/>
  <c r="H1261" i="1"/>
  <c r="I1261" i="1" s="1"/>
  <c r="J1261" i="1" s="1"/>
  <c r="H1262" i="1"/>
  <c r="H1263" i="1"/>
  <c r="H1264" i="1"/>
  <c r="H1265" i="1"/>
  <c r="H1266" i="1"/>
  <c r="I1266" i="1" s="1"/>
  <c r="J1266" i="1" s="1"/>
  <c r="H1267" i="1"/>
  <c r="I1267" i="1" s="1"/>
  <c r="J1267" i="1" s="1"/>
  <c r="H1268" i="1"/>
  <c r="I1268" i="1" s="1"/>
  <c r="J1268" i="1" s="1"/>
  <c r="H1269" i="1"/>
  <c r="I1269" i="1" s="1"/>
  <c r="J1269" i="1" s="1"/>
  <c r="H1270" i="1"/>
  <c r="I1270" i="1" s="1"/>
  <c r="J1270" i="1" s="1"/>
  <c r="H1271" i="1"/>
  <c r="H1272" i="1"/>
  <c r="H1273" i="1"/>
  <c r="I1273" i="1" s="1"/>
  <c r="J1273" i="1" s="1"/>
  <c r="H1274" i="1"/>
  <c r="H1275" i="1"/>
  <c r="H1276" i="1"/>
  <c r="H1277" i="1"/>
  <c r="I1277" i="1" s="1"/>
  <c r="J1277" i="1" s="1"/>
  <c r="H1278" i="1"/>
  <c r="H1279" i="1"/>
  <c r="H1280" i="1"/>
  <c r="H1281" i="1"/>
  <c r="H1282" i="1"/>
  <c r="I1282" i="1" s="1"/>
  <c r="J1282" i="1" s="1"/>
  <c r="H1283" i="1"/>
  <c r="I1283" i="1" s="1"/>
  <c r="J1283" i="1" s="1"/>
  <c r="H1284" i="1"/>
  <c r="I1284" i="1" s="1"/>
  <c r="J1284" i="1" s="1"/>
  <c r="H1285" i="1"/>
  <c r="I1285" i="1" s="1"/>
  <c r="J1285" i="1" s="1"/>
  <c r="H1286" i="1"/>
  <c r="I1286" i="1" s="1"/>
  <c r="J1286" i="1" s="1"/>
  <c r="H1287" i="1"/>
  <c r="I1287" i="1" s="1"/>
  <c r="J1287" i="1" s="1"/>
  <c r="H1288" i="1"/>
  <c r="H1289" i="1"/>
  <c r="I1289" i="1" s="1"/>
  <c r="J1289" i="1" s="1"/>
  <c r="H1290" i="1"/>
  <c r="H1291" i="1"/>
  <c r="H1292" i="1"/>
  <c r="H1293" i="1"/>
  <c r="I1293" i="1" s="1"/>
  <c r="J1293" i="1" s="1"/>
  <c r="H1294" i="1"/>
  <c r="H1295" i="1"/>
  <c r="H1296" i="1"/>
  <c r="H1297" i="1"/>
  <c r="H1298" i="1"/>
  <c r="I1298" i="1" s="1"/>
  <c r="J1298" i="1" s="1"/>
  <c r="H1299" i="1"/>
  <c r="I1299" i="1" s="1"/>
  <c r="J1299" i="1" s="1"/>
  <c r="H1300" i="1"/>
  <c r="I1300" i="1" s="1"/>
  <c r="J1300" i="1" s="1"/>
  <c r="H1301" i="1"/>
  <c r="I1301" i="1" s="1"/>
  <c r="J1301" i="1" s="1"/>
  <c r="H1302" i="1"/>
  <c r="I1302" i="1" s="1"/>
  <c r="J1302" i="1" s="1"/>
  <c r="H1303" i="1"/>
  <c r="I1303" i="1" s="1"/>
  <c r="J1303" i="1" s="1"/>
  <c r="H1304" i="1"/>
  <c r="H1305" i="1"/>
  <c r="I1305" i="1" s="1"/>
  <c r="J1305" i="1" s="1"/>
  <c r="H1306" i="1"/>
  <c r="H1307" i="1"/>
  <c r="H1308" i="1"/>
  <c r="H1309" i="1"/>
  <c r="I1309" i="1" s="1"/>
  <c r="J1309" i="1" s="1"/>
  <c r="H1310" i="1"/>
  <c r="H1311" i="1"/>
  <c r="H1312" i="1"/>
  <c r="H1313" i="1"/>
  <c r="H1314" i="1"/>
  <c r="I1314" i="1" s="1"/>
  <c r="J1314" i="1" s="1"/>
  <c r="H1315" i="1"/>
  <c r="H1316" i="1"/>
  <c r="H1317" i="1"/>
  <c r="I1317" i="1" s="1"/>
  <c r="J1317" i="1" s="1"/>
  <c r="H1318" i="1"/>
  <c r="I1318" i="1" s="1"/>
  <c r="J1318" i="1" s="1"/>
  <c r="H1319" i="1"/>
  <c r="I1319" i="1" s="1"/>
  <c r="J1319" i="1" s="1"/>
  <c r="H1320" i="1"/>
  <c r="H1321" i="1"/>
  <c r="I1321" i="1" s="1"/>
  <c r="J1321" i="1" s="1"/>
  <c r="H1322" i="1"/>
  <c r="H1323" i="1"/>
  <c r="H1324" i="1"/>
  <c r="H1325" i="1"/>
  <c r="I1325" i="1" s="1"/>
  <c r="J1325" i="1" s="1"/>
  <c r="H1326" i="1"/>
  <c r="H1327" i="1"/>
  <c r="H1328" i="1"/>
  <c r="H1329" i="1"/>
  <c r="H1330" i="1"/>
  <c r="I1330" i="1" s="1"/>
  <c r="J1330" i="1" s="1"/>
  <c r="H1331" i="1"/>
  <c r="H1332" i="1"/>
  <c r="I1332" i="1" s="1"/>
  <c r="J1332" i="1" s="1"/>
  <c r="H1333" i="1"/>
  <c r="I1333" i="1" s="1"/>
  <c r="J1333" i="1" s="1"/>
  <c r="H1334" i="1"/>
  <c r="I1334" i="1" s="1"/>
  <c r="J1334" i="1" s="1"/>
  <c r="H1335" i="1"/>
  <c r="H1336" i="1"/>
  <c r="H1337" i="1"/>
  <c r="I1337" i="1" s="1"/>
  <c r="J1337" i="1" s="1"/>
  <c r="H1338" i="1"/>
  <c r="H1339" i="1"/>
  <c r="H1340" i="1"/>
  <c r="H1341" i="1"/>
  <c r="I1341" i="1" s="1"/>
  <c r="J1341" i="1" s="1"/>
  <c r="H1342" i="1"/>
  <c r="H1343" i="1"/>
  <c r="H1344" i="1"/>
  <c r="H1345" i="1"/>
  <c r="H1346" i="1"/>
  <c r="I1346" i="1" s="1"/>
  <c r="J1346" i="1" s="1"/>
  <c r="H1347" i="1"/>
  <c r="H1348" i="1"/>
  <c r="I1348" i="1" s="1"/>
  <c r="J1348" i="1" s="1"/>
  <c r="H1349" i="1"/>
  <c r="I1349" i="1" s="1"/>
  <c r="J1349" i="1" s="1"/>
  <c r="H1350" i="1"/>
  <c r="I1350" i="1" s="1"/>
  <c r="J1350" i="1" s="1"/>
  <c r="H1351" i="1"/>
  <c r="I1351" i="1" s="1"/>
  <c r="J1351" i="1" s="1"/>
  <c r="H1352" i="1"/>
  <c r="H1353" i="1"/>
  <c r="I1353" i="1" s="1"/>
  <c r="J1353" i="1" s="1"/>
  <c r="H1354" i="1"/>
  <c r="H1355" i="1"/>
  <c r="H1356" i="1"/>
  <c r="H1357" i="1"/>
  <c r="I1357" i="1" s="1"/>
  <c r="J1357" i="1" s="1"/>
  <c r="H1358" i="1"/>
  <c r="H1359" i="1"/>
  <c r="H1360" i="1"/>
  <c r="H1361" i="1"/>
  <c r="H1362" i="1"/>
  <c r="I1362" i="1" s="1"/>
  <c r="J1362" i="1" s="1"/>
  <c r="H1363" i="1"/>
  <c r="H1364" i="1"/>
  <c r="I1364" i="1" s="1"/>
  <c r="J1364" i="1" s="1"/>
  <c r="H1365" i="1"/>
  <c r="I1365" i="1" s="1"/>
  <c r="J1365" i="1" s="1"/>
  <c r="H1366" i="1"/>
  <c r="I1366" i="1" s="1"/>
  <c r="J1366" i="1" s="1"/>
  <c r="H1367" i="1"/>
  <c r="I1367" i="1" s="1"/>
  <c r="J1367" i="1" s="1"/>
  <c r="H1368" i="1"/>
  <c r="H1369" i="1"/>
  <c r="I1369" i="1" s="1"/>
  <c r="J1369" i="1" s="1"/>
  <c r="H1370" i="1"/>
  <c r="H1371" i="1"/>
  <c r="H1372" i="1"/>
  <c r="H1373" i="1"/>
  <c r="I1373" i="1" s="1"/>
  <c r="J1373" i="1" s="1"/>
  <c r="H1374" i="1"/>
  <c r="H1375" i="1"/>
  <c r="H1376" i="1"/>
  <c r="H1377" i="1"/>
  <c r="H1378" i="1"/>
  <c r="I1378" i="1" s="1"/>
  <c r="J1378" i="1" s="1"/>
  <c r="H1379" i="1"/>
  <c r="H1380" i="1"/>
  <c r="H1381" i="1"/>
  <c r="I1381" i="1" s="1"/>
  <c r="J1381" i="1" s="1"/>
  <c r="H1382" i="1"/>
  <c r="I1382" i="1" s="1"/>
  <c r="J1382" i="1" s="1"/>
  <c r="H1383" i="1"/>
  <c r="I1383" i="1" s="1"/>
  <c r="J1383" i="1" s="1"/>
  <c r="H1384" i="1"/>
  <c r="H1385" i="1"/>
  <c r="I1385" i="1" s="1"/>
  <c r="J1385" i="1" s="1"/>
  <c r="H1386" i="1"/>
  <c r="H1387" i="1"/>
  <c r="H1388" i="1"/>
  <c r="H1389" i="1"/>
  <c r="I1389" i="1" s="1"/>
  <c r="J1389" i="1" s="1"/>
  <c r="H1390" i="1"/>
  <c r="H1391" i="1"/>
  <c r="H1392" i="1"/>
  <c r="H1393" i="1"/>
  <c r="H1394" i="1"/>
  <c r="I1394" i="1" s="1"/>
  <c r="J1394" i="1" s="1"/>
  <c r="H1395" i="1"/>
  <c r="I1395" i="1" s="1"/>
  <c r="J1395" i="1" s="1"/>
  <c r="H1396" i="1"/>
  <c r="I1396" i="1" s="1"/>
  <c r="J1396" i="1" s="1"/>
  <c r="H1397" i="1"/>
  <c r="I1397" i="1" s="1"/>
  <c r="J1397" i="1" s="1"/>
  <c r="H1398" i="1"/>
  <c r="I1398" i="1" s="1"/>
  <c r="J1398" i="1" s="1"/>
  <c r="H1399" i="1"/>
  <c r="H1400" i="1"/>
  <c r="H1401" i="1"/>
  <c r="I1401" i="1" s="1"/>
  <c r="J1401" i="1" s="1"/>
  <c r="H1402" i="1"/>
  <c r="H1403" i="1"/>
  <c r="H1404" i="1"/>
  <c r="H1405" i="1"/>
  <c r="I1405" i="1" s="1"/>
  <c r="J1405" i="1" s="1"/>
  <c r="H1406" i="1"/>
  <c r="H1407" i="1"/>
  <c r="H1408" i="1"/>
  <c r="H1409" i="1"/>
  <c r="H1410" i="1"/>
  <c r="I1410" i="1" s="1"/>
  <c r="J1410" i="1" s="1"/>
  <c r="H1411" i="1"/>
  <c r="I1411" i="1" s="1"/>
  <c r="J1411" i="1" s="1"/>
  <c r="H1412" i="1"/>
  <c r="I1412" i="1" s="1"/>
  <c r="J1412" i="1" s="1"/>
  <c r="H1413" i="1"/>
  <c r="I1413" i="1" s="1"/>
  <c r="J1413" i="1" s="1"/>
  <c r="H1414" i="1"/>
  <c r="I1414" i="1" s="1"/>
  <c r="J1414" i="1" s="1"/>
  <c r="H1415" i="1"/>
  <c r="I1415" i="1" s="1"/>
  <c r="J1415" i="1" s="1"/>
  <c r="H1416" i="1"/>
  <c r="H1417" i="1"/>
  <c r="I1417" i="1" s="1"/>
  <c r="J1417" i="1" s="1"/>
  <c r="H1418" i="1"/>
  <c r="H1419" i="1"/>
  <c r="H1420" i="1"/>
  <c r="H1421" i="1"/>
  <c r="I1421" i="1" s="1"/>
  <c r="J1421" i="1" s="1"/>
  <c r="H1422" i="1"/>
  <c r="H1423" i="1"/>
  <c r="H1424" i="1"/>
  <c r="H1425" i="1"/>
  <c r="H1426" i="1"/>
  <c r="I1426" i="1" s="1"/>
  <c r="J1426" i="1" s="1"/>
  <c r="H1427" i="1"/>
  <c r="I1427" i="1" s="1"/>
  <c r="J1427" i="1" s="1"/>
  <c r="H1428" i="1"/>
  <c r="I1428" i="1" s="1"/>
  <c r="J1428" i="1" s="1"/>
  <c r="H1429" i="1"/>
  <c r="I1429" i="1" s="1"/>
  <c r="J1429" i="1" s="1"/>
  <c r="H1430" i="1"/>
  <c r="I1430" i="1" s="1"/>
  <c r="J1430" i="1" s="1"/>
  <c r="H1431" i="1"/>
  <c r="I1431" i="1" s="1"/>
  <c r="J1431" i="1" s="1"/>
  <c r="H1432" i="1"/>
  <c r="H1433" i="1"/>
  <c r="I1433" i="1" s="1"/>
  <c r="J1433" i="1" s="1"/>
  <c r="H1434" i="1"/>
  <c r="H1435" i="1"/>
  <c r="H1436" i="1"/>
  <c r="H1437" i="1"/>
  <c r="I1437" i="1" s="1"/>
  <c r="J1437" i="1" s="1"/>
  <c r="H1438" i="1"/>
  <c r="H1439" i="1"/>
  <c r="H1440" i="1"/>
  <c r="H1441" i="1"/>
  <c r="H1442" i="1"/>
  <c r="I1442" i="1" s="1"/>
  <c r="J1442" i="1" s="1"/>
  <c r="H1443" i="1"/>
  <c r="H1444" i="1"/>
  <c r="H1445" i="1"/>
  <c r="I1445" i="1" s="1"/>
  <c r="J1445" i="1" s="1"/>
  <c r="H1446" i="1"/>
  <c r="I1446" i="1" s="1"/>
  <c r="J1446" i="1" s="1"/>
  <c r="H1447" i="1"/>
  <c r="I1447" i="1" s="1"/>
  <c r="J1447" i="1" s="1"/>
  <c r="H1448" i="1"/>
  <c r="H1449" i="1"/>
  <c r="I1449" i="1" s="1"/>
  <c r="J1449" i="1" s="1"/>
  <c r="H1450" i="1"/>
  <c r="H1451" i="1"/>
  <c r="H1452" i="1"/>
  <c r="H1453" i="1"/>
  <c r="I1453" i="1" s="1"/>
  <c r="J1453" i="1" s="1"/>
  <c r="H1454" i="1"/>
  <c r="H1455" i="1"/>
  <c r="H1456" i="1"/>
  <c r="H1457" i="1"/>
  <c r="H1458" i="1"/>
  <c r="I1458" i="1" s="1"/>
  <c r="J1458" i="1" s="1"/>
  <c r="H1459" i="1"/>
  <c r="H1460" i="1"/>
  <c r="I1460" i="1" s="1"/>
  <c r="J1460" i="1" s="1"/>
  <c r="H1461" i="1"/>
  <c r="I1461" i="1" s="1"/>
  <c r="J1461" i="1" s="1"/>
  <c r="H1462" i="1"/>
  <c r="I1462" i="1" s="1"/>
  <c r="J1462" i="1" s="1"/>
  <c r="H1463" i="1"/>
  <c r="H1464" i="1"/>
  <c r="H1465" i="1"/>
  <c r="I1465" i="1" s="1"/>
  <c r="J1465" i="1" s="1"/>
  <c r="H1466" i="1"/>
  <c r="H1467" i="1"/>
  <c r="H1468" i="1"/>
  <c r="H1469" i="1"/>
  <c r="I1469" i="1" s="1"/>
  <c r="J1469" i="1" s="1"/>
  <c r="H1470" i="1"/>
  <c r="H1471" i="1"/>
  <c r="H1472" i="1"/>
  <c r="H1473" i="1"/>
  <c r="H1474" i="1"/>
  <c r="I1474" i="1" s="1"/>
  <c r="J1474" i="1" s="1"/>
  <c r="H1475" i="1"/>
  <c r="H1476" i="1"/>
  <c r="I1476" i="1" s="1"/>
  <c r="J1476" i="1" s="1"/>
  <c r="H1477" i="1"/>
  <c r="I1477" i="1" s="1"/>
  <c r="J1477" i="1" s="1"/>
  <c r="H1478" i="1"/>
  <c r="I1478" i="1" s="1"/>
  <c r="J1478" i="1" s="1"/>
  <c r="H1479" i="1"/>
  <c r="I1479" i="1" s="1"/>
  <c r="J1479" i="1" s="1"/>
  <c r="H1480" i="1"/>
  <c r="H1481" i="1"/>
  <c r="I1481" i="1" s="1"/>
  <c r="J1481" i="1" s="1"/>
  <c r="H1482" i="1"/>
  <c r="H1483" i="1"/>
  <c r="H1484" i="1"/>
  <c r="H1485" i="1"/>
  <c r="I1485" i="1" s="1"/>
  <c r="J1485" i="1" s="1"/>
  <c r="H1486" i="1"/>
  <c r="H1487" i="1"/>
  <c r="H1488" i="1"/>
  <c r="H1489" i="1"/>
  <c r="H1490" i="1"/>
  <c r="I1490" i="1" s="1"/>
  <c r="J1490" i="1" s="1"/>
  <c r="H1491" i="1"/>
  <c r="H1492" i="1"/>
  <c r="I1492" i="1" s="1"/>
  <c r="J1492" i="1" s="1"/>
  <c r="H1493" i="1"/>
  <c r="I1493" i="1" s="1"/>
  <c r="J1493" i="1" s="1"/>
  <c r="H1494" i="1"/>
  <c r="I1494" i="1" s="1"/>
  <c r="J1494" i="1" s="1"/>
  <c r="H1495" i="1"/>
  <c r="I1495" i="1" s="1"/>
  <c r="J1495" i="1" s="1"/>
  <c r="H1496" i="1"/>
  <c r="H1497" i="1"/>
  <c r="I1497" i="1" s="1"/>
  <c r="J1497" i="1" s="1"/>
  <c r="H1498" i="1"/>
  <c r="H1499" i="1"/>
  <c r="H1500" i="1"/>
  <c r="H1501" i="1"/>
  <c r="I1501" i="1" s="1"/>
  <c r="J1501" i="1" s="1"/>
  <c r="H1502" i="1"/>
  <c r="H1503" i="1"/>
  <c r="H1504" i="1"/>
  <c r="H1505" i="1"/>
  <c r="H1506" i="1"/>
  <c r="I1506" i="1" s="1"/>
  <c r="J1506" i="1" s="1"/>
  <c r="H1507" i="1"/>
  <c r="H1508" i="1"/>
  <c r="H1509" i="1"/>
  <c r="I1509" i="1" s="1"/>
  <c r="J1509" i="1" s="1"/>
  <c r="H1510" i="1"/>
  <c r="I1510" i="1" s="1"/>
  <c r="J1510" i="1" s="1"/>
  <c r="H1511" i="1"/>
  <c r="I1511" i="1" s="1"/>
  <c r="J1511" i="1" s="1"/>
  <c r="H1512" i="1"/>
  <c r="H1513" i="1"/>
  <c r="I1513" i="1" s="1"/>
  <c r="J1513" i="1" s="1"/>
  <c r="H1514" i="1"/>
  <c r="H1515" i="1"/>
  <c r="H1516" i="1"/>
  <c r="H1517" i="1"/>
  <c r="I1517" i="1" s="1"/>
  <c r="J1517" i="1" s="1"/>
  <c r="H1518" i="1"/>
  <c r="H1519" i="1"/>
  <c r="H1520" i="1"/>
  <c r="H1521" i="1"/>
  <c r="H1522" i="1"/>
  <c r="I1522" i="1" s="1"/>
  <c r="J1522" i="1" s="1"/>
  <c r="H1523" i="1"/>
  <c r="I1523" i="1" s="1"/>
  <c r="J1523" i="1" s="1"/>
  <c r="H1524" i="1"/>
  <c r="I1524" i="1" s="1"/>
  <c r="J1524" i="1" s="1"/>
  <c r="H1525" i="1"/>
  <c r="I1525" i="1" s="1"/>
  <c r="J1525" i="1" s="1"/>
  <c r="H1526" i="1"/>
  <c r="I1526" i="1" s="1"/>
  <c r="J1526" i="1" s="1"/>
  <c r="H1527" i="1"/>
  <c r="H1528" i="1"/>
  <c r="H1529" i="1"/>
  <c r="I1529" i="1" s="1"/>
  <c r="J1529" i="1" s="1"/>
  <c r="H1530" i="1"/>
  <c r="H1531" i="1"/>
  <c r="H1532" i="1"/>
  <c r="H1533" i="1"/>
  <c r="I1533" i="1" s="1"/>
  <c r="J1533" i="1" s="1"/>
  <c r="H1534" i="1"/>
  <c r="H1535" i="1"/>
  <c r="H1536" i="1"/>
  <c r="H1537" i="1"/>
  <c r="H1538" i="1"/>
  <c r="I1538" i="1" s="1"/>
  <c r="J1538" i="1" s="1"/>
  <c r="H1539" i="1"/>
  <c r="I1539" i="1" s="1"/>
  <c r="J1539" i="1" s="1"/>
  <c r="H1540" i="1"/>
  <c r="I1540" i="1" s="1"/>
  <c r="J1540" i="1" s="1"/>
  <c r="H1541" i="1"/>
  <c r="I1541" i="1" s="1"/>
  <c r="J1541" i="1" s="1"/>
  <c r="H1542" i="1"/>
  <c r="I1542" i="1" s="1"/>
  <c r="J1542" i="1" s="1"/>
  <c r="H1543" i="1"/>
  <c r="I1543" i="1" s="1"/>
  <c r="J1543" i="1" s="1"/>
  <c r="H1544" i="1"/>
  <c r="H1545" i="1"/>
  <c r="I1545" i="1" s="1"/>
  <c r="J1545" i="1" s="1"/>
  <c r="H1546" i="1"/>
  <c r="H1547" i="1"/>
  <c r="H1548" i="1"/>
  <c r="H1549" i="1"/>
  <c r="I1549" i="1" s="1"/>
  <c r="J1549" i="1" s="1"/>
  <c r="H1550" i="1"/>
  <c r="H1551" i="1"/>
  <c r="H1552" i="1"/>
  <c r="H1553" i="1"/>
  <c r="H1554" i="1"/>
  <c r="I1554" i="1" s="1"/>
  <c r="J1554" i="1" s="1"/>
  <c r="H1555" i="1"/>
  <c r="I1555" i="1" s="1"/>
  <c r="J1555" i="1" s="1"/>
  <c r="H1556" i="1"/>
  <c r="I1556" i="1" s="1"/>
  <c r="J1556" i="1" s="1"/>
  <c r="H1557" i="1"/>
  <c r="I1557" i="1" s="1"/>
  <c r="J1557" i="1" s="1"/>
  <c r="H1558" i="1"/>
  <c r="I1558" i="1" s="1"/>
  <c r="J1558" i="1" s="1"/>
  <c r="H1559" i="1"/>
  <c r="I1559" i="1" s="1"/>
  <c r="J1559" i="1" s="1"/>
  <c r="H1560" i="1"/>
  <c r="H1561" i="1"/>
  <c r="I1561" i="1" s="1"/>
  <c r="J1561" i="1" s="1"/>
  <c r="H1562" i="1"/>
  <c r="H1563" i="1"/>
  <c r="H1564" i="1"/>
  <c r="H1565" i="1"/>
  <c r="I1565" i="1" s="1"/>
  <c r="J1565" i="1" s="1"/>
  <c r="H1566" i="1"/>
  <c r="H1567" i="1"/>
  <c r="H1568" i="1"/>
  <c r="H1569" i="1"/>
  <c r="H1570" i="1"/>
  <c r="I1570" i="1" s="1"/>
  <c r="J1570" i="1" s="1"/>
  <c r="H1571" i="1"/>
  <c r="H1572" i="1"/>
  <c r="H1573" i="1"/>
  <c r="I1573" i="1" s="1"/>
  <c r="J1573" i="1" s="1"/>
  <c r="H1574" i="1"/>
  <c r="I1574" i="1" s="1"/>
  <c r="J1574" i="1" s="1"/>
  <c r="H1575" i="1"/>
  <c r="I1575" i="1" s="1"/>
  <c r="J1575" i="1" s="1"/>
  <c r="H1576" i="1"/>
  <c r="H1577" i="1"/>
  <c r="I1577" i="1" s="1"/>
  <c r="J1577" i="1" s="1"/>
  <c r="H1578" i="1"/>
  <c r="H1579" i="1"/>
  <c r="H1580" i="1"/>
  <c r="H1581" i="1"/>
  <c r="I1581" i="1" s="1"/>
  <c r="J1581" i="1" s="1"/>
  <c r="H1582" i="1"/>
  <c r="H1583" i="1"/>
  <c r="H1584" i="1"/>
  <c r="H1585" i="1"/>
  <c r="H1586" i="1"/>
  <c r="I1586" i="1" s="1"/>
  <c r="J1586" i="1" s="1"/>
  <c r="H1587" i="1"/>
  <c r="H1588" i="1"/>
  <c r="I1588" i="1" s="1"/>
  <c r="J1588" i="1" s="1"/>
  <c r="H1589" i="1"/>
  <c r="I1589" i="1" s="1"/>
  <c r="J1589" i="1" s="1"/>
  <c r="H1590" i="1"/>
  <c r="I1590" i="1" s="1"/>
  <c r="J1590" i="1" s="1"/>
  <c r="H1591" i="1"/>
  <c r="H1592" i="1"/>
  <c r="H1593" i="1"/>
  <c r="I1593" i="1" s="1"/>
  <c r="J1593" i="1" s="1"/>
  <c r="H1594" i="1"/>
  <c r="H1595" i="1"/>
  <c r="H1596" i="1"/>
  <c r="H1597" i="1"/>
  <c r="I1597" i="1" s="1"/>
  <c r="J1597" i="1" s="1"/>
  <c r="H1598" i="1"/>
  <c r="H1599" i="1"/>
  <c r="H1600" i="1"/>
  <c r="H1601" i="1"/>
  <c r="H1602" i="1"/>
  <c r="I1602" i="1" s="1"/>
  <c r="J1602" i="1" s="1"/>
  <c r="H1603" i="1"/>
  <c r="I1603" i="1" s="1"/>
  <c r="J1603" i="1" s="1"/>
  <c r="H1604" i="1"/>
  <c r="I1604" i="1" s="1"/>
  <c r="J1604" i="1" s="1"/>
  <c r="H1605" i="1"/>
  <c r="I1605" i="1" s="1"/>
  <c r="J1605" i="1" s="1"/>
  <c r="H1606" i="1"/>
  <c r="I1606" i="1" s="1"/>
  <c r="J1606" i="1" s="1"/>
  <c r="H1607" i="1"/>
  <c r="I1607" i="1" s="1"/>
  <c r="J1607" i="1" s="1"/>
  <c r="H1608" i="1"/>
  <c r="H1609" i="1"/>
  <c r="I1609" i="1" s="1"/>
  <c r="J1609" i="1" s="1"/>
  <c r="H1610" i="1"/>
  <c r="H1611" i="1"/>
  <c r="H1612" i="1"/>
  <c r="H1613" i="1"/>
  <c r="I1613" i="1" s="1"/>
  <c r="J1613" i="1" s="1"/>
  <c r="H1614" i="1"/>
  <c r="H1615" i="1"/>
  <c r="H1616" i="1"/>
  <c r="H1617" i="1"/>
  <c r="H1618" i="1"/>
  <c r="I1618" i="1" s="1"/>
  <c r="J1618" i="1" s="1"/>
  <c r="H1619" i="1"/>
  <c r="H1620" i="1"/>
  <c r="I1620" i="1" s="1"/>
  <c r="J1620" i="1" s="1"/>
  <c r="H1621" i="1"/>
  <c r="I1621" i="1" s="1"/>
  <c r="J1621" i="1" s="1"/>
  <c r="H1622" i="1"/>
  <c r="I1622" i="1" s="1"/>
  <c r="J1622" i="1" s="1"/>
  <c r="H1623" i="1"/>
  <c r="I1623" i="1" s="1"/>
  <c r="J1623" i="1" s="1"/>
  <c r="H1624" i="1"/>
  <c r="H1625" i="1"/>
  <c r="I1625" i="1" s="1"/>
  <c r="J1625" i="1" s="1"/>
  <c r="H1626" i="1"/>
  <c r="H1627" i="1"/>
  <c r="H1628" i="1"/>
  <c r="H1629" i="1"/>
  <c r="I1629" i="1" s="1"/>
  <c r="J1629" i="1" s="1"/>
  <c r="H1630" i="1"/>
  <c r="H1631" i="1"/>
  <c r="H1632" i="1"/>
  <c r="H1633" i="1"/>
  <c r="H1634" i="1"/>
  <c r="I1634" i="1" s="1"/>
  <c r="J1634" i="1" s="1"/>
  <c r="H1635" i="1"/>
  <c r="H1636" i="1"/>
  <c r="H1637" i="1"/>
  <c r="I1637" i="1" s="1"/>
  <c r="J1637" i="1" s="1"/>
  <c r="H1638" i="1"/>
  <c r="I1638" i="1" s="1"/>
  <c r="J1638" i="1" s="1"/>
  <c r="H1639" i="1"/>
  <c r="I1639" i="1" s="1"/>
  <c r="J1639" i="1" s="1"/>
  <c r="H1640" i="1"/>
  <c r="H1641" i="1"/>
  <c r="I1641" i="1" s="1"/>
  <c r="J1641" i="1" s="1"/>
  <c r="H1642" i="1"/>
  <c r="H1643" i="1"/>
  <c r="H1644" i="1"/>
  <c r="H1645" i="1"/>
  <c r="I1645" i="1" s="1"/>
  <c r="J1645" i="1" s="1"/>
  <c r="H1646" i="1"/>
  <c r="H1647" i="1"/>
  <c r="H1648" i="1"/>
  <c r="H1649" i="1"/>
  <c r="H1650" i="1"/>
  <c r="I1650" i="1" s="1"/>
  <c r="J1650" i="1" s="1"/>
  <c r="H1651" i="1"/>
  <c r="I1651" i="1" s="1"/>
  <c r="J1651" i="1" s="1"/>
  <c r="H1652" i="1"/>
  <c r="I1652" i="1" s="1"/>
  <c r="J1652" i="1" s="1"/>
  <c r="H1653" i="1"/>
  <c r="I1653" i="1" s="1"/>
  <c r="J1653" i="1" s="1"/>
  <c r="H1654" i="1"/>
  <c r="I1654" i="1" s="1"/>
  <c r="J1654" i="1" s="1"/>
  <c r="H1655" i="1"/>
  <c r="H1656" i="1"/>
  <c r="H1657" i="1"/>
  <c r="I1657" i="1" s="1"/>
  <c r="J1657" i="1" s="1"/>
  <c r="H1658" i="1"/>
  <c r="H1659" i="1"/>
  <c r="H1660" i="1"/>
  <c r="H1661" i="1"/>
  <c r="I1661" i="1" s="1"/>
  <c r="J1661" i="1" s="1"/>
  <c r="H1662" i="1"/>
  <c r="H1663" i="1"/>
  <c r="H1664" i="1"/>
  <c r="H1665" i="1"/>
  <c r="H1666" i="1"/>
  <c r="I1666" i="1" s="1"/>
  <c r="J1666" i="1" s="1"/>
  <c r="H1667" i="1"/>
  <c r="I1667" i="1" s="1"/>
  <c r="J1667" i="1" s="1"/>
  <c r="H1668" i="1"/>
  <c r="I1668" i="1" s="1"/>
  <c r="J1668" i="1" s="1"/>
  <c r="H1669" i="1"/>
  <c r="I1669" i="1" s="1"/>
  <c r="J1669" i="1" s="1"/>
  <c r="H1670" i="1"/>
  <c r="I1670" i="1" s="1"/>
  <c r="J1670" i="1" s="1"/>
  <c r="H1671" i="1"/>
  <c r="I1671" i="1" s="1"/>
  <c r="J1671" i="1" s="1"/>
  <c r="H1672" i="1"/>
  <c r="H1673" i="1"/>
  <c r="I1673" i="1" s="1"/>
  <c r="J1673" i="1" s="1"/>
  <c r="H1674" i="1"/>
  <c r="H1675" i="1"/>
  <c r="H1676" i="1"/>
  <c r="H1677" i="1"/>
  <c r="I1677" i="1" s="1"/>
  <c r="J1677" i="1" s="1"/>
  <c r="H1678" i="1"/>
  <c r="H1679" i="1"/>
  <c r="H1680" i="1"/>
  <c r="H1681" i="1"/>
  <c r="H1682" i="1"/>
  <c r="I1682" i="1" s="1"/>
  <c r="J1682" i="1" s="1"/>
  <c r="H1683" i="1"/>
  <c r="I1683" i="1" s="1"/>
  <c r="J1683" i="1" s="1"/>
  <c r="H1684" i="1"/>
  <c r="I1684" i="1" s="1"/>
  <c r="J1684" i="1" s="1"/>
  <c r="H1685" i="1"/>
  <c r="I1685" i="1" s="1"/>
  <c r="J1685" i="1" s="1"/>
  <c r="H1686" i="1"/>
  <c r="I1686" i="1" s="1"/>
  <c r="J1686" i="1" s="1"/>
  <c r="H1687" i="1"/>
  <c r="I1687" i="1" s="1"/>
  <c r="J1687" i="1" s="1"/>
  <c r="H1688" i="1"/>
  <c r="H1689" i="1"/>
  <c r="I1689" i="1" s="1"/>
  <c r="J1689" i="1" s="1"/>
  <c r="H1690" i="1"/>
  <c r="H1691" i="1"/>
  <c r="H1692" i="1"/>
  <c r="H1693" i="1"/>
  <c r="I1693" i="1" s="1"/>
  <c r="J1693" i="1" s="1"/>
  <c r="H1694" i="1"/>
  <c r="H1695" i="1"/>
  <c r="H1696" i="1"/>
  <c r="H1697" i="1"/>
  <c r="H1698" i="1"/>
  <c r="I1698" i="1" s="1"/>
  <c r="J1698" i="1" s="1"/>
  <c r="H1699" i="1"/>
  <c r="H1700" i="1"/>
  <c r="H1701" i="1"/>
  <c r="I1701" i="1" s="1"/>
  <c r="J1701" i="1" s="1"/>
  <c r="H1702" i="1"/>
  <c r="I1702" i="1" s="1"/>
  <c r="J1702" i="1" s="1"/>
  <c r="H1703" i="1"/>
  <c r="I1703" i="1" s="1"/>
  <c r="J1703" i="1" s="1"/>
  <c r="H1704" i="1"/>
  <c r="H1705" i="1"/>
  <c r="I1705" i="1" s="1"/>
  <c r="J1705" i="1" s="1"/>
  <c r="H1706" i="1"/>
  <c r="H1707" i="1"/>
  <c r="H1708" i="1"/>
  <c r="H1709" i="1"/>
  <c r="I1709" i="1" s="1"/>
  <c r="J1709" i="1" s="1"/>
  <c r="H1710" i="1"/>
  <c r="H1711" i="1"/>
  <c r="H1712" i="1"/>
  <c r="H1713" i="1"/>
  <c r="H1714" i="1"/>
  <c r="I1714" i="1" s="1"/>
  <c r="J1714" i="1" s="1"/>
  <c r="H1715" i="1"/>
  <c r="H1716" i="1"/>
  <c r="I1716" i="1" s="1"/>
  <c r="J1716" i="1" s="1"/>
  <c r="H1717" i="1"/>
  <c r="I1717" i="1" s="1"/>
  <c r="J1717" i="1" s="1"/>
  <c r="H1718" i="1"/>
  <c r="I1718" i="1" s="1"/>
  <c r="J1718" i="1" s="1"/>
  <c r="H1719" i="1"/>
  <c r="H1720" i="1"/>
  <c r="H1721" i="1"/>
  <c r="I1721" i="1" s="1"/>
  <c r="J1721" i="1" s="1"/>
  <c r="H1722" i="1"/>
  <c r="H1723" i="1"/>
  <c r="H1724" i="1"/>
  <c r="H1725" i="1"/>
  <c r="I1725" i="1" s="1"/>
  <c r="J1725" i="1" s="1"/>
  <c r="H1726" i="1"/>
  <c r="H1727" i="1"/>
  <c r="H1728" i="1"/>
  <c r="H1729" i="1"/>
  <c r="H1730" i="1"/>
  <c r="I1730" i="1" s="1"/>
  <c r="J1730" i="1" s="1"/>
  <c r="H1731" i="1"/>
  <c r="H1732" i="1"/>
  <c r="I1732" i="1" s="1"/>
  <c r="J1732" i="1" s="1"/>
  <c r="H1733" i="1"/>
  <c r="I1733" i="1" s="1"/>
  <c r="J1733" i="1" s="1"/>
  <c r="H1734" i="1"/>
  <c r="I1734" i="1" s="1"/>
  <c r="J1734" i="1" s="1"/>
  <c r="H1735" i="1"/>
  <c r="I1735" i="1" s="1"/>
  <c r="J1735" i="1" s="1"/>
  <c r="H1736" i="1"/>
  <c r="H1737" i="1"/>
  <c r="I1737" i="1" s="1"/>
  <c r="J1737" i="1" s="1"/>
  <c r="H1738" i="1"/>
  <c r="H1739" i="1"/>
  <c r="H1740" i="1"/>
  <c r="H1741" i="1"/>
  <c r="I1741" i="1" s="1"/>
  <c r="J1741" i="1" s="1"/>
  <c r="H1742" i="1"/>
  <c r="H1743" i="1"/>
  <c r="H1744" i="1"/>
  <c r="H1745" i="1"/>
  <c r="H1746" i="1"/>
  <c r="I1746" i="1" s="1"/>
  <c r="J1746" i="1" s="1"/>
  <c r="H1747" i="1"/>
  <c r="H1748" i="1"/>
  <c r="I1748" i="1" s="1"/>
  <c r="J1748" i="1" s="1"/>
  <c r="H1749" i="1"/>
  <c r="I1749" i="1" s="1"/>
  <c r="J1749" i="1" s="1"/>
  <c r="H1750" i="1"/>
  <c r="I1750" i="1" s="1"/>
  <c r="J1750" i="1" s="1"/>
  <c r="H1751" i="1"/>
  <c r="I1751" i="1" s="1"/>
  <c r="J1751" i="1" s="1"/>
  <c r="H1752" i="1"/>
  <c r="H1753" i="1"/>
  <c r="I1753" i="1" s="1"/>
  <c r="J1753" i="1" s="1"/>
  <c r="H1754" i="1"/>
  <c r="H1755" i="1"/>
  <c r="H1756" i="1"/>
  <c r="H1757" i="1"/>
  <c r="I1757" i="1" s="1"/>
  <c r="J1757" i="1" s="1"/>
  <c r="H1758" i="1"/>
  <c r="H1759" i="1"/>
  <c r="H1760" i="1"/>
  <c r="H1761" i="1"/>
  <c r="H1762" i="1"/>
  <c r="I1762" i="1" s="1"/>
  <c r="J1762" i="1" s="1"/>
  <c r="H1763" i="1"/>
  <c r="H1764" i="1"/>
  <c r="H1765" i="1"/>
  <c r="I1765" i="1" s="1"/>
  <c r="J1765" i="1" s="1"/>
  <c r="H1766" i="1"/>
  <c r="I1766" i="1" s="1"/>
  <c r="J1766" i="1" s="1"/>
  <c r="H1767" i="1"/>
  <c r="I1767" i="1" s="1"/>
  <c r="J1767" i="1" s="1"/>
  <c r="H1768" i="1"/>
  <c r="H1769" i="1"/>
  <c r="I1769" i="1" s="1"/>
  <c r="J1769" i="1" s="1"/>
  <c r="H1770" i="1"/>
  <c r="H1771" i="1"/>
  <c r="H1772" i="1"/>
  <c r="H1773" i="1"/>
  <c r="I1773" i="1" s="1"/>
  <c r="J1773" i="1" s="1"/>
  <c r="H1774" i="1"/>
  <c r="H1775" i="1"/>
  <c r="H1776" i="1"/>
  <c r="H1777" i="1"/>
  <c r="H1778" i="1"/>
  <c r="I1778" i="1" s="1"/>
  <c r="J1778" i="1" s="1"/>
  <c r="H1779" i="1"/>
  <c r="I1779" i="1" s="1"/>
  <c r="J1779" i="1" s="1"/>
  <c r="H1780" i="1"/>
  <c r="I1780" i="1" s="1"/>
  <c r="J1780" i="1" s="1"/>
  <c r="H1781" i="1"/>
  <c r="I1781" i="1" s="1"/>
  <c r="J1781" i="1" s="1"/>
  <c r="H1782" i="1"/>
  <c r="I1782" i="1" s="1"/>
  <c r="J1782" i="1" s="1"/>
  <c r="H1783" i="1"/>
  <c r="H1784" i="1"/>
  <c r="H1785" i="1"/>
  <c r="I1785" i="1" s="1"/>
  <c r="J1785" i="1" s="1"/>
  <c r="H1786" i="1"/>
  <c r="H1787" i="1"/>
  <c r="H1788" i="1"/>
  <c r="H1789" i="1"/>
  <c r="I1789" i="1" s="1"/>
  <c r="J1789" i="1" s="1"/>
  <c r="H1790" i="1"/>
  <c r="H1791" i="1"/>
  <c r="H1792" i="1"/>
  <c r="H1793" i="1"/>
  <c r="H1794" i="1"/>
  <c r="I1794" i="1" s="1"/>
  <c r="J1794" i="1" s="1"/>
  <c r="H1795" i="1"/>
  <c r="I1795" i="1" s="1"/>
  <c r="J1795" i="1" s="1"/>
  <c r="H1796" i="1"/>
  <c r="I1796" i="1" s="1"/>
  <c r="J1796" i="1" s="1"/>
  <c r="H1797" i="1"/>
  <c r="I1797" i="1" s="1"/>
  <c r="J1797" i="1" s="1"/>
  <c r="H1798" i="1"/>
  <c r="I1798" i="1" s="1"/>
  <c r="J1798" i="1" s="1"/>
  <c r="H1799" i="1"/>
  <c r="I1799" i="1" s="1"/>
  <c r="J1799" i="1" s="1"/>
  <c r="H1800" i="1"/>
  <c r="H1801" i="1"/>
  <c r="I1801" i="1" s="1"/>
  <c r="J1801" i="1" s="1"/>
  <c r="H1802" i="1"/>
  <c r="H1803" i="1"/>
  <c r="H1804" i="1"/>
  <c r="H1805" i="1"/>
  <c r="I1805" i="1" s="1"/>
  <c r="J1805" i="1" s="1"/>
  <c r="H1806" i="1"/>
  <c r="H1807" i="1"/>
  <c r="H1808" i="1"/>
  <c r="H1809" i="1"/>
  <c r="H1810" i="1"/>
  <c r="I1810" i="1" s="1"/>
  <c r="J1810" i="1" s="1"/>
  <c r="H1811" i="1"/>
  <c r="I1811" i="1" s="1"/>
  <c r="J1811" i="1" s="1"/>
  <c r="H1812" i="1"/>
  <c r="I1812" i="1" s="1"/>
  <c r="J1812" i="1" s="1"/>
  <c r="H1813" i="1"/>
  <c r="I1813" i="1" s="1"/>
  <c r="J1813" i="1" s="1"/>
  <c r="H1814" i="1"/>
  <c r="I1814" i="1" s="1"/>
  <c r="J1814" i="1" s="1"/>
  <c r="H1815" i="1"/>
  <c r="I1815" i="1" s="1"/>
  <c r="J1815" i="1" s="1"/>
  <c r="H1816" i="1"/>
  <c r="H1817" i="1"/>
  <c r="I1817" i="1" s="1"/>
  <c r="J1817" i="1" s="1"/>
  <c r="H1818" i="1"/>
  <c r="H1819" i="1"/>
  <c r="H1820" i="1"/>
  <c r="H1821" i="1"/>
  <c r="I1821" i="1" s="1"/>
  <c r="J1821" i="1" s="1"/>
  <c r="H1822" i="1"/>
  <c r="H1823" i="1"/>
  <c r="H1824" i="1"/>
  <c r="H1825" i="1"/>
  <c r="H1826" i="1"/>
  <c r="I1826" i="1" s="1"/>
  <c r="J1826" i="1" s="1"/>
  <c r="H1827" i="1"/>
  <c r="H1828" i="1"/>
  <c r="H1829" i="1"/>
  <c r="I1829" i="1" s="1"/>
  <c r="J1829" i="1" s="1"/>
  <c r="H1830" i="1"/>
  <c r="I1830" i="1" s="1"/>
  <c r="J1830" i="1" s="1"/>
  <c r="H1831" i="1"/>
  <c r="I1831" i="1" s="1"/>
  <c r="J1831" i="1" s="1"/>
  <c r="H1832" i="1"/>
  <c r="H1833" i="1"/>
  <c r="I1833" i="1" s="1"/>
  <c r="J1833" i="1" s="1"/>
  <c r="H1834" i="1"/>
  <c r="H1835" i="1"/>
  <c r="H1836" i="1"/>
  <c r="H1837" i="1"/>
  <c r="I1837" i="1" s="1"/>
  <c r="J1837" i="1" s="1"/>
  <c r="H1838" i="1"/>
  <c r="H1839" i="1"/>
  <c r="H1840" i="1"/>
  <c r="H1841" i="1"/>
  <c r="H1842" i="1"/>
  <c r="I1842" i="1" s="1"/>
  <c r="J1842" i="1" s="1"/>
  <c r="H1843" i="1"/>
  <c r="H1844" i="1"/>
  <c r="I1844" i="1" s="1"/>
  <c r="J1844" i="1" s="1"/>
  <c r="H1845" i="1"/>
  <c r="I1845" i="1" s="1"/>
  <c r="J1845" i="1" s="1"/>
  <c r="H1846" i="1"/>
  <c r="I1846" i="1" s="1"/>
  <c r="J1846" i="1" s="1"/>
  <c r="H1847" i="1"/>
  <c r="H1848" i="1"/>
  <c r="H1849" i="1"/>
  <c r="I1849" i="1" s="1"/>
  <c r="J1849" i="1" s="1"/>
  <c r="H1850" i="1"/>
  <c r="H1851" i="1"/>
  <c r="H1852" i="1"/>
  <c r="H1853" i="1"/>
  <c r="I1853" i="1" s="1"/>
  <c r="J1853" i="1" s="1"/>
  <c r="H1854" i="1"/>
  <c r="H1855" i="1"/>
  <c r="H1856" i="1"/>
  <c r="H1857" i="1"/>
  <c r="H1858" i="1"/>
  <c r="I1858" i="1" s="1"/>
  <c r="J1858" i="1" s="1"/>
  <c r="H1859" i="1"/>
  <c r="H1860" i="1"/>
  <c r="I1860" i="1" s="1"/>
  <c r="J1860" i="1" s="1"/>
  <c r="H1861" i="1"/>
  <c r="I1861" i="1" s="1"/>
  <c r="J1861" i="1" s="1"/>
  <c r="H1862" i="1"/>
  <c r="I1862" i="1" s="1"/>
  <c r="J1862" i="1" s="1"/>
  <c r="H1863" i="1"/>
  <c r="I1863" i="1" s="1"/>
  <c r="J1863" i="1" s="1"/>
  <c r="H1864" i="1"/>
  <c r="H1865" i="1"/>
  <c r="I1865" i="1" s="1"/>
  <c r="J1865" i="1" s="1"/>
  <c r="H1866" i="1"/>
  <c r="H1867" i="1"/>
  <c r="H1868" i="1"/>
  <c r="H1869" i="1"/>
  <c r="I1869" i="1" s="1"/>
  <c r="J1869" i="1" s="1"/>
  <c r="H1870" i="1"/>
  <c r="H1871" i="1"/>
  <c r="H1872" i="1"/>
  <c r="H1873" i="1"/>
  <c r="H1874" i="1"/>
  <c r="I1874" i="1" s="1"/>
  <c r="J1874" i="1" s="1"/>
  <c r="H1875" i="1"/>
  <c r="H1876" i="1"/>
  <c r="I1876" i="1" s="1"/>
  <c r="J1876" i="1" s="1"/>
  <c r="H1877" i="1"/>
  <c r="I1877" i="1" s="1"/>
  <c r="J1877" i="1" s="1"/>
  <c r="H1878" i="1"/>
  <c r="I1878" i="1" s="1"/>
  <c r="J1878" i="1" s="1"/>
  <c r="H1879" i="1"/>
  <c r="I1879" i="1" s="1"/>
  <c r="J1879" i="1" s="1"/>
  <c r="H1880" i="1"/>
  <c r="H1881" i="1"/>
  <c r="I1881" i="1" s="1"/>
  <c r="J1881" i="1" s="1"/>
  <c r="H1882" i="1"/>
  <c r="H1883" i="1"/>
  <c r="H1884" i="1"/>
  <c r="H1885" i="1"/>
  <c r="I1885" i="1" s="1"/>
  <c r="J1885" i="1" s="1"/>
  <c r="H1886" i="1"/>
  <c r="H1887" i="1"/>
  <c r="H1888" i="1"/>
  <c r="H1889" i="1"/>
  <c r="H1890" i="1"/>
  <c r="I1890" i="1" s="1"/>
  <c r="J1890" i="1" s="1"/>
  <c r="H1891" i="1"/>
  <c r="H1892" i="1"/>
  <c r="H1893" i="1"/>
  <c r="I1893" i="1" s="1"/>
  <c r="J1893" i="1" s="1"/>
  <c r="H1894" i="1"/>
  <c r="I1894" i="1" s="1"/>
  <c r="J1894" i="1" s="1"/>
  <c r="H1895" i="1"/>
  <c r="I1895" i="1" s="1"/>
  <c r="J1895" i="1" s="1"/>
  <c r="H1896" i="1"/>
  <c r="H1897" i="1"/>
  <c r="I1897" i="1" s="1"/>
  <c r="J1897" i="1" s="1"/>
  <c r="H1898" i="1"/>
  <c r="H1899" i="1"/>
  <c r="H1900" i="1"/>
  <c r="H1901" i="1"/>
  <c r="I1901" i="1" s="1"/>
  <c r="J1901" i="1" s="1"/>
  <c r="H1902" i="1"/>
  <c r="H1903" i="1"/>
  <c r="H1904" i="1"/>
  <c r="H1905" i="1"/>
  <c r="H1906" i="1"/>
  <c r="I1906" i="1" s="1"/>
  <c r="J1906" i="1" s="1"/>
  <c r="H1907" i="1"/>
  <c r="I1907" i="1" s="1"/>
  <c r="J1907" i="1" s="1"/>
  <c r="H1908" i="1"/>
  <c r="I1908" i="1" s="1"/>
  <c r="J1908" i="1" s="1"/>
  <c r="H1909" i="1"/>
  <c r="I1909" i="1" s="1"/>
  <c r="J1909" i="1" s="1"/>
  <c r="H1910" i="1"/>
  <c r="I1910" i="1" s="1"/>
  <c r="J1910" i="1" s="1"/>
  <c r="H1911" i="1"/>
  <c r="H1912" i="1"/>
  <c r="H1913" i="1"/>
  <c r="I1913" i="1" s="1"/>
  <c r="J1913" i="1" s="1"/>
  <c r="H1914" i="1"/>
  <c r="H1915" i="1"/>
  <c r="H1916" i="1"/>
  <c r="H1917" i="1"/>
  <c r="I1917" i="1" s="1"/>
  <c r="J1917" i="1" s="1"/>
  <c r="H1918" i="1"/>
  <c r="H1919" i="1"/>
  <c r="H1920" i="1"/>
  <c r="H1921" i="1"/>
  <c r="H1922" i="1"/>
  <c r="I1922" i="1" s="1"/>
  <c r="J1922" i="1" s="1"/>
  <c r="H1923" i="1"/>
  <c r="I1923" i="1" s="1"/>
  <c r="J1923" i="1" s="1"/>
  <c r="H1924" i="1"/>
  <c r="I1924" i="1" s="1"/>
  <c r="J1924" i="1" s="1"/>
  <c r="H1925" i="1"/>
  <c r="I1925" i="1" s="1"/>
  <c r="J1925" i="1" s="1"/>
  <c r="H1926" i="1"/>
  <c r="I1926" i="1" s="1"/>
  <c r="J1926" i="1" s="1"/>
  <c r="H1927" i="1"/>
  <c r="I1927" i="1" s="1"/>
  <c r="J1927" i="1" s="1"/>
  <c r="H1928" i="1"/>
  <c r="H1929" i="1"/>
  <c r="I1929" i="1" s="1"/>
  <c r="J1929" i="1" s="1"/>
  <c r="H1930" i="1"/>
  <c r="H1931" i="1"/>
  <c r="H1932" i="1"/>
  <c r="H1933" i="1"/>
  <c r="I1933" i="1" s="1"/>
  <c r="J1933" i="1" s="1"/>
  <c r="H1934" i="1"/>
  <c r="H1935" i="1"/>
  <c r="H1936" i="1"/>
  <c r="H1937" i="1"/>
  <c r="H1938" i="1"/>
  <c r="I1938" i="1" s="1"/>
  <c r="J1938" i="1" s="1"/>
  <c r="H1939" i="1"/>
  <c r="I1939" i="1" s="1"/>
  <c r="J1939" i="1" s="1"/>
  <c r="H1940" i="1"/>
  <c r="I1940" i="1" s="1"/>
  <c r="J1940" i="1" s="1"/>
  <c r="H1941" i="1"/>
  <c r="I1941" i="1" s="1"/>
  <c r="J1941" i="1" s="1"/>
  <c r="H1942" i="1"/>
  <c r="I1942" i="1" s="1"/>
  <c r="J1942" i="1" s="1"/>
  <c r="H1943" i="1"/>
  <c r="I1943" i="1" s="1"/>
  <c r="J1943" i="1" s="1"/>
  <c r="H1944" i="1"/>
  <c r="H1945" i="1"/>
  <c r="I1945" i="1" s="1"/>
  <c r="J1945" i="1" s="1"/>
  <c r="H1946" i="1"/>
  <c r="H1947" i="1"/>
  <c r="H1948" i="1"/>
  <c r="H1949" i="1"/>
  <c r="I1949" i="1" s="1"/>
  <c r="J1949" i="1" s="1"/>
  <c r="H1950" i="1"/>
  <c r="H1951" i="1"/>
  <c r="H1952" i="1"/>
  <c r="H1953" i="1"/>
  <c r="H1954" i="1"/>
  <c r="I1954" i="1" s="1"/>
  <c r="J1954" i="1" s="1"/>
  <c r="H1955" i="1"/>
  <c r="H1956" i="1"/>
  <c r="H1957" i="1"/>
  <c r="I1957" i="1" s="1"/>
  <c r="J1957" i="1" s="1"/>
  <c r="H1958" i="1"/>
  <c r="I1958" i="1" s="1"/>
  <c r="J1958" i="1" s="1"/>
  <c r="H1959" i="1"/>
  <c r="I1959" i="1" s="1"/>
  <c r="J1959" i="1" s="1"/>
  <c r="H1960" i="1"/>
  <c r="H1961" i="1"/>
  <c r="I1961" i="1" s="1"/>
  <c r="J1961" i="1" s="1"/>
  <c r="H1962" i="1"/>
  <c r="H1963" i="1"/>
  <c r="H1964" i="1"/>
  <c r="H1965" i="1"/>
  <c r="I1965" i="1" s="1"/>
  <c r="J1965" i="1" s="1"/>
  <c r="H1966" i="1"/>
  <c r="H1967" i="1"/>
  <c r="H1968" i="1"/>
  <c r="H1969" i="1"/>
  <c r="H1970" i="1"/>
  <c r="I1970" i="1" s="1"/>
  <c r="J1970" i="1" s="1"/>
  <c r="H1971" i="1"/>
  <c r="H1972" i="1"/>
  <c r="I1972" i="1" s="1"/>
  <c r="J1972" i="1" s="1"/>
  <c r="H1973" i="1"/>
  <c r="I1973" i="1" s="1"/>
  <c r="J1973" i="1" s="1"/>
  <c r="H1974" i="1"/>
  <c r="I1974" i="1" s="1"/>
  <c r="J1974" i="1" s="1"/>
  <c r="H1975" i="1"/>
  <c r="H1976" i="1"/>
  <c r="H1977" i="1"/>
  <c r="I1977" i="1" s="1"/>
  <c r="J1977" i="1" s="1"/>
  <c r="H1978" i="1"/>
  <c r="H1979" i="1"/>
  <c r="H1980" i="1"/>
  <c r="H1981" i="1"/>
  <c r="I1981" i="1" s="1"/>
  <c r="J1981" i="1" s="1"/>
  <c r="H1982" i="1"/>
  <c r="H1983" i="1"/>
  <c r="H1984" i="1"/>
  <c r="H1985" i="1"/>
  <c r="H1986" i="1"/>
  <c r="I1986" i="1" s="1"/>
  <c r="J1986" i="1" s="1"/>
  <c r="H1987" i="1"/>
  <c r="H1988" i="1"/>
  <c r="I1988" i="1" s="1"/>
  <c r="J1988" i="1" s="1"/>
  <c r="H1989" i="1"/>
  <c r="I1989" i="1" s="1"/>
  <c r="J1989" i="1" s="1"/>
  <c r="H1990" i="1"/>
  <c r="I1990" i="1" s="1"/>
  <c r="J1990" i="1" s="1"/>
  <c r="H1991" i="1"/>
  <c r="I1991" i="1" s="1"/>
  <c r="J1991" i="1" s="1"/>
  <c r="H1992" i="1"/>
  <c r="H1993" i="1"/>
  <c r="I1993" i="1" s="1"/>
  <c r="J1993" i="1" s="1"/>
  <c r="H1994" i="1"/>
  <c r="H1995" i="1"/>
  <c r="H1996" i="1"/>
  <c r="H1997" i="1"/>
  <c r="I1997" i="1" s="1"/>
  <c r="J1997" i="1" s="1"/>
  <c r="H1998" i="1"/>
  <c r="H1999" i="1"/>
  <c r="H2000" i="1"/>
  <c r="H2001" i="1"/>
  <c r="H2002" i="1"/>
  <c r="I2002" i="1" s="1"/>
  <c r="J2002" i="1" s="1"/>
  <c r="H2003" i="1"/>
  <c r="H2004" i="1"/>
  <c r="I2004" i="1" s="1"/>
  <c r="J2004" i="1" s="1"/>
  <c r="H2005" i="1"/>
  <c r="I2005" i="1" s="1"/>
  <c r="J2005" i="1" s="1"/>
  <c r="H2006" i="1"/>
  <c r="I2006" i="1" s="1"/>
  <c r="J2006" i="1" s="1"/>
  <c r="H2007" i="1"/>
  <c r="I2007" i="1" s="1"/>
  <c r="J2007" i="1" s="1"/>
  <c r="H2008" i="1"/>
  <c r="H2009" i="1"/>
  <c r="I2009" i="1" s="1"/>
  <c r="J2009" i="1" s="1"/>
  <c r="H2010" i="1"/>
  <c r="H2011" i="1"/>
  <c r="H2012" i="1"/>
  <c r="H2013" i="1"/>
  <c r="I2013" i="1" s="1"/>
  <c r="J2013" i="1" s="1"/>
  <c r="H2014" i="1"/>
  <c r="H2015" i="1"/>
  <c r="H2016" i="1"/>
  <c r="H2017" i="1"/>
  <c r="H2018" i="1"/>
  <c r="I2018" i="1" s="1"/>
  <c r="J2018" i="1" s="1"/>
  <c r="H2019" i="1"/>
  <c r="H2020" i="1"/>
  <c r="H2021" i="1"/>
  <c r="I2021" i="1" s="1"/>
  <c r="J2021" i="1" s="1"/>
  <c r="H2022" i="1"/>
  <c r="I2022" i="1" s="1"/>
  <c r="J2022" i="1" s="1"/>
  <c r="H2023" i="1"/>
  <c r="I2023" i="1" s="1"/>
  <c r="J2023" i="1" s="1"/>
  <c r="H2024" i="1"/>
  <c r="H2025" i="1"/>
  <c r="I2025" i="1" s="1"/>
  <c r="J2025" i="1" s="1"/>
  <c r="H2026" i="1"/>
  <c r="H2027" i="1"/>
  <c r="H2028" i="1"/>
  <c r="H2029" i="1"/>
  <c r="I2029" i="1" s="1"/>
  <c r="J2029" i="1" s="1"/>
  <c r="H2030" i="1"/>
  <c r="H2031" i="1"/>
  <c r="H2032" i="1"/>
  <c r="H2033" i="1"/>
  <c r="H2034" i="1"/>
  <c r="I2034" i="1" s="1"/>
  <c r="J2034" i="1" s="1"/>
  <c r="H2035" i="1"/>
  <c r="I2035" i="1" s="1"/>
  <c r="J2035" i="1" s="1"/>
  <c r="H2036" i="1"/>
  <c r="I2036" i="1" s="1"/>
  <c r="J2036" i="1" s="1"/>
  <c r="H2037" i="1"/>
  <c r="I2037" i="1" s="1"/>
  <c r="J2037" i="1" s="1"/>
  <c r="H2038" i="1"/>
  <c r="I2038" i="1" s="1"/>
  <c r="J2038" i="1" s="1"/>
  <c r="H2039" i="1"/>
  <c r="H2040" i="1"/>
  <c r="H2041" i="1"/>
  <c r="I2041" i="1" s="1"/>
  <c r="J2041" i="1" s="1"/>
  <c r="H2042" i="1"/>
  <c r="H2043" i="1"/>
  <c r="H2044" i="1"/>
  <c r="H2045" i="1"/>
  <c r="I2045" i="1" s="1"/>
  <c r="J2045" i="1" s="1"/>
  <c r="H2046" i="1"/>
  <c r="H2047" i="1"/>
  <c r="H2048" i="1"/>
  <c r="H2049" i="1"/>
  <c r="H2050" i="1"/>
  <c r="I2050" i="1" s="1"/>
  <c r="J2050" i="1" s="1"/>
  <c r="H2051" i="1"/>
  <c r="I2051" i="1" s="1"/>
  <c r="J2051" i="1" s="1"/>
  <c r="H2052" i="1"/>
  <c r="I2052" i="1" s="1"/>
  <c r="J2052" i="1" s="1"/>
  <c r="H2053" i="1"/>
  <c r="I2053" i="1" s="1"/>
  <c r="J2053" i="1" s="1"/>
  <c r="H2054" i="1"/>
  <c r="I2054" i="1" s="1"/>
  <c r="J2054" i="1" s="1"/>
  <c r="H2055" i="1"/>
  <c r="I2055" i="1" s="1"/>
  <c r="J2055" i="1" s="1"/>
  <c r="H2056" i="1"/>
  <c r="H2057" i="1"/>
  <c r="I2057" i="1" s="1"/>
  <c r="J2057" i="1" s="1"/>
  <c r="H2058" i="1"/>
  <c r="H2059" i="1"/>
  <c r="H2060" i="1"/>
  <c r="H2061" i="1"/>
  <c r="I2061" i="1" s="1"/>
  <c r="J2061" i="1" s="1"/>
  <c r="H2062" i="1"/>
  <c r="H2063" i="1"/>
  <c r="H2064" i="1"/>
  <c r="H2065" i="1"/>
  <c r="H2066" i="1"/>
  <c r="I2066" i="1" s="1"/>
  <c r="J2066" i="1" s="1"/>
  <c r="H2067" i="1"/>
  <c r="I2067" i="1" s="1"/>
  <c r="J2067" i="1" s="1"/>
  <c r="H2068" i="1"/>
  <c r="I2068" i="1" s="1"/>
  <c r="J2068" i="1" s="1"/>
  <c r="H2069" i="1"/>
  <c r="I2069" i="1" s="1"/>
  <c r="J2069" i="1" s="1"/>
  <c r="H2070" i="1"/>
  <c r="I2070" i="1" s="1"/>
  <c r="J2070" i="1" s="1"/>
  <c r="H2071" i="1"/>
  <c r="I2071" i="1" s="1"/>
  <c r="J2071" i="1" s="1"/>
  <c r="H2072" i="1"/>
  <c r="H2073" i="1"/>
  <c r="I2073" i="1" s="1"/>
  <c r="J2073" i="1" s="1"/>
  <c r="H2074" i="1"/>
  <c r="H2075" i="1"/>
  <c r="H2076" i="1"/>
  <c r="H2077" i="1"/>
  <c r="I2077" i="1" s="1"/>
  <c r="J2077" i="1" s="1"/>
  <c r="H2078" i="1"/>
  <c r="H2079" i="1"/>
  <c r="H2080" i="1"/>
  <c r="H2081" i="1"/>
  <c r="H2082" i="1"/>
  <c r="I2082" i="1" s="1"/>
  <c r="J2082" i="1" s="1"/>
  <c r="H2083" i="1"/>
  <c r="H2084" i="1"/>
  <c r="H2085" i="1"/>
  <c r="I2085" i="1" s="1"/>
  <c r="J2085" i="1" s="1"/>
  <c r="H2086" i="1"/>
  <c r="I2086" i="1" s="1"/>
  <c r="J2086" i="1" s="1"/>
  <c r="H2087" i="1"/>
  <c r="I2087" i="1" s="1"/>
  <c r="J2087" i="1" s="1"/>
  <c r="H2088" i="1"/>
  <c r="H2089" i="1"/>
  <c r="I2089" i="1" s="1"/>
  <c r="J2089" i="1" s="1"/>
  <c r="H2090" i="1"/>
  <c r="H2091" i="1"/>
  <c r="H2092" i="1"/>
  <c r="H2093" i="1"/>
  <c r="I2093" i="1" s="1"/>
  <c r="J2093" i="1" s="1"/>
  <c r="H2094" i="1"/>
  <c r="H2095" i="1"/>
  <c r="H2096" i="1"/>
  <c r="H2097" i="1"/>
  <c r="H2098" i="1"/>
  <c r="I2098" i="1" s="1"/>
  <c r="J2098" i="1" s="1"/>
  <c r="H2099" i="1"/>
  <c r="H2100" i="1"/>
  <c r="I2100" i="1" s="1"/>
  <c r="J2100" i="1" s="1"/>
  <c r="H2101" i="1"/>
  <c r="I2101" i="1" s="1"/>
  <c r="J2101" i="1" s="1"/>
  <c r="H2102" i="1"/>
  <c r="I2102" i="1" s="1"/>
  <c r="J2102" i="1" s="1"/>
  <c r="H2103" i="1"/>
  <c r="H2104" i="1"/>
  <c r="H2105" i="1"/>
  <c r="I2105" i="1" s="1"/>
  <c r="J2105" i="1" s="1"/>
  <c r="H2106" i="1"/>
  <c r="H2107" i="1"/>
  <c r="H2108" i="1"/>
  <c r="H2109" i="1"/>
  <c r="I2109" i="1" s="1"/>
  <c r="J2109" i="1" s="1"/>
  <c r="H2110" i="1"/>
  <c r="H2111" i="1"/>
  <c r="H2112" i="1"/>
  <c r="H2113" i="1"/>
  <c r="H2114" i="1"/>
  <c r="I2114" i="1" s="1"/>
  <c r="J2114" i="1" s="1"/>
  <c r="H2115" i="1"/>
  <c r="I2115" i="1" s="1"/>
  <c r="J2115" i="1" s="1"/>
  <c r="H2116" i="1"/>
  <c r="I2116" i="1" s="1"/>
  <c r="J2116" i="1" s="1"/>
  <c r="H2117" i="1"/>
  <c r="I2117" i="1" s="1"/>
  <c r="J2117" i="1" s="1"/>
  <c r="H2118" i="1"/>
  <c r="I2118" i="1" s="1"/>
  <c r="J2118" i="1" s="1"/>
  <c r="H2119" i="1"/>
  <c r="I2119" i="1" s="1"/>
  <c r="J2119" i="1" s="1"/>
  <c r="H2120" i="1"/>
  <c r="H2121" i="1"/>
  <c r="I2121" i="1" s="1"/>
  <c r="J2121" i="1" s="1"/>
  <c r="H2122" i="1"/>
  <c r="H2123" i="1"/>
  <c r="H2124" i="1"/>
  <c r="H2125" i="1"/>
  <c r="I2125" i="1" s="1"/>
  <c r="J2125" i="1" s="1"/>
  <c r="H2126" i="1"/>
  <c r="H2127" i="1"/>
  <c r="H2128" i="1"/>
  <c r="H2129" i="1"/>
  <c r="H2130" i="1"/>
  <c r="I2130" i="1" s="1"/>
  <c r="J2130" i="1" s="1"/>
  <c r="H2131" i="1"/>
  <c r="H2132" i="1"/>
  <c r="I2132" i="1" s="1"/>
  <c r="J2132" i="1" s="1"/>
  <c r="H2133" i="1"/>
  <c r="I2133" i="1" s="1"/>
  <c r="J2133" i="1" s="1"/>
  <c r="H2134" i="1"/>
  <c r="I2134" i="1" s="1"/>
  <c r="J2134" i="1" s="1"/>
  <c r="H2135" i="1"/>
  <c r="I2135" i="1" s="1"/>
  <c r="J2135" i="1" s="1"/>
  <c r="H2136" i="1"/>
  <c r="H2137" i="1"/>
  <c r="I2137" i="1" s="1"/>
  <c r="J2137" i="1" s="1"/>
  <c r="H2138" i="1"/>
  <c r="H2139" i="1"/>
  <c r="H2140" i="1"/>
  <c r="H2141" i="1"/>
  <c r="I2141" i="1" s="1"/>
  <c r="J2141" i="1" s="1"/>
  <c r="H2142" i="1"/>
  <c r="H2143" i="1"/>
  <c r="H2144" i="1"/>
  <c r="H2145" i="1"/>
  <c r="H2146" i="1"/>
  <c r="I2146" i="1" s="1"/>
  <c r="J2146" i="1" s="1"/>
  <c r="H2147" i="1"/>
  <c r="H2148" i="1"/>
  <c r="H2149" i="1"/>
  <c r="I2149" i="1" s="1"/>
  <c r="J2149" i="1" s="1"/>
  <c r="H2150" i="1"/>
  <c r="I2150" i="1" s="1"/>
  <c r="J2150" i="1" s="1"/>
  <c r="H2151" i="1"/>
  <c r="I2151" i="1" s="1"/>
  <c r="J2151" i="1" s="1"/>
  <c r="H2152" i="1"/>
  <c r="H2153" i="1"/>
  <c r="I2153" i="1" s="1"/>
  <c r="J2153" i="1" s="1"/>
  <c r="H2154" i="1"/>
  <c r="H2155" i="1"/>
  <c r="H2156" i="1"/>
  <c r="H2157" i="1"/>
  <c r="I2157" i="1" s="1"/>
  <c r="J2157" i="1" s="1"/>
  <c r="H2158" i="1"/>
  <c r="H2159" i="1"/>
  <c r="H2160" i="1"/>
  <c r="H2161" i="1"/>
  <c r="H2162" i="1"/>
  <c r="I2162" i="1" s="1"/>
  <c r="J2162" i="1" s="1"/>
  <c r="H2163" i="1"/>
  <c r="I2163" i="1" s="1"/>
  <c r="J2163" i="1" s="1"/>
  <c r="H2164" i="1"/>
  <c r="I2164" i="1" s="1"/>
  <c r="J2164" i="1" s="1"/>
  <c r="H2165" i="1"/>
  <c r="I2165" i="1" s="1"/>
  <c r="J2165" i="1" s="1"/>
  <c r="H2166" i="1"/>
  <c r="I2166" i="1" s="1"/>
  <c r="J2166" i="1" s="1"/>
  <c r="H2167" i="1"/>
  <c r="H2168" i="1"/>
  <c r="H2169" i="1"/>
  <c r="I2169" i="1" s="1"/>
  <c r="J2169" i="1" s="1"/>
  <c r="H2170" i="1"/>
  <c r="H2171" i="1"/>
  <c r="H2172" i="1"/>
  <c r="H2173" i="1"/>
  <c r="I2173" i="1" s="1"/>
  <c r="J2173" i="1" s="1"/>
  <c r="H2174" i="1"/>
  <c r="H2175" i="1"/>
  <c r="H2176" i="1"/>
  <c r="H2177" i="1"/>
  <c r="H2178" i="1"/>
  <c r="I2178" i="1" s="1"/>
  <c r="J2178" i="1" s="1"/>
  <c r="H2179" i="1"/>
  <c r="I2179" i="1" s="1"/>
  <c r="J2179" i="1" s="1"/>
  <c r="H2180" i="1"/>
  <c r="I2180" i="1" s="1"/>
  <c r="J2180" i="1" s="1"/>
  <c r="H2181" i="1"/>
  <c r="I2181" i="1" s="1"/>
  <c r="J2181" i="1" s="1"/>
  <c r="H2182" i="1"/>
  <c r="I2182" i="1" s="1"/>
  <c r="J2182" i="1" s="1"/>
  <c r="H2183" i="1"/>
  <c r="I2183" i="1" s="1"/>
  <c r="J2183" i="1" s="1"/>
  <c r="H2184" i="1"/>
  <c r="H2185" i="1"/>
  <c r="I2185" i="1" s="1"/>
  <c r="J2185" i="1" s="1"/>
  <c r="H2186" i="1"/>
  <c r="H2187" i="1"/>
  <c r="H2188" i="1"/>
  <c r="H2189" i="1"/>
  <c r="I2189" i="1" s="1"/>
  <c r="J2189" i="1" s="1"/>
  <c r="H2190" i="1"/>
  <c r="H2191" i="1"/>
  <c r="H2192" i="1"/>
  <c r="H2193" i="1"/>
  <c r="H2194" i="1"/>
  <c r="I2194" i="1" s="1"/>
  <c r="J2194" i="1" s="1"/>
  <c r="H2195" i="1"/>
  <c r="I2195" i="1" s="1"/>
  <c r="J2195" i="1" s="1"/>
  <c r="H2196" i="1"/>
  <c r="I2196" i="1" s="1"/>
  <c r="J2196" i="1" s="1"/>
  <c r="H2197" i="1"/>
  <c r="I2197" i="1" s="1"/>
  <c r="J2197" i="1" s="1"/>
  <c r="H2198" i="1"/>
  <c r="I2198" i="1" s="1"/>
  <c r="J2198" i="1" s="1"/>
  <c r="H2199" i="1"/>
  <c r="I2199" i="1" s="1"/>
  <c r="J2199" i="1" s="1"/>
  <c r="H2200" i="1"/>
  <c r="H2201" i="1"/>
  <c r="I2201" i="1" s="1"/>
  <c r="J2201" i="1" s="1"/>
  <c r="H2202" i="1"/>
  <c r="H2203" i="1"/>
  <c r="H2204" i="1"/>
  <c r="H2205" i="1"/>
  <c r="I2205" i="1" s="1"/>
  <c r="J2205" i="1" s="1"/>
  <c r="H2206" i="1"/>
  <c r="H2207" i="1"/>
  <c r="H2208" i="1"/>
  <c r="H2209" i="1"/>
  <c r="H2210" i="1"/>
  <c r="I2210" i="1" s="1"/>
  <c r="J2210" i="1" s="1"/>
  <c r="H2211" i="1"/>
  <c r="H2212" i="1"/>
  <c r="H2213" i="1"/>
  <c r="I2213" i="1" s="1"/>
  <c r="J2213" i="1" s="1"/>
  <c r="H2214" i="1"/>
  <c r="I2214" i="1" s="1"/>
  <c r="J2214" i="1" s="1"/>
  <c r="H2215" i="1"/>
  <c r="I2215" i="1" s="1"/>
  <c r="J2215" i="1" s="1"/>
  <c r="H2216" i="1"/>
  <c r="H2217" i="1"/>
  <c r="I2217" i="1" s="1"/>
  <c r="J2217" i="1" s="1"/>
  <c r="H2218" i="1"/>
  <c r="H2219" i="1"/>
  <c r="H2220" i="1"/>
  <c r="H2221" i="1"/>
  <c r="I2221" i="1" s="1"/>
  <c r="J2221" i="1" s="1"/>
  <c r="H2222" i="1"/>
  <c r="H2223" i="1"/>
  <c r="H2224" i="1"/>
  <c r="H2225" i="1"/>
  <c r="H2226" i="1"/>
  <c r="I2226" i="1" s="1"/>
  <c r="J2226" i="1" s="1"/>
  <c r="H2227" i="1"/>
  <c r="H2228" i="1"/>
  <c r="I2228" i="1" s="1"/>
  <c r="J2228" i="1" s="1"/>
  <c r="H2229" i="1"/>
  <c r="I2229" i="1" s="1"/>
  <c r="J2229" i="1" s="1"/>
  <c r="H2230" i="1"/>
  <c r="I2230" i="1" s="1"/>
  <c r="J2230" i="1" s="1"/>
  <c r="H2231" i="1"/>
  <c r="H2232" i="1"/>
  <c r="H2233" i="1"/>
  <c r="I2233" i="1" s="1"/>
  <c r="J2233" i="1" s="1"/>
  <c r="H2234" i="1"/>
  <c r="H2235" i="1"/>
  <c r="H2236" i="1"/>
  <c r="H2237" i="1"/>
  <c r="I2237" i="1" s="1"/>
  <c r="J2237" i="1" s="1"/>
  <c r="H2238" i="1"/>
  <c r="H2239" i="1"/>
  <c r="H2240" i="1"/>
  <c r="H2241" i="1"/>
  <c r="H2242" i="1"/>
  <c r="I2242" i="1" s="1"/>
  <c r="J2242" i="1" s="1"/>
  <c r="H2243" i="1"/>
  <c r="H2244" i="1"/>
  <c r="I2244" i="1" s="1"/>
  <c r="J2244" i="1" s="1"/>
  <c r="H2245" i="1"/>
  <c r="I2245" i="1" s="1"/>
  <c r="J2245" i="1" s="1"/>
  <c r="H2246" i="1"/>
  <c r="I2246" i="1" s="1"/>
  <c r="J2246" i="1" s="1"/>
  <c r="H2247" i="1"/>
  <c r="I2247" i="1" s="1"/>
  <c r="J2247" i="1" s="1"/>
  <c r="H2248" i="1"/>
  <c r="H2249" i="1"/>
  <c r="I2249" i="1" s="1"/>
  <c r="J2249" i="1" s="1"/>
  <c r="H2250" i="1"/>
  <c r="H2251" i="1"/>
  <c r="H2252" i="1"/>
  <c r="H2253" i="1"/>
  <c r="I2253" i="1" s="1"/>
  <c r="J2253" i="1" s="1"/>
  <c r="H2254" i="1"/>
  <c r="H2255" i="1"/>
  <c r="H2256" i="1"/>
  <c r="H2257" i="1"/>
  <c r="H2258" i="1"/>
  <c r="I2258" i="1" s="1"/>
  <c r="J2258" i="1" s="1"/>
  <c r="H2259" i="1"/>
  <c r="H2260" i="1"/>
  <c r="I2260" i="1" s="1"/>
  <c r="J2260" i="1" s="1"/>
  <c r="H2261" i="1"/>
  <c r="I2261" i="1" s="1"/>
  <c r="J2261" i="1" s="1"/>
  <c r="H2262" i="1"/>
  <c r="I2262" i="1" s="1"/>
  <c r="J2262" i="1" s="1"/>
  <c r="H2263" i="1"/>
  <c r="I2263" i="1" s="1"/>
  <c r="J2263" i="1" s="1"/>
  <c r="H2264" i="1"/>
  <c r="H2265" i="1"/>
  <c r="I2265" i="1" s="1"/>
  <c r="J2265" i="1" s="1"/>
  <c r="H2266" i="1"/>
  <c r="H2267" i="1"/>
  <c r="H2268" i="1"/>
  <c r="H2269" i="1"/>
  <c r="I2269" i="1" s="1"/>
  <c r="J2269" i="1" s="1"/>
  <c r="H2270" i="1"/>
  <c r="H2271" i="1"/>
  <c r="H2272" i="1"/>
  <c r="H2273" i="1"/>
  <c r="H2274" i="1"/>
  <c r="I2274" i="1" s="1"/>
  <c r="J2274" i="1" s="1"/>
  <c r="H2275" i="1"/>
  <c r="H2276" i="1"/>
  <c r="H2277" i="1"/>
  <c r="I2277" i="1" s="1"/>
  <c r="J2277" i="1" s="1"/>
  <c r="H2278" i="1"/>
  <c r="I2278" i="1" s="1"/>
  <c r="J2278" i="1" s="1"/>
  <c r="H2279" i="1"/>
  <c r="I2279" i="1" s="1"/>
  <c r="J2279" i="1" s="1"/>
  <c r="H2280" i="1"/>
  <c r="H2281" i="1"/>
  <c r="I2281" i="1" s="1"/>
  <c r="J2281" i="1" s="1"/>
  <c r="H2282" i="1"/>
  <c r="H2283" i="1"/>
  <c r="H2284" i="1"/>
  <c r="H2285" i="1"/>
  <c r="I2285" i="1" s="1"/>
  <c r="J2285" i="1" s="1"/>
  <c r="H2286" i="1"/>
  <c r="H2287" i="1"/>
  <c r="H2288" i="1"/>
  <c r="H2289" i="1"/>
  <c r="H2290" i="1"/>
  <c r="I2290" i="1" s="1"/>
  <c r="J2290" i="1" s="1"/>
  <c r="H2291" i="1"/>
  <c r="I2291" i="1" s="1"/>
  <c r="J2291" i="1" s="1"/>
  <c r="H2292" i="1"/>
  <c r="I2292" i="1" s="1"/>
  <c r="J2292" i="1" s="1"/>
  <c r="H2293" i="1"/>
  <c r="I2293" i="1" s="1"/>
  <c r="J2293" i="1" s="1"/>
  <c r="H2294" i="1"/>
  <c r="I2294" i="1" s="1"/>
  <c r="J2294" i="1" s="1"/>
  <c r="H2295" i="1"/>
  <c r="H2296" i="1"/>
  <c r="H2297" i="1"/>
  <c r="I2297" i="1" s="1"/>
  <c r="J2297" i="1" s="1"/>
  <c r="H2298" i="1"/>
  <c r="H2299" i="1"/>
  <c r="H2300" i="1"/>
  <c r="H2301" i="1"/>
  <c r="I2301" i="1" s="1"/>
  <c r="J2301" i="1" s="1"/>
  <c r="H2302" i="1"/>
  <c r="H2303" i="1"/>
  <c r="H2304" i="1"/>
  <c r="H2305" i="1"/>
  <c r="H2306" i="1"/>
  <c r="I2306" i="1" s="1"/>
  <c r="J2306" i="1" s="1"/>
  <c r="H2307" i="1"/>
  <c r="I2307" i="1" s="1"/>
  <c r="J2307" i="1" s="1"/>
  <c r="H2308" i="1"/>
  <c r="I2308" i="1" s="1"/>
  <c r="J2308" i="1" s="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I65" i="1" s="1"/>
  <c r="J65" i="1" s="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I97" i="1" s="1"/>
  <c r="J97" i="1" s="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I289" i="1" s="1"/>
  <c r="J289" i="1" s="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I385" i="1" s="1"/>
  <c r="J385" i="1" s="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I577" i="1" s="1"/>
  <c r="J577" i="1" s="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I689" i="1" s="1"/>
  <c r="J689" i="1" s="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I1201" i="1" s="1"/>
  <c r="J1201" i="1" s="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I1425" i="1" s="1"/>
  <c r="J1425" i="1" s="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I1489" i="1" s="1"/>
  <c r="J1489" i="1" s="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I1649" i="1" s="1"/>
  <c r="J1649" i="1" s="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I1761" i="1" s="1"/>
  <c r="J1761" i="1" s="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I1937" i="1" s="1"/>
  <c r="J1937" i="1" s="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I2001" i="1" s="1"/>
  <c r="J2001" i="1" s="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I2161" i="1" s="1"/>
  <c r="J2161" i="1" s="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I2273" i="1" s="1"/>
  <c r="J2273" i="1" s="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H5" i="1"/>
  <c r="G5" i="1"/>
  <c r="I2284" i="1" l="1"/>
  <c r="J2284" i="1" s="1"/>
  <c r="I2220" i="1"/>
  <c r="J2220" i="1" s="1"/>
  <c r="I2204" i="1"/>
  <c r="J2204" i="1" s="1"/>
  <c r="I2172" i="1"/>
  <c r="J2172" i="1" s="1"/>
  <c r="I2108" i="1"/>
  <c r="J2108" i="1" s="1"/>
  <c r="I2092" i="1"/>
  <c r="J2092" i="1" s="1"/>
  <c r="I1996" i="1"/>
  <c r="J1996" i="1" s="1"/>
  <c r="I1932" i="1"/>
  <c r="J1932" i="1" s="1"/>
  <c r="I1884" i="1"/>
  <c r="J1884" i="1" s="1"/>
  <c r="I1852" i="1"/>
  <c r="J1852" i="1" s="1"/>
  <c r="I1820" i="1"/>
  <c r="J1820" i="1" s="1"/>
  <c r="I1804" i="1"/>
  <c r="J1804" i="1" s="1"/>
  <c r="I1772" i="1"/>
  <c r="J1772" i="1" s="1"/>
  <c r="I1708" i="1"/>
  <c r="J1708" i="1" s="1"/>
  <c r="I1692" i="1"/>
  <c r="J1692" i="1" s="1"/>
  <c r="I1660" i="1"/>
  <c r="J1660" i="1" s="1"/>
  <c r="I1596" i="1"/>
  <c r="J1596" i="1" s="1"/>
  <c r="I1580" i="1"/>
  <c r="J1580" i="1" s="1"/>
  <c r="I1484" i="1"/>
  <c r="J1484" i="1" s="1"/>
  <c r="I1420" i="1"/>
  <c r="J1420" i="1" s="1"/>
  <c r="I1372" i="1"/>
  <c r="J1372" i="1" s="1"/>
  <c r="I1340" i="1"/>
  <c r="J1340" i="1" s="1"/>
  <c r="I1308" i="1"/>
  <c r="J1308" i="1" s="1"/>
  <c r="I1292" i="1"/>
  <c r="J1292" i="1" s="1"/>
  <c r="I1196" i="1"/>
  <c r="J1196" i="1" s="1"/>
  <c r="I1180" i="1"/>
  <c r="J1180" i="1" s="1"/>
  <c r="I1148" i="1"/>
  <c r="J1148" i="1" s="1"/>
  <c r="I1084" i="1"/>
  <c r="J1084" i="1" s="1"/>
  <c r="I1068" i="1"/>
  <c r="J1068" i="1" s="1"/>
  <c r="I972" i="1"/>
  <c r="J972" i="1" s="1"/>
  <c r="I908" i="1"/>
  <c r="J908" i="1" s="1"/>
  <c r="I860" i="1"/>
  <c r="J860" i="1" s="1"/>
  <c r="I828" i="1"/>
  <c r="J828" i="1" s="1"/>
  <c r="I796" i="1"/>
  <c r="J796" i="1" s="1"/>
  <c r="I780" i="1"/>
  <c r="J780" i="1" s="1"/>
  <c r="I748" i="1"/>
  <c r="J748" i="1" s="1"/>
  <c r="I684" i="1"/>
  <c r="J684" i="1" s="1"/>
  <c r="I668" i="1"/>
  <c r="J668" i="1" s="1"/>
  <c r="I636" i="1"/>
  <c r="J636" i="1" s="1"/>
  <c r="I572" i="1"/>
  <c r="J572" i="1" s="1"/>
  <c r="I556" i="1"/>
  <c r="J556" i="1" s="1"/>
  <c r="I460" i="1"/>
  <c r="J460" i="1" s="1"/>
  <c r="I396" i="1"/>
  <c r="J396" i="1" s="1"/>
  <c r="I316" i="1"/>
  <c r="J316" i="1" s="1"/>
  <c r="I284" i="1"/>
  <c r="J284" i="1" s="1"/>
  <c r="I268" i="1"/>
  <c r="J268" i="1" s="1"/>
  <c r="I236" i="1"/>
  <c r="J236" i="1" s="1"/>
  <c r="I172" i="1"/>
  <c r="J172" i="1" s="1"/>
  <c r="I156" i="1"/>
  <c r="J156" i="1" s="1"/>
  <c r="I124" i="1"/>
  <c r="J124" i="1" s="1"/>
  <c r="I60" i="1"/>
  <c r="J60" i="1" s="1"/>
  <c r="I44" i="1"/>
  <c r="J44" i="1" s="1"/>
  <c r="R1740" i="1"/>
  <c r="S1740" i="1" s="1"/>
  <c r="I1001" i="1"/>
  <c r="J1001" i="1" s="1"/>
  <c r="I985" i="1"/>
  <c r="J985" i="1" s="1"/>
  <c r="I969" i="1"/>
  <c r="J969" i="1" s="1"/>
  <c r="I953" i="1"/>
  <c r="J953" i="1" s="1"/>
  <c r="I937" i="1"/>
  <c r="J937" i="1" s="1"/>
  <c r="I921" i="1"/>
  <c r="J921" i="1" s="1"/>
  <c r="I905" i="1"/>
  <c r="J905" i="1" s="1"/>
  <c r="I889" i="1"/>
  <c r="J889" i="1" s="1"/>
  <c r="I873" i="1"/>
  <c r="J873" i="1" s="1"/>
  <c r="I857" i="1"/>
  <c r="J857" i="1" s="1"/>
  <c r="I841" i="1"/>
  <c r="J841" i="1" s="1"/>
  <c r="I825" i="1"/>
  <c r="J825" i="1" s="1"/>
  <c r="I809" i="1"/>
  <c r="J809" i="1" s="1"/>
  <c r="I793" i="1"/>
  <c r="J793" i="1" s="1"/>
  <c r="I777" i="1"/>
  <c r="J777" i="1" s="1"/>
  <c r="I761" i="1"/>
  <c r="J761" i="1" s="1"/>
  <c r="I745" i="1"/>
  <c r="J745" i="1" s="1"/>
  <c r="I729" i="1"/>
  <c r="J729" i="1" s="1"/>
  <c r="I713" i="1"/>
  <c r="J713" i="1" s="1"/>
  <c r="I697" i="1"/>
  <c r="J697" i="1" s="1"/>
  <c r="I681" i="1"/>
  <c r="J681" i="1" s="1"/>
  <c r="I665" i="1"/>
  <c r="J665" i="1" s="1"/>
  <c r="I649" i="1"/>
  <c r="J649" i="1" s="1"/>
  <c r="I633" i="1"/>
  <c r="J633" i="1" s="1"/>
  <c r="I617" i="1"/>
  <c r="J617" i="1" s="1"/>
  <c r="I601" i="1"/>
  <c r="J601" i="1" s="1"/>
  <c r="I585" i="1"/>
  <c r="J585" i="1" s="1"/>
  <c r="I569" i="1"/>
  <c r="J569" i="1" s="1"/>
  <c r="I553" i="1"/>
  <c r="J553" i="1" s="1"/>
  <c r="I537" i="1"/>
  <c r="J537" i="1" s="1"/>
  <c r="I521" i="1"/>
  <c r="J521" i="1" s="1"/>
  <c r="I505" i="1"/>
  <c r="J505" i="1" s="1"/>
  <c r="I489" i="1"/>
  <c r="J489" i="1" s="1"/>
  <c r="I473" i="1"/>
  <c r="J473" i="1" s="1"/>
  <c r="I457" i="1"/>
  <c r="J457" i="1" s="1"/>
  <c r="I441" i="1"/>
  <c r="J441" i="1" s="1"/>
  <c r="I425" i="1"/>
  <c r="J425" i="1" s="1"/>
  <c r="I409" i="1"/>
  <c r="J409" i="1" s="1"/>
  <c r="I393" i="1"/>
  <c r="J393" i="1" s="1"/>
  <c r="I377" i="1"/>
  <c r="J377" i="1" s="1"/>
  <c r="I361" i="1"/>
  <c r="J361" i="1" s="1"/>
  <c r="I345" i="1"/>
  <c r="J345" i="1" s="1"/>
  <c r="I329" i="1"/>
  <c r="J329" i="1" s="1"/>
  <c r="I313" i="1"/>
  <c r="J313" i="1" s="1"/>
  <c r="I297" i="1"/>
  <c r="J297" i="1" s="1"/>
  <c r="I281" i="1"/>
  <c r="J281" i="1" s="1"/>
  <c r="I265" i="1"/>
  <c r="J265" i="1" s="1"/>
  <c r="I249" i="1"/>
  <c r="J249" i="1" s="1"/>
  <c r="I233" i="1"/>
  <c r="J233" i="1" s="1"/>
  <c r="I217" i="1"/>
  <c r="J217" i="1" s="1"/>
  <c r="I201" i="1"/>
  <c r="J201" i="1" s="1"/>
  <c r="I185" i="1"/>
  <c r="J185" i="1" s="1"/>
  <c r="I169" i="1"/>
  <c r="J169" i="1" s="1"/>
  <c r="I153" i="1"/>
  <c r="J153" i="1" s="1"/>
  <c r="I137" i="1"/>
  <c r="J137" i="1" s="1"/>
  <c r="I121" i="1"/>
  <c r="J121" i="1" s="1"/>
  <c r="I105" i="1"/>
  <c r="J105" i="1" s="1"/>
  <c r="I89" i="1"/>
  <c r="J89" i="1" s="1"/>
  <c r="I73" i="1"/>
  <c r="J73" i="1" s="1"/>
  <c r="I57" i="1"/>
  <c r="J57" i="1" s="1"/>
  <c r="I41" i="1"/>
  <c r="J41" i="1" s="1"/>
  <c r="I25" i="1"/>
  <c r="J25" i="1" s="1"/>
  <c r="I2296" i="1"/>
  <c r="J2296" i="1" s="1"/>
  <c r="I2280" i="1"/>
  <c r="J2280" i="1" s="1"/>
  <c r="I2264" i="1"/>
  <c r="J2264" i="1" s="1"/>
  <c r="I2248" i="1"/>
  <c r="J2248" i="1" s="1"/>
  <c r="I2232" i="1"/>
  <c r="J2232" i="1" s="1"/>
  <c r="I2216" i="1"/>
  <c r="J2216" i="1" s="1"/>
  <c r="I2200" i="1"/>
  <c r="J2200" i="1" s="1"/>
  <c r="I2184" i="1"/>
  <c r="J2184" i="1" s="1"/>
  <c r="I2168" i="1"/>
  <c r="J2168" i="1" s="1"/>
  <c r="I2152" i="1"/>
  <c r="J2152" i="1" s="1"/>
  <c r="I2136" i="1"/>
  <c r="J2136" i="1" s="1"/>
  <c r="I2120" i="1"/>
  <c r="J2120" i="1" s="1"/>
  <c r="I2104" i="1"/>
  <c r="J2104" i="1" s="1"/>
  <c r="I2088" i="1"/>
  <c r="J2088" i="1" s="1"/>
  <c r="I2072" i="1"/>
  <c r="J2072" i="1" s="1"/>
  <c r="I2056" i="1"/>
  <c r="J2056" i="1" s="1"/>
  <c r="I2040" i="1"/>
  <c r="J2040" i="1" s="1"/>
  <c r="I1198" i="1"/>
  <c r="J1198" i="1" s="1"/>
  <c r="R158" i="1"/>
  <c r="S158" i="1" s="1"/>
  <c r="R1046" i="1"/>
  <c r="S1046" i="1" s="1"/>
  <c r="I1310" i="1"/>
  <c r="J1310" i="1" s="1"/>
  <c r="I350" i="1"/>
  <c r="J350" i="1" s="1"/>
  <c r="R2142" i="1"/>
  <c r="S2142" i="1" s="1"/>
  <c r="R1630" i="1"/>
  <c r="S1630" i="1" s="1"/>
  <c r="R1523" i="1"/>
  <c r="S1523" i="1" s="1"/>
  <c r="R627" i="1"/>
  <c r="S627" i="1" s="1"/>
  <c r="R323" i="1"/>
  <c r="S323" i="1" s="1"/>
  <c r="I2222" i="1"/>
  <c r="J2222" i="1" s="1"/>
  <c r="I174" i="1"/>
  <c r="J174" i="1" s="1"/>
  <c r="R1726" i="1"/>
  <c r="S1726" i="1" s="1"/>
  <c r="R2275" i="1"/>
  <c r="S2275" i="1" s="1"/>
  <c r="R2211" i="1"/>
  <c r="S2211" i="1" s="1"/>
  <c r="R1299" i="1"/>
  <c r="S1299" i="1" s="1"/>
  <c r="R771" i="1"/>
  <c r="S771" i="1" s="1"/>
  <c r="R339" i="1"/>
  <c r="S339" i="1" s="1"/>
  <c r="I1886" i="1"/>
  <c r="J1886" i="1" s="1"/>
  <c r="I1710" i="1"/>
  <c r="J1710" i="1" s="1"/>
  <c r="I1374" i="1"/>
  <c r="J1374" i="1" s="1"/>
  <c r="I1262" i="1"/>
  <c r="J1262" i="1" s="1"/>
  <c r="I750" i="1"/>
  <c r="J750" i="1" s="1"/>
  <c r="I2303" i="1"/>
  <c r="J2303" i="1" s="1"/>
  <c r="I2287" i="1"/>
  <c r="J2287" i="1" s="1"/>
  <c r="I2271" i="1"/>
  <c r="J2271" i="1" s="1"/>
  <c r="I2255" i="1"/>
  <c r="J2255" i="1" s="1"/>
  <c r="I2239" i="1"/>
  <c r="J2239" i="1" s="1"/>
  <c r="I2223" i="1"/>
  <c r="J2223" i="1" s="1"/>
  <c r="I2207" i="1"/>
  <c r="J2207" i="1" s="1"/>
  <c r="I2191" i="1"/>
  <c r="J2191" i="1" s="1"/>
  <c r="I2175" i="1"/>
  <c r="J2175" i="1" s="1"/>
  <c r="I2159" i="1"/>
  <c r="J2159" i="1" s="1"/>
  <c r="I2143" i="1"/>
  <c r="J2143" i="1" s="1"/>
  <c r="I2127" i="1"/>
  <c r="J2127" i="1" s="1"/>
  <c r="I2111" i="1"/>
  <c r="J2111" i="1" s="1"/>
  <c r="I2095" i="1"/>
  <c r="J2095" i="1" s="1"/>
  <c r="I2079" i="1"/>
  <c r="J2079" i="1" s="1"/>
  <c r="I2063" i="1"/>
  <c r="J2063" i="1" s="1"/>
  <c r="I2047" i="1"/>
  <c r="J2047" i="1" s="1"/>
  <c r="I2031" i="1"/>
  <c r="J2031" i="1" s="1"/>
  <c r="I2015" i="1"/>
  <c r="J2015" i="1" s="1"/>
  <c r="I1999" i="1"/>
  <c r="J1999" i="1" s="1"/>
  <c r="I1983" i="1"/>
  <c r="J1983" i="1" s="1"/>
  <c r="I1967" i="1"/>
  <c r="J1967" i="1" s="1"/>
  <c r="I1951" i="1"/>
  <c r="J1951" i="1" s="1"/>
  <c r="I1935" i="1"/>
  <c r="J1935" i="1" s="1"/>
  <c r="I1919" i="1"/>
  <c r="J1919" i="1" s="1"/>
  <c r="I1903" i="1"/>
  <c r="J1903" i="1" s="1"/>
  <c r="I1887" i="1"/>
  <c r="J1887" i="1" s="1"/>
  <c r="I1871" i="1"/>
  <c r="J1871" i="1" s="1"/>
  <c r="I1855" i="1"/>
  <c r="J1855" i="1" s="1"/>
  <c r="I1839" i="1"/>
  <c r="J1839" i="1" s="1"/>
  <c r="I1823" i="1"/>
  <c r="J1823" i="1" s="1"/>
  <c r="I1807" i="1"/>
  <c r="J1807" i="1" s="1"/>
  <c r="I1791" i="1"/>
  <c r="J1791" i="1" s="1"/>
  <c r="I84" i="1"/>
  <c r="J84" i="1" s="1"/>
  <c r="I68" i="1"/>
  <c r="J68" i="1" s="1"/>
  <c r="I52" i="1"/>
  <c r="J52" i="1" s="1"/>
  <c r="I20" i="1"/>
  <c r="J20" i="1" s="1"/>
  <c r="I2033" i="1"/>
  <c r="J2033" i="1" s="1"/>
  <c r="I2304" i="1"/>
  <c r="J2304" i="1" s="1"/>
  <c r="I2288" i="1"/>
  <c r="J2288" i="1" s="1"/>
  <c r="I2272" i="1"/>
  <c r="J2272" i="1" s="1"/>
  <c r="I2256" i="1"/>
  <c r="J2256" i="1" s="1"/>
  <c r="I2240" i="1"/>
  <c r="J2240" i="1" s="1"/>
  <c r="I2224" i="1"/>
  <c r="J2224" i="1" s="1"/>
  <c r="I2208" i="1"/>
  <c r="J2208" i="1" s="1"/>
  <c r="I2192" i="1"/>
  <c r="J2192" i="1" s="1"/>
  <c r="I2176" i="1"/>
  <c r="J2176" i="1" s="1"/>
  <c r="I2160" i="1"/>
  <c r="J2160" i="1" s="1"/>
  <c r="I2144" i="1"/>
  <c r="J2144" i="1" s="1"/>
  <c r="I2128" i="1"/>
  <c r="J2128" i="1" s="1"/>
  <c r="I2112" i="1"/>
  <c r="J2112" i="1" s="1"/>
  <c r="I2096" i="1"/>
  <c r="J2096" i="1" s="1"/>
  <c r="I2080" i="1"/>
  <c r="J2080" i="1" s="1"/>
  <c r="I2064" i="1"/>
  <c r="J2064" i="1" s="1"/>
  <c r="I2048" i="1"/>
  <c r="J2048" i="1" s="1"/>
  <c r="I2032" i="1"/>
  <c r="J2032" i="1" s="1"/>
  <c r="I2016" i="1"/>
  <c r="J2016" i="1" s="1"/>
  <c r="I2000" i="1"/>
  <c r="J2000" i="1" s="1"/>
  <c r="I1984" i="1"/>
  <c r="J1984" i="1" s="1"/>
  <c r="I1968" i="1"/>
  <c r="J1968" i="1" s="1"/>
  <c r="I1952" i="1"/>
  <c r="J1952" i="1" s="1"/>
  <c r="I1936" i="1"/>
  <c r="J1936" i="1" s="1"/>
  <c r="I1920" i="1"/>
  <c r="J1920" i="1" s="1"/>
  <c r="I1904" i="1"/>
  <c r="J1904" i="1" s="1"/>
  <c r="I1888" i="1"/>
  <c r="J1888" i="1" s="1"/>
  <c r="I1872" i="1"/>
  <c r="J1872" i="1" s="1"/>
  <c r="I1856" i="1"/>
  <c r="J1856" i="1" s="1"/>
  <c r="I1840" i="1"/>
  <c r="J1840" i="1" s="1"/>
  <c r="I1824" i="1"/>
  <c r="J1824" i="1" s="1"/>
  <c r="I1808" i="1"/>
  <c r="J1808" i="1" s="1"/>
  <c r="I1792" i="1"/>
  <c r="J1792" i="1" s="1"/>
  <c r="I1776" i="1"/>
  <c r="J1776" i="1" s="1"/>
  <c r="I1760" i="1"/>
  <c r="J1760" i="1" s="1"/>
  <c r="I1744" i="1"/>
  <c r="J1744" i="1" s="1"/>
  <c r="I1728" i="1"/>
  <c r="J1728" i="1" s="1"/>
  <c r="I1712" i="1"/>
  <c r="J1712" i="1" s="1"/>
  <c r="I1696" i="1"/>
  <c r="J1696" i="1" s="1"/>
  <c r="I1680" i="1"/>
  <c r="J1680" i="1" s="1"/>
  <c r="I1664" i="1"/>
  <c r="J1664" i="1" s="1"/>
  <c r="I1648" i="1"/>
  <c r="J1648" i="1" s="1"/>
  <c r="I1632" i="1"/>
  <c r="J1632" i="1" s="1"/>
  <c r="I1616" i="1"/>
  <c r="J1616" i="1" s="1"/>
  <c r="I1600" i="1"/>
  <c r="J1600" i="1" s="1"/>
  <c r="I1584" i="1"/>
  <c r="J1584" i="1" s="1"/>
  <c r="I1568" i="1"/>
  <c r="J1568" i="1" s="1"/>
  <c r="I1552" i="1"/>
  <c r="J1552" i="1" s="1"/>
  <c r="I1536" i="1"/>
  <c r="J1536" i="1" s="1"/>
  <c r="I1520" i="1"/>
  <c r="J1520" i="1" s="1"/>
  <c r="I1504" i="1"/>
  <c r="J1504" i="1" s="1"/>
  <c r="I1488" i="1"/>
  <c r="J1488" i="1" s="1"/>
  <c r="I1472" i="1"/>
  <c r="J1472" i="1" s="1"/>
  <c r="I1456" i="1"/>
  <c r="J1456" i="1" s="1"/>
  <c r="I1440" i="1"/>
  <c r="J1440" i="1" s="1"/>
  <c r="I1424" i="1"/>
  <c r="J1424" i="1" s="1"/>
  <c r="I1408" i="1"/>
  <c r="J1408" i="1" s="1"/>
  <c r="I1392" i="1"/>
  <c r="J1392" i="1" s="1"/>
  <c r="I1376" i="1"/>
  <c r="J1376" i="1" s="1"/>
  <c r="I1360" i="1"/>
  <c r="J1360" i="1" s="1"/>
  <c r="I1344" i="1"/>
  <c r="J1344" i="1" s="1"/>
  <c r="I1328" i="1"/>
  <c r="J1328" i="1" s="1"/>
  <c r="I1312" i="1"/>
  <c r="J1312" i="1" s="1"/>
  <c r="I1296" i="1"/>
  <c r="J1296" i="1" s="1"/>
  <c r="I1280" i="1"/>
  <c r="J1280" i="1" s="1"/>
  <c r="I1264" i="1"/>
  <c r="J1264" i="1" s="1"/>
  <c r="I1248" i="1"/>
  <c r="J1248" i="1" s="1"/>
  <c r="I1232" i="1"/>
  <c r="J1232" i="1" s="1"/>
  <c r="I1216" i="1"/>
  <c r="J1216" i="1" s="1"/>
  <c r="I1200" i="1"/>
  <c r="J1200" i="1" s="1"/>
  <c r="I1184" i="1"/>
  <c r="J1184" i="1" s="1"/>
  <c r="I1168" i="1"/>
  <c r="J1168" i="1" s="1"/>
  <c r="I1152" i="1"/>
  <c r="J1152" i="1" s="1"/>
  <c r="I1136" i="1"/>
  <c r="J1136" i="1" s="1"/>
  <c r="I1120" i="1"/>
  <c r="J1120" i="1" s="1"/>
  <c r="I1104" i="1"/>
  <c r="J1104" i="1" s="1"/>
  <c r="I1088" i="1"/>
  <c r="J1088" i="1" s="1"/>
  <c r="I1072" i="1"/>
  <c r="J1072" i="1" s="1"/>
  <c r="I1056" i="1"/>
  <c r="J1056" i="1" s="1"/>
  <c r="I1775" i="1"/>
  <c r="J1775" i="1" s="1"/>
  <c r="I1759" i="1"/>
  <c r="J1759" i="1" s="1"/>
  <c r="I1743" i="1"/>
  <c r="J1743" i="1" s="1"/>
  <c r="I1727" i="1"/>
  <c r="J1727" i="1" s="1"/>
  <c r="I1711" i="1"/>
  <c r="J1711" i="1" s="1"/>
  <c r="I1695" i="1"/>
  <c r="J1695" i="1" s="1"/>
  <c r="I1679" i="1"/>
  <c r="J1679" i="1" s="1"/>
  <c r="I1663" i="1"/>
  <c r="J1663" i="1" s="1"/>
  <c r="I1647" i="1"/>
  <c r="J1647" i="1" s="1"/>
  <c r="I1631" i="1"/>
  <c r="J1631" i="1" s="1"/>
  <c r="I1615" i="1"/>
  <c r="J1615" i="1" s="1"/>
  <c r="I1599" i="1"/>
  <c r="J1599" i="1" s="1"/>
  <c r="I1583" i="1"/>
  <c r="J1583" i="1" s="1"/>
  <c r="I1567" i="1"/>
  <c r="J1567" i="1" s="1"/>
  <c r="I1551" i="1"/>
  <c r="J1551" i="1" s="1"/>
  <c r="I1535" i="1"/>
  <c r="J1535" i="1" s="1"/>
  <c r="I1519" i="1"/>
  <c r="J1519" i="1" s="1"/>
  <c r="I1503" i="1"/>
  <c r="J1503" i="1" s="1"/>
  <c r="I1487" i="1"/>
  <c r="J1487" i="1" s="1"/>
  <c r="I1471" i="1"/>
  <c r="J1471" i="1" s="1"/>
  <c r="I1455" i="1"/>
  <c r="J1455" i="1" s="1"/>
  <c r="I1439" i="1"/>
  <c r="J1439" i="1" s="1"/>
  <c r="I1423" i="1"/>
  <c r="J1423" i="1" s="1"/>
  <c r="I1407" i="1"/>
  <c r="J1407" i="1" s="1"/>
  <c r="I1391" i="1"/>
  <c r="J1391" i="1" s="1"/>
  <c r="I1375" i="1"/>
  <c r="J1375" i="1" s="1"/>
  <c r="I1359" i="1"/>
  <c r="J1359" i="1" s="1"/>
  <c r="I1343" i="1"/>
  <c r="J1343" i="1" s="1"/>
  <c r="I1327" i="1"/>
  <c r="J1327" i="1" s="1"/>
  <c r="I1311" i="1"/>
  <c r="J1311" i="1" s="1"/>
  <c r="I1295" i="1"/>
  <c r="J1295" i="1" s="1"/>
  <c r="I1279" i="1"/>
  <c r="J1279" i="1" s="1"/>
  <c r="I1263" i="1"/>
  <c r="J1263" i="1" s="1"/>
  <c r="I1247" i="1"/>
  <c r="J1247" i="1" s="1"/>
  <c r="I1231" i="1"/>
  <c r="J1231" i="1" s="1"/>
  <c r="I1215" i="1"/>
  <c r="J1215" i="1" s="1"/>
  <c r="I1199" i="1"/>
  <c r="J1199" i="1" s="1"/>
  <c r="I1183" i="1"/>
  <c r="J1183" i="1" s="1"/>
  <c r="I1167" i="1"/>
  <c r="J1167" i="1" s="1"/>
  <c r="I1151" i="1"/>
  <c r="J1151" i="1" s="1"/>
  <c r="I1135" i="1"/>
  <c r="J1135" i="1" s="1"/>
  <c r="I1119" i="1"/>
  <c r="J1119" i="1" s="1"/>
  <c r="I1103" i="1"/>
  <c r="J1103" i="1" s="1"/>
  <c r="I1087" i="1"/>
  <c r="J1087" i="1" s="1"/>
  <c r="I1071" i="1"/>
  <c r="J1071" i="1" s="1"/>
  <c r="I1055" i="1"/>
  <c r="J1055" i="1" s="1"/>
  <c r="I1039" i="1"/>
  <c r="J1039" i="1" s="1"/>
  <c r="I1023" i="1"/>
  <c r="J1023" i="1" s="1"/>
  <c r="I1007" i="1"/>
  <c r="J1007" i="1" s="1"/>
  <c r="I991" i="1"/>
  <c r="J991" i="1" s="1"/>
  <c r="I975" i="1"/>
  <c r="J975" i="1" s="1"/>
  <c r="I959" i="1"/>
  <c r="J959" i="1" s="1"/>
  <c r="I943" i="1"/>
  <c r="J943" i="1" s="1"/>
  <c r="I927" i="1"/>
  <c r="J927" i="1" s="1"/>
  <c r="I911" i="1"/>
  <c r="J911" i="1" s="1"/>
  <c r="I895" i="1"/>
  <c r="J895" i="1" s="1"/>
  <c r="I879" i="1"/>
  <c r="J879" i="1" s="1"/>
  <c r="I863" i="1"/>
  <c r="J863" i="1" s="1"/>
  <c r="I847" i="1"/>
  <c r="J847" i="1" s="1"/>
  <c r="I831" i="1"/>
  <c r="J831" i="1" s="1"/>
  <c r="I815" i="1"/>
  <c r="J815" i="1" s="1"/>
  <c r="I799" i="1"/>
  <c r="J799" i="1" s="1"/>
  <c r="I783" i="1"/>
  <c r="J783" i="1" s="1"/>
  <c r="I767" i="1"/>
  <c r="J767" i="1" s="1"/>
  <c r="I751" i="1"/>
  <c r="J751" i="1" s="1"/>
  <c r="I735" i="1"/>
  <c r="J735" i="1" s="1"/>
  <c r="I719" i="1"/>
  <c r="J719" i="1" s="1"/>
  <c r="I703" i="1"/>
  <c r="J703" i="1" s="1"/>
  <c r="I687" i="1"/>
  <c r="J687" i="1" s="1"/>
  <c r="I671" i="1"/>
  <c r="J671" i="1" s="1"/>
  <c r="I655" i="1"/>
  <c r="J655" i="1" s="1"/>
  <c r="I639" i="1"/>
  <c r="J639" i="1" s="1"/>
  <c r="I623" i="1"/>
  <c r="J623" i="1" s="1"/>
  <c r="I607" i="1"/>
  <c r="J607" i="1" s="1"/>
  <c r="I591" i="1"/>
  <c r="J591" i="1" s="1"/>
  <c r="I575" i="1"/>
  <c r="J575" i="1" s="1"/>
  <c r="I559" i="1"/>
  <c r="J559" i="1" s="1"/>
  <c r="I543" i="1"/>
  <c r="J543" i="1" s="1"/>
  <c r="I527" i="1"/>
  <c r="J527" i="1" s="1"/>
  <c r="I511" i="1"/>
  <c r="J511" i="1" s="1"/>
  <c r="I495" i="1"/>
  <c r="J495" i="1" s="1"/>
  <c r="I479" i="1"/>
  <c r="J479" i="1" s="1"/>
  <c r="I463" i="1"/>
  <c r="J463" i="1" s="1"/>
  <c r="I447" i="1"/>
  <c r="J447" i="1" s="1"/>
  <c r="I431" i="1"/>
  <c r="J431" i="1" s="1"/>
  <c r="I415" i="1"/>
  <c r="J415" i="1" s="1"/>
  <c r="I399" i="1"/>
  <c r="J399" i="1" s="1"/>
  <c r="I383" i="1"/>
  <c r="J383" i="1" s="1"/>
  <c r="I367" i="1"/>
  <c r="J367" i="1" s="1"/>
  <c r="I351" i="1"/>
  <c r="J351" i="1" s="1"/>
  <c r="I335" i="1"/>
  <c r="J335" i="1" s="1"/>
  <c r="I319" i="1"/>
  <c r="J319" i="1" s="1"/>
  <c r="I303" i="1"/>
  <c r="J303" i="1" s="1"/>
  <c r="I287" i="1"/>
  <c r="J287" i="1" s="1"/>
  <c r="I271" i="1"/>
  <c r="J271" i="1" s="1"/>
  <c r="I255" i="1"/>
  <c r="J255" i="1" s="1"/>
  <c r="I239" i="1"/>
  <c r="J239" i="1" s="1"/>
  <c r="I223" i="1"/>
  <c r="J223" i="1" s="1"/>
  <c r="I207" i="1"/>
  <c r="J207" i="1" s="1"/>
  <c r="I191" i="1"/>
  <c r="J191" i="1" s="1"/>
  <c r="I175" i="1"/>
  <c r="J175" i="1" s="1"/>
  <c r="I159" i="1"/>
  <c r="J159" i="1" s="1"/>
  <c r="I143" i="1"/>
  <c r="J143" i="1" s="1"/>
  <c r="I127" i="1"/>
  <c r="J127" i="1" s="1"/>
  <c r="I111" i="1"/>
  <c r="J111" i="1" s="1"/>
  <c r="I95" i="1"/>
  <c r="J95" i="1" s="1"/>
  <c r="I79" i="1"/>
  <c r="J79" i="1" s="1"/>
  <c r="I63" i="1"/>
  <c r="J63" i="1" s="1"/>
  <c r="I47" i="1"/>
  <c r="J47" i="1" s="1"/>
  <c r="I31" i="1"/>
  <c r="J31" i="1" s="1"/>
  <c r="I15" i="1"/>
  <c r="J15" i="1" s="1"/>
  <c r="R2303" i="1"/>
  <c r="S2303" i="1" s="1"/>
  <c r="R2287" i="1"/>
  <c r="S2287" i="1" s="1"/>
  <c r="R2271" i="1"/>
  <c r="S2271" i="1" s="1"/>
  <c r="R2255" i="1"/>
  <c r="S2255" i="1" s="1"/>
  <c r="R2239" i="1"/>
  <c r="S2239" i="1" s="1"/>
  <c r="R2223" i="1"/>
  <c r="S2223" i="1" s="1"/>
  <c r="R2207" i="1"/>
  <c r="S2207" i="1" s="1"/>
  <c r="R2191" i="1"/>
  <c r="S2191" i="1" s="1"/>
  <c r="R2175" i="1"/>
  <c r="S2175" i="1" s="1"/>
  <c r="R2159" i="1"/>
  <c r="S2159" i="1" s="1"/>
  <c r="R2143" i="1"/>
  <c r="S2143" i="1" s="1"/>
  <c r="R2127" i="1"/>
  <c r="S2127" i="1" s="1"/>
  <c r="R2111" i="1"/>
  <c r="S2111" i="1" s="1"/>
  <c r="R2095" i="1"/>
  <c r="S2095" i="1" s="1"/>
  <c r="R2079" i="1"/>
  <c r="S2079" i="1" s="1"/>
  <c r="R2063" i="1"/>
  <c r="S2063" i="1" s="1"/>
  <c r="R2047" i="1"/>
  <c r="S2047" i="1" s="1"/>
  <c r="R2031" i="1"/>
  <c r="S2031" i="1" s="1"/>
  <c r="R2015" i="1"/>
  <c r="S2015" i="1" s="1"/>
  <c r="R1999" i="1"/>
  <c r="S1999" i="1" s="1"/>
  <c r="R1983" i="1"/>
  <c r="S1983" i="1" s="1"/>
  <c r="R1967" i="1"/>
  <c r="S1967" i="1" s="1"/>
  <c r="R1951" i="1"/>
  <c r="S1951" i="1" s="1"/>
  <c r="R1935" i="1"/>
  <c r="S1935" i="1" s="1"/>
  <c r="R1919" i="1"/>
  <c r="S1919" i="1" s="1"/>
  <c r="R1903" i="1"/>
  <c r="S1903" i="1" s="1"/>
  <c r="R1887" i="1"/>
  <c r="S1887" i="1" s="1"/>
  <c r="R1871" i="1"/>
  <c r="S1871" i="1" s="1"/>
  <c r="R1855" i="1"/>
  <c r="S1855" i="1" s="1"/>
  <c r="R1839" i="1"/>
  <c r="S1839" i="1" s="1"/>
  <c r="R1823" i="1"/>
  <c r="S1823" i="1" s="1"/>
  <c r="R1807" i="1"/>
  <c r="S1807" i="1" s="1"/>
  <c r="R1791" i="1"/>
  <c r="S1791" i="1" s="1"/>
  <c r="R1775" i="1"/>
  <c r="S1775" i="1" s="1"/>
  <c r="R1759" i="1"/>
  <c r="S1759" i="1" s="1"/>
  <c r="R1743" i="1"/>
  <c r="S1743" i="1" s="1"/>
  <c r="R1727" i="1"/>
  <c r="S1727" i="1" s="1"/>
  <c r="R1711" i="1"/>
  <c r="S1711" i="1" s="1"/>
  <c r="R1695" i="1"/>
  <c r="S1695" i="1" s="1"/>
  <c r="R1679" i="1"/>
  <c r="S1679" i="1" s="1"/>
  <c r="R1663" i="1"/>
  <c r="S1663" i="1" s="1"/>
  <c r="R1647" i="1"/>
  <c r="S1647" i="1" s="1"/>
  <c r="R1631" i="1"/>
  <c r="S1631" i="1" s="1"/>
  <c r="R1615" i="1"/>
  <c r="S1615" i="1" s="1"/>
  <c r="R1599" i="1"/>
  <c r="S1599" i="1" s="1"/>
  <c r="R1583" i="1"/>
  <c r="S1583" i="1" s="1"/>
  <c r="R1567" i="1"/>
  <c r="S1567" i="1" s="1"/>
  <c r="R1551" i="1"/>
  <c r="S1551" i="1" s="1"/>
  <c r="R1535" i="1"/>
  <c r="S1535" i="1" s="1"/>
  <c r="R1519" i="1"/>
  <c r="S1519" i="1" s="1"/>
  <c r="R1503" i="1"/>
  <c r="S1503" i="1" s="1"/>
  <c r="R1487" i="1"/>
  <c r="S1487" i="1" s="1"/>
  <c r="R1471" i="1"/>
  <c r="S1471" i="1" s="1"/>
  <c r="R1455" i="1"/>
  <c r="S1455" i="1" s="1"/>
  <c r="R1439" i="1"/>
  <c r="S1439" i="1" s="1"/>
  <c r="R1423" i="1"/>
  <c r="S1423" i="1" s="1"/>
  <c r="R1407" i="1"/>
  <c r="S1407" i="1" s="1"/>
  <c r="R1391" i="1"/>
  <c r="S1391" i="1" s="1"/>
  <c r="R1375" i="1"/>
  <c r="S1375" i="1" s="1"/>
  <c r="I1089" i="1"/>
  <c r="J1089" i="1" s="1"/>
  <c r="I609" i="1"/>
  <c r="J609" i="1" s="1"/>
  <c r="I1040" i="1"/>
  <c r="J1040" i="1" s="1"/>
  <c r="I1024" i="1"/>
  <c r="J1024" i="1" s="1"/>
  <c r="I1008" i="1"/>
  <c r="J1008" i="1" s="1"/>
  <c r="I992" i="1"/>
  <c r="J992" i="1" s="1"/>
  <c r="I976" i="1"/>
  <c r="J976" i="1" s="1"/>
  <c r="I960" i="1"/>
  <c r="J960" i="1" s="1"/>
  <c r="I944" i="1"/>
  <c r="J944" i="1" s="1"/>
  <c r="I928" i="1"/>
  <c r="J928" i="1" s="1"/>
  <c r="I912" i="1"/>
  <c r="J912" i="1" s="1"/>
  <c r="I896" i="1"/>
  <c r="J896" i="1" s="1"/>
  <c r="I880" i="1"/>
  <c r="J880" i="1" s="1"/>
  <c r="I864" i="1"/>
  <c r="J864" i="1" s="1"/>
  <c r="I848" i="1"/>
  <c r="J848" i="1" s="1"/>
  <c r="I832" i="1"/>
  <c r="J832" i="1" s="1"/>
  <c r="I816" i="1"/>
  <c r="J816" i="1" s="1"/>
  <c r="I800" i="1"/>
  <c r="J800" i="1" s="1"/>
  <c r="I784" i="1"/>
  <c r="J784" i="1" s="1"/>
  <c r="I768" i="1"/>
  <c r="J768" i="1" s="1"/>
  <c r="I752" i="1"/>
  <c r="J752" i="1" s="1"/>
  <c r="I736" i="1"/>
  <c r="J736" i="1" s="1"/>
  <c r="I720" i="1"/>
  <c r="J720" i="1" s="1"/>
  <c r="I704" i="1"/>
  <c r="J704" i="1" s="1"/>
  <c r="I688" i="1"/>
  <c r="J688" i="1" s="1"/>
  <c r="I672" i="1"/>
  <c r="J672" i="1" s="1"/>
  <c r="I656" i="1"/>
  <c r="J656" i="1" s="1"/>
  <c r="I640" i="1"/>
  <c r="J640" i="1" s="1"/>
  <c r="I624" i="1"/>
  <c r="J624" i="1" s="1"/>
  <c r="I608" i="1"/>
  <c r="J608" i="1" s="1"/>
  <c r="I592" i="1"/>
  <c r="J592" i="1" s="1"/>
  <c r="I576" i="1"/>
  <c r="J576" i="1" s="1"/>
  <c r="I560" i="1"/>
  <c r="J560" i="1" s="1"/>
  <c r="I544" i="1"/>
  <c r="J544" i="1" s="1"/>
  <c r="I528" i="1"/>
  <c r="J528" i="1" s="1"/>
  <c r="I512" i="1"/>
  <c r="J512" i="1" s="1"/>
  <c r="I496" i="1"/>
  <c r="J496" i="1" s="1"/>
  <c r="I480" i="1"/>
  <c r="J480" i="1" s="1"/>
  <c r="I464" i="1"/>
  <c r="J464" i="1" s="1"/>
  <c r="I448" i="1"/>
  <c r="J448" i="1" s="1"/>
  <c r="I432" i="1"/>
  <c r="J432" i="1" s="1"/>
  <c r="I416" i="1"/>
  <c r="J416" i="1" s="1"/>
  <c r="I400" i="1"/>
  <c r="J400" i="1" s="1"/>
  <c r="I384" i="1"/>
  <c r="J384" i="1" s="1"/>
  <c r="I368" i="1"/>
  <c r="J368" i="1" s="1"/>
  <c r="I352" i="1"/>
  <c r="J352" i="1" s="1"/>
  <c r="I336" i="1"/>
  <c r="J336" i="1" s="1"/>
  <c r="I320" i="1"/>
  <c r="J320" i="1" s="1"/>
  <c r="I304" i="1"/>
  <c r="J304" i="1" s="1"/>
  <c r="I288" i="1"/>
  <c r="J288" i="1" s="1"/>
  <c r="I272" i="1"/>
  <c r="J272" i="1" s="1"/>
  <c r="I256" i="1"/>
  <c r="J256" i="1" s="1"/>
  <c r="I240" i="1"/>
  <c r="J240" i="1" s="1"/>
  <c r="I224" i="1"/>
  <c r="J224" i="1" s="1"/>
  <c r="I208" i="1"/>
  <c r="J208" i="1" s="1"/>
  <c r="I192" i="1"/>
  <c r="J192" i="1" s="1"/>
  <c r="I176" i="1"/>
  <c r="J176" i="1" s="1"/>
  <c r="I160" i="1"/>
  <c r="J160" i="1" s="1"/>
  <c r="I144" i="1"/>
  <c r="J144" i="1" s="1"/>
  <c r="I128" i="1"/>
  <c r="J128" i="1" s="1"/>
  <c r="I112" i="1"/>
  <c r="J112" i="1" s="1"/>
  <c r="I96" i="1"/>
  <c r="J96" i="1" s="1"/>
  <c r="I80" i="1"/>
  <c r="J80" i="1" s="1"/>
  <c r="I64" i="1"/>
  <c r="J64" i="1" s="1"/>
  <c r="I48" i="1"/>
  <c r="J48" i="1" s="1"/>
  <c r="I32" i="1"/>
  <c r="J32" i="1" s="1"/>
  <c r="I16" i="1"/>
  <c r="J16" i="1" s="1"/>
  <c r="R2304" i="1"/>
  <c r="S2304" i="1" s="1"/>
  <c r="R2288" i="1"/>
  <c r="S2288" i="1" s="1"/>
  <c r="R2272" i="1"/>
  <c r="S2272" i="1" s="1"/>
  <c r="R2256" i="1"/>
  <c r="S2256" i="1" s="1"/>
  <c r="R2240" i="1"/>
  <c r="S2240" i="1" s="1"/>
  <c r="R2224" i="1"/>
  <c r="S2224" i="1" s="1"/>
  <c r="R2208" i="1"/>
  <c r="S2208" i="1" s="1"/>
  <c r="R2192" i="1"/>
  <c r="S2192" i="1" s="1"/>
  <c r="R2176" i="1"/>
  <c r="S2176" i="1" s="1"/>
  <c r="R2160" i="1"/>
  <c r="S2160" i="1" s="1"/>
  <c r="R2144" i="1"/>
  <c r="S2144" i="1" s="1"/>
  <c r="R2128" i="1"/>
  <c r="S2128" i="1" s="1"/>
  <c r="R2112" i="1"/>
  <c r="S2112" i="1" s="1"/>
  <c r="R2096" i="1"/>
  <c r="S2096" i="1" s="1"/>
  <c r="R2080" i="1"/>
  <c r="S2080" i="1" s="1"/>
  <c r="R2064" i="1"/>
  <c r="S2064" i="1" s="1"/>
  <c r="R2048" i="1"/>
  <c r="S2048" i="1" s="1"/>
  <c r="R2032" i="1"/>
  <c r="S2032" i="1" s="1"/>
  <c r="R2016" i="1"/>
  <c r="S2016" i="1" s="1"/>
  <c r="R2000" i="1"/>
  <c r="S2000" i="1" s="1"/>
  <c r="R1984" i="1"/>
  <c r="S1984" i="1" s="1"/>
  <c r="R1968" i="1"/>
  <c r="S1968" i="1" s="1"/>
  <c r="R1952" i="1"/>
  <c r="S1952" i="1" s="1"/>
  <c r="R1936" i="1"/>
  <c r="S1936" i="1" s="1"/>
  <c r="R1920" i="1"/>
  <c r="S1920" i="1" s="1"/>
  <c r="R1904" i="1"/>
  <c r="S1904" i="1" s="1"/>
  <c r="R1888" i="1"/>
  <c r="S1888" i="1" s="1"/>
  <c r="R1872" i="1"/>
  <c r="S1872" i="1" s="1"/>
  <c r="R1856" i="1"/>
  <c r="S1856" i="1" s="1"/>
  <c r="R1840" i="1"/>
  <c r="S1840" i="1" s="1"/>
  <c r="R1824" i="1"/>
  <c r="S1824" i="1" s="1"/>
  <c r="R1808" i="1"/>
  <c r="S1808" i="1" s="1"/>
  <c r="R1792" i="1"/>
  <c r="S1792" i="1" s="1"/>
  <c r="R1776" i="1"/>
  <c r="S1776" i="1" s="1"/>
  <c r="R1760" i="1"/>
  <c r="S1760" i="1" s="1"/>
  <c r="R1744" i="1"/>
  <c r="S1744" i="1" s="1"/>
  <c r="R1728" i="1"/>
  <c r="S1728" i="1" s="1"/>
  <c r="R1712" i="1"/>
  <c r="S1712" i="1" s="1"/>
  <c r="R1696" i="1"/>
  <c r="S1696" i="1" s="1"/>
  <c r="R1680" i="1"/>
  <c r="S1680" i="1" s="1"/>
  <c r="R1664" i="1"/>
  <c r="S1664" i="1" s="1"/>
  <c r="R1648" i="1"/>
  <c r="S1648" i="1" s="1"/>
  <c r="R1632" i="1"/>
  <c r="S1632" i="1" s="1"/>
  <c r="R1616" i="1"/>
  <c r="S1616" i="1" s="1"/>
  <c r="R1600" i="1"/>
  <c r="S1600" i="1" s="1"/>
  <c r="R1584" i="1"/>
  <c r="S1584" i="1" s="1"/>
  <c r="R1568" i="1"/>
  <c r="S1568" i="1" s="1"/>
  <c r="R1552" i="1"/>
  <c r="S1552" i="1" s="1"/>
  <c r="R1536" i="1"/>
  <c r="S1536" i="1" s="1"/>
  <c r="R1520" i="1"/>
  <c r="S1520" i="1" s="1"/>
  <c r="R1504" i="1"/>
  <c r="S1504" i="1" s="1"/>
  <c r="R1488" i="1"/>
  <c r="S1488" i="1" s="1"/>
  <c r="R1472" i="1"/>
  <c r="S1472" i="1" s="1"/>
  <c r="R1456" i="1"/>
  <c r="S1456" i="1" s="1"/>
  <c r="R1440" i="1"/>
  <c r="S1440" i="1" s="1"/>
  <c r="R1424" i="1"/>
  <c r="S1424" i="1" s="1"/>
  <c r="R1408" i="1"/>
  <c r="S1408" i="1" s="1"/>
  <c r="R1392" i="1"/>
  <c r="S1392" i="1" s="1"/>
  <c r="R1376" i="1"/>
  <c r="S1376" i="1" s="1"/>
  <c r="R1359" i="1"/>
  <c r="S1359" i="1" s="1"/>
  <c r="R1343" i="1"/>
  <c r="S1343" i="1" s="1"/>
  <c r="R1327" i="1"/>
  <c r="S1327" i="1" s="1"/>
  <c r="R1311" i="1"/>
  <c r="S1311" i="1" s="1"/>
  <c r="R1295" i="1"/>
  <c r="S1295" i="1" s="1"/>
  <c r="R1279" i="1"/>
  <c r="S1279" i="1" s="1"/>
  <c r="R1263" i="1"/>
  <c r="S1263" i="1" s="1"/>
  <c r="R1247" i="1"/>
  <c r="S1247" i="1" s="1"/>
  <c r="R1231" i="1"/>
  <c r="S1231" i="1" s="1"/>
  <c r="R1215" i="1"/>
  <c r="S1215" i="1" s="1"/>
  <c r="R1199" i="1"/>
  <c r="S1199" i="1" s="1"/>
  <c r="R1183" i="1"/>
  <c r="S1183" i="1" s="1"/>
  <c r="R1167" i="1"/>
  <c r="S1167" i="1" s="1"/>
  <c r="R1151" i="1"/>
  <c r="S1151" i="1" s="1"/>
  <c r="R1135" i="1"/>
  <c r="S1135" i="1" s="1"/>
  <c r="R1119" i="1"/>
  <c r="S1119" i="1" s="1"/>
  <c r="R1103" i="1"/>
  <c r="S1103" i="1" s="1"/>
  <c r="R1087" i="1"/>
  <c r="S1087" i="1" s="1"/>
  <c r="R1071" i="1"/>
  <c r="S1071" i="1" s="1"/>
  <c r="R1055" i="1"/>
  <c r="S1055" i="1" s="1"/>
  <c r="R1039" i="1"/>
  <c r="S1039" i="1" s="1"/>
  <c r="R1023" i="1"/>
  <c r="S1023" i="1" s="1"/>
  <c r="R1007" i="1"/>
  <c r="S1007" i="1" s="1"/>
  <c r="R991" i="1"/>
  <c r="S991" i="1" s="1"/>
  <c r="R975" i="1"/>
  <c r="S975" i="1" s="1"/>
  <c r="R959" i="1"/>
  <c r="S959" i="1" s="1"/>
  <c r="R943" i="1"/>
  <c r="S943" i="1" s="1"/>
  <c r="R927" i="1"/>
  <c r="S927" i="1" s="1"/>
  <c r="R911" i="1"/>
  <c r="S911" i="1" s="1"/>
  <c r="R895" i="1"/>
  <c r="S895" i="1" s="1"/>
  <c r="R879" i="1"/>
  <c r="S879" i="1" s="1"/>
  <c r="R863" i="1"/>
  <c r="S863" i="1" s="1"/>
  <c r="R847" i="1"/>
  <c r="S847" i="1" s="1"/>
  <c r="R831" i="1"/>
  <c r="S831" i="1" s="1"/>
  <c r="R815" i="1"/>
  <c r="S815" i="1" s="1"/>
  <c r="R799" i="1"/>
  <c r="S799" i="1" s="1"/>
  <c r="R783" i="1"/>
  <c r="S783" i="1" s="1"/>
  <c r="R767" i="1"/>
  <c r="S767" i="1" s="1"/>
  <c r="R751" i="1"/>
  <c r="S751" i="1" s="1"/>
  <c r="R735" i="1"/>
  <c r="S735" i="1" s="1"/>
  <c r="R719" i="1"/>
  <c r="S719" i="1" s="1"/>
  <c r="R703" i="1"/>
  <c r="S703" i="1" s="1"/>
  <c r="R687" i="1"/>
  <c r="S687" i="1" s="1"/>
  <c r="R671" i="1"/>
  <c r="S671" i="1" s="1"/>
  <c r="R655" i="1"/>
  <c r="S655" i="1" s="1"/>
  <c r="R639" i="1"/>
  <c r="S639" i="1" s="1"/>
  <c r="R623" i="1"/>
  <c r="S623" i="1" s="1"/>
  <c r="R607" i="1"/>
  <c r="S607" i="1" s="1"/>
  <c r="R591" i="1"/>
  <c r="S591" i="1" s="1"/>
  <c r="R575" i="1"/>
  <c r="S575" i="1" s="1"/>
  <c r="R559" i="1"/>
  <c r="S559" i="1" s="1"/>
  <c r="R543" i="1"/>
  <c r="S543" i="1" s="1"/>
  <c r="R527" i="1"/>
  <c r="S527" i="1" s="1"/>
  <c r="R511" i="1"/>
  <c r="S511" i="1" s="1"/>
  <c r="R495" i="1"/>
  <c r="S495" i="1" s="1"/>
  <c r="R479" i="1"/>
  <c r="S479" i="1" s="1"/>
  <c r="R463" i="1"/>
  <c r="S463" i="1" s="1"/>
  <c r="R447" i="1"/>
  <c r="S447" i="1" s="1"/>
  <c r="R431" i="1"/>
  <c r="S431" i="1" s="1"/>
  <c r="R415" i="1"/>
  <c r="S415" i="1" s="1"/>
  <c r="R399" i="1"/>
  <c r="S399" i="1" s="1"/>
  <c r="R383" i="1"/>
  <c r="S383" i="1" s="1"/>
  <c r="R367" i="1"/>
  <c r="S367" i="1" s="1"/>
  <c r="R351" i="1"/>
  <c r="S351" i="1" s="1"/>
  <c r="R335" i="1"/>
  <c r="S335" i="1" s="1"/>
  <c r="R319" i="1"/>
  <c r="S319" i="1" s="1"/>
  <c r="R303" i="1"/>
  <c r="S303" i="1" s="1"/>
  <c r="R287" i="1"/>
  <c r="S287" i="1" s="1"/>
  <c r="R271" i="1"/>
  <c r="S271" i="1" s="1"/>
  <c r="R255" i="1"/>
  <c r="S255" i="1" s="1"/>
  <c r="R239" i="1"/>
  <c r="S239" i="1" s="1"/>
  <c r="R223" i="1"/>
  <c r="S223" i="1" s="1"/>
  <c r="R207" i="1"/>
  <c r="S207" i="1" s="1"/>
  <c r="R191" i="1"/>
  <c r="S191" i="1" s="1"/>
  <c r="R175" i="1"/>
  <c r="S175" i="1" s="1"/>
  <c r="R159" i="1"/>
  <c r="S159" i="1" s="1"/>
  <c r="R143" i="1"/>
  <c r="S143" i="1" s="1"/>
  <c r="R127" i="1"/>
  <c r="S127" i="1" s="1"/>
  <c r="R111" i="1"/>
  <c r="S111" i="1" s="1"/>
  <c r="R95" i="1"/>
  <c r="S95" i="1" s="1"/>
  <c r="R79" i="1"/>
  <c r="S79" i="1" s="1"/>
  <c r="R63" i="1"/>
  <c r="S63" i="1" s="1"/>
  <c r="R47" i="1"/>
  <c r="S47" i="1" s="1"/>
  <c r="R31" i="1"/>
  <c r="S31" i="1" s="1"/>
  <c r="R15" i="1"/>
  <c r="S15" i="1" s="1"/>
  <c r="R1360" i="1"/>
  <c r="S1360" i="1" s="1"/>
  <c r="R1344" i="1"/>
  <c r="S1344" i="1" s="1"/>
  <c r="R1328" i="1"/>
  <c r="S1328" i="1" s="1"/>
  <c r="R1312" i="1"/>
  <c r="S1312" i="1" s="1"/>
  <c r="R1296" i="1"/>
  <c r="S1296" i="1" s="1"/>
  <c r="R1280" i="1"/>
  <c r="S1280" i="1" s="1"/>
  <c r="R1264" i="1"/>
  <c r="S1264" i="1" s="1"/>
  <c r="R1248" i="1"/>
  <c r="S1248" i="1" s="1"/>
  <c r="R1232" i="1"/>
  <c r="S1232" i="1" s="1"/>
  <c r="R1216" i="1"/>
  <c r="S1216" i="1" s="1"/>
  <c r="R1200" i="1"/>
  <c r="S1200" i="1" s="1"/>
  <c r="R1184" i="1"/>
  <c r="S1184" i="1" s="1"/>
  <c r="R1168" i="1"/>
  <c r="S1168" i="1" s="1"/>
  <c r="R1152" i="1"/>
  <c r="S1152" i="1" s="1"/>
  <c r="R1136" i="1"/>
  <c r="S1136" i="1" s="1"/>
  <c r="R1120" i="1"/>
  <c r="S1120" i="1" s="1"/>
  <c r="R1104" i="1"/>
  <c r="S1104" i="1" s="1"/>
  <c r="R1088" i="1"/>
  <c r="S1088" i="1" s="1"/>
  <c r="R1072" i="1"/>
  <c r="S1072" i="1" s="1"/>
  <c r="R1056" i="1"/>
  <c r="S1056" i="1" s="1"/>
  <c r="R1040" i="1"/>
  <c r="S1040" i="1" s="1"/>
  <c r="R1024" i="1"/>
  <c r="S1024" i="1" s="1"/>
  <c r="R1008" i="1"/>
  <c r="S1008" i="1" s="1"/>
  <c r="R992" i="1"/>
  <c r="S992" i="1" s="1"/>
  <c r="R976" i="1"/>
  <c r="S976" i="1" s="1"/>
  <c r="R960" i="1"/>
  <c r="S960" i="1" s="1"/>
  <c r="R944" i="1"/>
  <c r="S944" i="1" s="1"/>
  <c r="R928" i="1"/>
  <c r="S928" i="1" s="1"/>
  <c r="R912" i="1"/>
  <c r="S912" i="1" s="1"/>
  <c r="R896" i="1"/>
  <c r="S896" i="1" s="1"/>
  <c r="R880" i="1"/>
  <c r="S880" i="1" s="1"/>
  <c r="R864" i="1"/>
  <c r="S864" i="1" s="1"/>
  <c r="R848" i="1"/>
  <c r="S848" i="1" s="1"/>
  <c r="R832" i="1"/>
  <c r="S832" i="1" s="1"/>
  <c r="R816" i="1"/>
  <c r="S816" i="1" s="1"/>
  <c r="R800" i="1"/>
  <c r="S800" i="1" s="1"/>
  <c r="R784" i="1"/>
  <c r="S784" i="1" s="1"/>
  <c r="R768" i="1"/>
  <c r="S768" i="1" s="1"/>
  <c r="R752" i="1"/>
  <c r="S752" i="1" s="1"/>
  <c r="R736" i="1"/>
  <c r="S736" i="1" s="1"/>
  <c r="R720" i="1"/>
  <c r="S720" i="1" s="1"/>
  <c r="R704" i="1"/>
  <c r="S704" i="1" s="1"/>
  <c r="R688" i="1"/>
  <c r="S688" i="1" s="1"/>
  <c r="R672" i="1"/>
  <c r="S672" i="1" s="1"/>
  <c r="R656" i="1"/>
  <c r="S656" i="1" s="1"/>
  <c r="R640" i="1"/>
  <c r="S640" i="1" s="1"/>
  <c r="R624" i="1"/>
  <c r="S624" i="1" s="1"/>
  <c r="R608" i="1"/>
  <c r="S608" i="1" s="1"/>
  <c r="R592" i="1"/>
  <c r="S592" i="1" s="1"/>
  <c r="R576" i="1"/>
  <c r="S576" i="1" s="1"/>
  <c r="R560" i="1"/>
  <c r="S560" i="1" s="1"/>
  <c r="R544" i="1"/>
  <c r="S544" i="1" s="1"/>
  <c r="R528" i="1"/>
  <c r="S528" i="1" s="1"/>
  <c r="R512" i="1"/>
  <c r="S512" i="1" s="1"/>
  <c r="R496" i="1"/>
  <c r="S496" i="1" s="1"/>
  <c r="R480" i="1"/>
  <c r="S480" i="1" s="1"/>
  <c r="R464" i="1"/>
  <c r="S464" i="1" s="1"/>
  <c r="R448" i="1"/>
  <c r="S448" i="1" s="1"/>
  <c r="R432" i="1"/>
  <c r="S432" i="1" s="1"/>
  <c r="R416" i="1"/>
  <c r="S416" i="1" s="1"/>
  <c r="R400" i="1"/>
  <c r="S400" i="1" s="1"/>
  <c r="R384" i="1"/>
  <c r="S384" i="1" s="1"/>
  <c r="R368" i="1"/>
  <c r="S368" i="1" s="1"/>
  <c r="R352" i="1"/>
  <c r="S352" i="1" s="1"/>
  <c r="R336" i="1"/>
  <c r="S336" i="1" s="1"/>
  <c r="R320" i="1"/>
  <c r="S320" i="1" s="1"/>
  <c r="R304" i="1"/>
  <c r="S304" i="1" s="1"/>
  <c r="R288" i="1"/>
  <c r="S288" i="1" s="1"/>
  <c r="R272" i="1"/>
  <c r="S272" i="1" s="1"/>
  <c r="R256" i="1"/>
  <c r="S256" i="1" s="1"/>
  <c r="R240" i="1"/>
  <c r="S240" i="1" s="1"/>
  <c r="R224" i="1"/>
  <c r="S224" i="1" s="1"/>
  <c r="R208" i="1"/>
  <c r="S208" i="1" s="1"/>
  <c r="R192" i="1"/>
  <c r="S192" i="1" s="1"/>
  <c r="R176" i="1"/>
  <c r="S176" i="1" s="1"/>
  <c r="R160" i="1"/>
  <c r="S160" i="1" s="1"/>
  <c r="R144" i="1"/>
  <c r="S144" i="1" s="1"/>
  <c r="R128" i="1"/>
  <c r="S128" i="1" s="1"/>
  <c r="R112" i="1"/>
  <c r="S112" i="1" s="1"/>
  <c r="R96" i="1"/>
  <c r="S96" i="1" s="1"/>
  <c r="R80" i="1"/>
  <c r="S80" i="1" s="1"/>
  <c r="R64" i="1"/>
  <c r="S64" i="1" s="1"/>
  <c r="R48" i="1"/>
  <c r="S48" i="1" s="1"/>
  <c r="R32" i="1"/>
  <c r="S32" i="1" s="1"/>
  <c r="R16" i="1"/>
  <c r="S16" i="1" s="1"/>
  <c r="I2024" i="1"/>
  <c r="J2024" i="1" s="1"/>
  <c r="I2008" i="1"/>
  <c r="J2008" i="1" s="1"/>
  <c r="I1992" i="1"/>
  <c r="J1992" i="1" s="1"/>
  <c r="I1976" i="1"/>
  <c r="J1976" i="1" s="1"/>
  <c r="I1960" i="1"/>
  <c r="J1960" i="1" s="1"/>
  <c r="I1944" i="1"/>
  <c r="J1944" i="1" s="1"/>
  <c r="I1928" i="1"/>
  <c r="J1928" i="1" s="1"/>
  <c r="I1912" i="1"/>
  <c r="J1912" i="1" s="1"/>
  <c r="I1896" i="1"/>
  <c r="J1896" i="1" s="1"/>
  <c r="I1880" i="1"/>
  <c r="J1880" i="1" s="1"/>
  <c r="I1864" i="1"/>
  <c r="J1864" i="1" s="1"/>
  <c r="I1848" i="1"/>
  <c r="J1848" i="1" s="1"/>
  <c r="I1832" i="1"/>
  <c r="J1832" i="1" s="1"/>
  <c r="I1816" i="1"/>
  <c r="J1816" i="1" s="1"/>
  <c r="I1800" i="1"/>
  <c r="J1800" i="1" s="1"/>
  <c r="I1784" i="1"/>
  <c r="J1784" i="1" s="1"/>
  <c r="I1768" i="1"/>
  <c r="J1768" i="1" s="1"/>
  <c r="I1752" i="1"/>
  <c r="J1752" i="1" s="1"/>
  <c r="I1736" i="1"/>
  <c r="J1736" i="1" s="1"/>
  <c r="I1720" i="1"/>
  <c r="J1720" i="1" s="1"/>
  <c r="I1704" i="1"/>
  <c r="J1704" i="1" s="1"/>
  <c r="I1688" i="1"/>
  <c r="J1688" i="1" s="1"/>
  <c r="I1672" i="1"/>
  <c r="J1672" i="1" s="1"/>
  <c r="I1656" i="1"/>
  <c r="J1656" i="1" s="1"/>
  <c r="I1640" i="1"/>
  <c r="J1640" i="1" s="1"/>
  <c r="I1624" i="1"/>
  <c r="J1624" i="1" s="1"/>
  <c r="I1608" i="1"/>
  <c r="J1608" i="1" s="1"/>
  <c r="I1592" i="1"/>
  <c r="J1592" i="1" s="1"/>
  <c r="I1576" i="1"/>
  <c r="J1576" i="1" s="1"/>
  <c r="I1560" i="1"/>
  <c r="J1560" i="1" s="1"/>
  <c r="I1544" i="1"/>
  <c r="J1544" i="1" s="1"/>
  <c r="I1528" i="1"/>
  <c r="J1528" i="1" s="1"/>
  <c r="I1512" i="1"/>
  <c r="J1512" i="1" s="1"/>
  <c r="I1496" i="1"/>
  <c r="J1496" i="1" s="1"/>
  <c r="I1480" i="1"/>
  <c r="J1480" i="1" s="1"/>
  <c r="I1464" i="1"/>
  <c r="J1464" i="1" s="1"/>
  <c r="I1448" i="1"/>
  <c r="J1448" i="1" s="1"/>
  <c r="I1432" i="1"/>
  <c r="J1432" i="1" s="1"/>
  <c r="I1416" i="1"/>
  <c r="J1416" i="1" s="1"/>
  <c r="I1400" i="1"/>
  <c r="J1400" i="1" s="1"/>
  <c r="I1384" i="1"/>
  <c r="J1384" i="1" s="1"/>
  <c r="I1368" i="1"/>
  <c r="J1368" i="1" s="1"/>
  <c r="I1352" i="1"/>
  <c r="J1352" i="1" s="1"/>
  <c r="I1336" i="1"/>
  <c r="J1336" i="1" s="1"/>
  <c r="I1320" i="1"/>
  <c r="J1320" i="1" s="1"/>
  <c r="I1304" i="1"/>
  <c r="J1304" i="1" s="1"/>
  <c r="I1288" i="1"/>
  <c r="J1288" i="1" s="1"/>
  <c r="I1272" i="1"/>
  <c r="J1272" i="1" s="1"/>
  <c r="I1256" i="1"/>
  <c r="J1256" i="1" s="1"/>
  <c r="I1240" i="1"/>
  <c r="J1240" i="1" s="1"/>
  <c r="I1224" i="1"/>
  <c r="J1224" i="1" s="1"/>
  <c r="I1208" i="1"/>
  <c r="J1208" i="1" s="1"/>
  <c r="I1192" i="1"/>
  <c r="J1192" i="1" s="1"/>
  <c r="I1176" i="1"/>
  <c r="J1176" i="1" s="1"/>
  <c r="I1160" i="1"/>
  <c r="J1160" i="1" s="1"/>
  <c r="I1144" i="1"/>
  <c r="J1144" i="1" s="1"/>
  <c r="I1128" i="1"/>
  <c r="J1128" i="1" s="1"/>
  <c r="I1112" i="1"/>
  <c r="J1112" i="1" s="1"/>
  <c r="I1096" i="1"/>
  <c r="J1096" i="1" s="1"/>
  <c r="I1080" i="1"/>
  <c r="J1080" i="1" s="1"/>
  <c r="I1064" i="1"/>
  <c r="J1064" i="1" s="1"/>
  <c r="I1048" i="1"/>
  <c r="J1048" i="1" s="1"/>
  <c r="I1032" i="1"/>
  <c r="J1032" i="1" s="1"/>
  <c r="I1016" i="1"/>
  <c r="J1016" i="1" s="1"/>
  <c r="I1000" i="1"/>
  <c r="J1000" i="1" s="1"/>
  <c r="I984" i="1"/>
  <c r="J984" i="1" s="1"/>
  <c r="I968" i="1"/>
  <c r="J968" i="1" s="1"/>
  <c r="I952" i="1"/>
  <c r="J952" i="1" s="1"/>
  <c r="I936" i="1"/>
  <c r="J936" i="1" s="1"/>
  <c r="I920" i="1"/>
  <c r="J920" i="1" s="1"/>
  <c r="I904" i="1"/>
  <c r="J904" i="1" s="1"/>
  <c r="I888" i="1"/>
  <c r="J888" i="1" s="1"/>
  <c r="I872" i="1"/>
  <c r="J872" i="1" s="1"/>
  <c r="I856" i="1"/>
  <c r="J856" i="1" s="1"/>
  <c r="I840" i="1"/>
  <c r="J840" i="1" s="1"/>
  <c r="I824" i="1"/>
  <c r="J824" i="1" s="1"/>
  <c r="I808" i="1"/>
  <c r="J808" i="1" s="1"/>
  <c r="I792" i="1"/>
  <c r="J792" i="1" s="1"/>
  <c r="I776" i="1"/>
  <c r="J776" i="1" s="1"/>
  <c r="I760" i="1"/>
  <c r="J760" i="1" s="1"/>
  <c r="I744" i="1"/>
  <c r="J744" i="1" s="1"/>
  <c r="I728" i="1"/>
  <c r="J728" i="1" s="1"/>
  <c r="I712" i="1"/>
  <c r="J712" i="1" s="1"/>
  <c r="I696" i="1"/>
  <c r="J696" i="1" s="1"/>
  <c r="I680" i="1"/>
  <c r="J680" i="1" s="1"/>
  <c r="I664" i="1"/>
  <c r="J664" i="1" s="1"/>
  <c r="I648" i="1"/>
  <c r="J648" i="1" s="1"/>
  <c r="I632" i="1"/>
  <c r="J632" i="1" s="1"/>
  <c r="I616" i="1"/>
  <c r="J616" i="1" s="1"/>
  <c r="I600" i="1"/>
  <c r="J600" i="1" s="1"/>
  <c r="I584" i="1"/>
  <c r="J584" i="1" s="1"/>
  <c r="I568" i="1"/>
  <c r="J568" i="1" s="1"/>
  <c r="I552" i="1"/>
  <c r="J552" i="1" s="1"/>
  <c r="I536" i="1"/>
  <c r="J536" i="1" s="1"/>
  <c r="I520" i="1"/>
  <c r="J520" i="1" s="1"/>
  <c r="I504" i="1"/>
  <c r="J504" i="1" s="1"/>
  <c r="I488" i="1"/>
  <c r="J488" i="1" s="1"/>
  <c r="I472" i="1"/>
  <c r="J472" i="1" s="1"/>
  <c r="I456" i="1"/>
  <c r="J456" i="1" s="1"/>
  <c r="I440" i="1"/>
  <c r="J440" i="1" s="1"/>
  <c r="I424" i="1"/>
  <c r="J424" i="1" s="1"/>
  <c r="I408" i="1"/>
  <c r="J408" i="1" s="1"/>
  <c r="I392" i="1"/>
  <c r="J392" i="1" s="1"/>
  <c r="I376" i="1"/>
  <c r="J376" i="1" s="1"/>
  <c r="I360" i="1"/>
  <c r="J360" i="1" s="1"/>
  <c r="I344" i="1"/>
  <c r="J344" i="1" s="1"/>
  <c r="I328" i="1"/>
  <c r="J328" i="1" s="1"/>
  <c r="I312" i="1"/>
  <c r="J312" i="1" s="1"/>
  <c r="I296" i="1"/>
  <c r="J296" i="1" s="1"/>
  <c r="I280" i="1"/>
  <c r="J280" i="1" s="1"/>
  <c r="I264" i="1"/>
  <c r="J264" i="1" s="1"/>
  <c r="I248" i="1"/>
  <c r="J248" i="1" s="1"/>
  <c r="I232" i="1"/>
  <c r="J232" i="1" s="1"/>
  <c r="I216" i="1"/>
  <c r="J216" i="1" s="1"/>
  <c r="I200" i="1"/>
  <c r="J200" i="1" s="1"/>
  <c r="I184" i="1"/>
  <c r="J184" i="1" s="1"/>
  <c r="I168" i="1"/>
  <c r="J168" i="1" s="1"/>
  <c r="I152" i="1"/>
  <c r="J152" i="1" s="1"/>
  <c r="I136" i="1"/>
  <c r="J136" i="1" s="1"/>
  <c r="I120" i="1"/>
  <c r="J120" i="1" s="1"/>
  <c r="I104" i="1"/>
  <c r="J104" i="1" s="1"/>
  <c r="I88" i="1"/>
  <c r="J88" i="1" s="1"/>
  <c r="I72" i="1"/>
  <c r="J72" i="1" s="1"/>
  <c r="I56" i="1"/>
  <c r="J56" i="1" s="1"/>
  <c r="I40" i="1"/>
  <c r="J40" i="1" s="1"/>
  <c r="I24" i="1"/>
  <c r="J24" i="1" s="1"/>
  <c r="I9" i="1"/>
  <c r="J9" i="1" s="1"/>
  <c r="R2138" i="1"/>
  <c r="S2138" i="1" s="1"/>
  <c r="R1418" i="1"/>
  <c r="S1418" i="1" s="1"/>
  <c r="R1162" i="1"/>
  <c r="S1162" i="1" s="1"/>
  <c r="R778" i="1"/>
  <c r="S778" i="1" s="1"/>
  <c r="R634" i="1"/>
  <c r="S634" i="1" s="1"/>
  <c r="R2297" i="1"/>
  <c r="S2297" i="1" s="1"/>
  <c r="R2281" i="1"/>
  <c r="S2281" i="1" s="1"/>
  <c r="R2265" i="1"/>
  <c r="S2265" i="1" s="1"/>
  <c r="R2249" i="1"/>
  <c r="S2249" i="1" s="1"/>
  <c r="R2233" i="1"/>
  <c r="S2233" i="1" s="1"/>
  <c r="R2217" i="1"/>
  <c r="S2217" i="1" s="1"/>
  <c r="R2201" i="1"/>
  <c r="S2201" i="1" s="1"/>
  <c r="R2185" i="1"/>
  <c r="S2185" i="1" s="1"/>
  <c r="R2169" i="1"/>
  <c r="S2169" i="1" s="1"/>
  <c r="R2153" i="1"/>
  <c r="S2153" i="1" s="1"/>
  <c r="R2137" i="1"/>
  <c r="S2137" i="1" s="1"/>
  <c r="R2121" i="1"/>
  <c r="S2121" i="1" s="1"/>
  <c r="R2105" i="1"/>
  <c r="S2105" i="1" s="1"/>
  <c r="R2089" i="1"/>
  <c r="S2089" i="1" s="1"/>
  <c r="R2073" i="1"/>
  <c r="S2073" i="1" s="1"/>
  <c r="R2057" i="1"/>
  <c r="S2057" i="1" s="1"/>
  <c r="R2041" i="1"/>
  <c r="S2041" i="1" s="1"/>
  <c r="R2025" i="1"/>
  <c r="S2025" i="1" s="1"/>
  <c r="R2009" i="1"/>
  <c r="S2009" i="1" s="1"/>
  <c r="R1993" i="1"/>
  <c r="S1993" i="1" s="1"/>
  <c r="R1977" i="1"/>
  <c r="S1977" i="1" s="1"/>
  <c r="R1961" i="1"/>
  <c r="S1961" i="1" s="1"/>
  <c r="R1945" i="1"/>
  <c r="S1945" i="1" s="1"/>
  <c r="R1929" i="1"/>
  <c r="S1929" i="1" s="1"/>
  <c r="R1913" i="1"/>
  <c r="S1913" i="1" s="1"/>
  <c r="R1897" i="1"/>
  <c r="S1897" i="1" s="1"/>
  <c r="R1881" i="1"/>
  <c r="S1881" i="1" s="1"/>
  <c r="R1865" i="1"/>
  <c r="S1865" i="1" s="1"/>
  <c r="R1849" i="1"/>
  <c r="S1849" i="1" s="1"/>
  <c r="R1833" i="1"/>
  <c r="S1833" i="1" s="1"/>
  <c r="R1817" i="1"/>
  <c r="S1817" i="1" s="1"/>
  <c r="R1801" i="1"/>
  <c r="S1801" i="1" s="1"/>
  <c r="R1785" i="1"/>
  <c r="S1785" i="1" s="1"/>
  <c r="R1769" i="1"/>
  <c r="S1769" i="1" s="1"/>
  <c r="R1753" i="1"/>
  <c r="S1753" i="1" s="1"/>
  <c r="R1737" i="1"/>
  <c r="S1737" i="1" s="1"/>
  <c r="R1721" i="1"/>
  <c r="S1721" i="1" s="1"/>
  <c r="R1705" i="1"/>
  <c r="S1705" i="1" s="1"/>
  <c r="R1689" i="1"/>
  <c r="S1689" i="1" s="1"/>
  <c r="R1673" i="1"/>
  <c r="S1673" i="1" s="1"/>
  <c r="R1657" i="1"/>
  <c r="S1657" i="1" s="1"/>
  <c r="R1641" i="1"/>
  <c r="S1641" i="1" s="1"/>
  <c r="R1625" i="1"/>
  <c r="S1625" i="1" s="1"/>
  <c r="R1609" i="1"/>
  <c r="S1609" i="1" s="1"/>
  <c r="R1593" i="1"/>
  <c r="S1593" i="1" s="1"/>
  <c r="R1577" i="1"/>
  <c r="S1577" i="1" s="1"/>
  <c r="R1561" i="1"/>
  <c r="S1561" i="1" s="1"/>
  <c r="R1545" i="1"/>
  <c r="S1545" i="1" s="1"/>
  <c r="R1529" i="1"/>
  <c r="S1529" i="1" s="1"/>
  <c r="R1513" i="1"/>
  <c r="S1513" i="1" s="1"/>
  <c r="R1497" i="1"/>
  <c r="S1497" i="1" s="1"/>
  <c r="R1481" i="1"/>
  <c r="S1481" i="1" s="1"/>
  <c r="R1465" i="1"/>
  <c r="S1465" i="1" s="1"/>
  <c r="R1449" i="1"/>
  <c r="S1449" i="1" s="1"/>
  <c r="R1433" i="1"/>
  <c r="S1433" i="1" s="1"/>
  <c r="R1417" i="1"/>
  <c r="S1417" i="1" s="1"/>
  <c r="R1401" i="1"/>
  <c r="S1401" i="1" s="1"/>
  <c r="R1385" i="1"/>
  <c r="S1385" i="1" s="1"/>
  <c r="R1369" i="1"/>
  <c r="S1369" i="1" s="1"/>
  <c r="R1353" i="1"/>
  <c r="S1353" i="1" s="1"/>
  <c r="R1337" i="1"/>
  <c r="S1337" i="1" s="1"/>
  <c r="I8" i="1"/>
  <c r="J8" i="1" s="1"/>
  <c r="R2296" i="1"/>
  <c r="S2296" i="1" s="1"/>
  <c r="R2280" i="1"/>
  <c r="S2280" i="1" s="1"/>
  <c r="R2264" i="1"/>
  <c r="S2264" i="1" s="1"/>
  <c r="R2248" i="1"/>
  <c r="S2248" i="1" s="1"/>
  <c r="R2232" i="1"/>
  <c r="S2232" i="1" s="1"/>
  <c r="R2216" i="1"/>
  <c r="S2216" i="1" s="1"/>
  <c r="R2200" i="1"/>
  <c r="S2200" i="1" s="1"/>
  <c r="R2184" i="1"/>
  <c r="S2184" i="1" s="1"/>
  <c r="R2168" i="1"/>
  <c r="S2168" i="1" s="1"/>
  <c r="R2152" i="1"/>
  <c r="S2152" i="1" s="1"/>
  <c r="R2136" i="1"/>
  <c r="S2136" i="1" s="1"/>
  <c r="R2120" i="1"/>
  <c r="S2120" i="1" s="1"/>
  <c r="R2104" i="1"/>
  <c r="S2104" i="1" s="1"/>
  <c r="R2088" i="1"/>
  <c r="S2088" i="1" s="1"/>
  <c r="R2072" i="1"/>
  <c r="S2072" i="1" s="1"/>
  <c r="R2056" i="1"/>
  <c r="S2056" i="1" s="1"/>
  <c r="R2040" i="1"/>
  <c r="S2040" i="1" s="1"/>
  <c r="R2024" i="1"/>
  <c r="S2024" i="1" s="1"/>
  <c r="R2008" i="1"/>
  <c r="S2008" i="1" s="1"/>
  <c r="R1992" i="1"/>
  <c r="S1992" i="1" s="1"/>
  <c r="R1976" i="1"/>
  <c r="S1976" i="1" s="1"/>
  <c r="R1960" i="1"/>
  <c r="S1960" i="1" s="1"/>
  <c r="R1944" i="1"/>
  <c r="S1944" i="1" s="1"/>
  <c r="R1928" i="1"/>
  <c r="S1928" i="1" s="1"/>
  <c r="R1912" i="1"/>
  <c r="S1912" i="1" s="1"/>
  <c r="R1896" i="1"/>
  <c r="S1896" i="1" s="1"/>
  <c r="R1880" i="1"/>
  <c r="S1880" i="1" s="1"/>
  <c r="R1864" i="1"/>
  <c r="S1864" i="1" s="1"/>
  <c r="R1848" i="1"/>
  <c r="S1848" i="1" s="1"/>
  <c r="R1832" i="1"/>
  <c r="S1832" i="1" s="1"/>
  <c r="R1816" i="1"/>
  <c r="S1816" i="1" s="1"/>
  <c r="R1800" i="1"/>
  <c r="S1800" i="1" s="1"/>
  <c r="R1784" i="1"/>
  <c r="S1784" i="1" s="1"/>
  <c r="R1768" i="1"/>
  <c r="S1768" i="1" s="1"/>
  <c r="R1752" i="1"/>
  <c r="S1752" i="1" s="1"/>
  <c r="R1736" i="1"/>
  <c r="S1736" i="1" s="1"/>
  <c r="R1720" i="1"/>
  <c r="S1720" i="1" s="1"/>
  <c r="R1704" i="1"/>
  <c r="S1704" i="1" s="1"/>
  <c r="R1688" i="1"/>
  <c r="S1688" i="1" s="1"/>
  <c r="R1672" i="1"/>
  <c r="S1672" i="1" s="1"/>
  <c r="R1656" i="1"/>
  <c r="S1656" i="1" s="1"/>
  <c r="R1640" i="1"/>
  <c r="S1640" i="1" s="1"/>
  <c r="R1624" i="1"/>
  <c r="S1624" i="1" s="1"/>
  <c r="R1608" i="1"/>
  <c r="S1608" i="1" s="1"/>
  <c r="R1592" i="1"/>
  <c r="S1592" i="1" s="1"/>
  <c r="R1576" i="1"/>
  <c r="S1576" i="1" s="1"/>
  <c r="R1560" i="1"/>
  <c r="S1560" i="1" s="1"/>
  <c r="R1544" i="1"/>
  <c r="S1544" i="1" s="1"/>
  <c r="R1528" i="1"/>
  <c r="S1528" i="1" s="1"/>
  <c r="R1512" i="1"/>
  <c r="S1512" i="1" s="1"/>
  <c r="R1496" i="1"/>
  <c r="S1496" i="1" s="1"/>
  <c r="R1480" i="1"/>
  <c r="S1480" i="1" s="1"/>
  <c r="R1464" i="1"/>
  <c r="S1464" i="1" s="1"/>
  <c r="R1448" i="1"/>
  <c r="S1448" i="1" s="1"/>
  <c r="R1432" i="1"/>
  <c r="S1432" i="1" s="1"/>
  <c r="R1416" i="1"/>
  <c r="S1416" i="1" s="1"/>
  <c r="R1400" i="1"/>
  <c r="S1400" i="1" s="1"/>
  <c r="R1384" i="1"/>
  <c r="S1384" i="1" s="1"/>
  <c r="R1368" i="1"/>
  <c r="S1368" i="1" s="1"/>
  <c r="R1352" i="1"/>
  <c r="S1352" i="1" s="1"/>
  <c r="R1336" i="1"/>
  <c r="S1336" i="1" s="1"/>
  <c r="R1320" i="1"/>
  <c r="S1320" i="1" s="1"/>
  <c r="R1304" i="1"/>
  <c r="S1304" i="1" s="1"/>
  <c r="R1288" i="1"/>
  <c r="S1288" i="1" s="1"/>
  <c r="R1272" i="1"/>
  <c r="S1272" i="1" s="1"/>
  <c r="R1256" i="1"/>
  <c r="S1256" i="1" s="1"/>
  <c r="R1240" i="1"/>
  <c r="S1240" i="1" s="1"/>
  <c r="R1224" i="1"/>
  <c r="S1224" i="1" s="1"/>
  <c r="R1208" i="1"/>
  <c r="S1208" i="1" s="1"/>
  <c r="R1192" i="1"/>
  <c r="S1192" i="1" s="1"/>
  <c r="R1176" i="1"/>
  <c r="S1176" i="1" s="1"/>
  <c r="R1160" i="1"/>
  <c r="S1160" i="1" s="1"/>
  <c r="R1144" i="1"/>
  <c r="S1144" i="1" s="1"/>
  <c r="R1128" i="1"/>
  <c r="S1128" i="1" s="1"/>
  <c r="R1112" i="1"/>
  <c r="S1112" i="1" s="1"/>
  <c r="R1096" i="1"/>
  <c r="S1096" i="1" s="1"/>
  <c r="R1080" i="1"/>
  <c r="S1080" i="1" s="1"/>
  <c r="R1064" i="1"/>
  <c r="S1064" i="1" s="1"/>
  <c r="R1048" i="1"/>
  <c r="S1048" i="1" s="1"/>
  <c r="R1032" i="1"/>
  <c r="S1032" i="1" s="1"/>
  <c r="R1016" i="1"/>
  <c r="S1016" i="1" s="1"/>
  <c r="R1000" i="1"/>
  <c r="S1000" i="1" s="1"/>
  <c r="R984" i="1"/>
  <c r="S984" i="1" s="1"/>
  <c r="R968" i="1"/>
  <c r="S968" i="1" s="1"/>
  <c r="R2085" i="1"/>
  <c r="S2085" i="1" s="1"/>
  <c r="R1989" i="1"/>
  <c r="S1989" i="1" s="1"/>
  <c r="R1941" i="1"/>
  <c r="S1941" i="1" s="1"/>
  <c r="R1829" i="1"/>
  <c r="S1829" i="1" s="1"/>
  <c r="R1765" i="1"/>
  <c r="S1765" i="1" s="1"/>
  <c r="R1605" i="1"/>
  <c r="S1605" i="1" s="1"/>
  <c r="R1573" i="1"/>
  <c r="S1573" i="1" s="1"/>
  <c r="R1525" i="1"/>
  <c r="S1525" i="1" s="1"/>
  <c r="R1509" i="1"/>
  <c r="S1509" i="1" s="1"/>
  <c r="R1461" i="1"/>
  <c r="S1461" i="1" s="1"/>
  <c r="R1413" i="1"/>
  <c r="S1413" i="1" s="1"/>
  <c r="R1349" i="1"/>
  <c r="S1349" i="1" s="1"/>
  <c r="R1333" i="1"/>
  <c r="S1333" i="1" s="1"/>
  <c r="R677" i="1"/>
  <c r="S677" i="1" s="1"/>
  <c r="R533" i="1"/>
  <c r="S533" i="1" s="1"/>
  <c r="R293" i="1"/>
  <c r="S293" i="1" s="1"/>
  <c r="R245" i="1"/>
  <c r="S245" i="1" s="1"/>
  <c r="R53" i="1"/>
  <c r="S53" i="1" s="1"/>
  <c r="I5" i="1"/>
  <c r="J5" i="1" s="1"/>
  <c r="I2259" i="1"/>
  <c r="J2259" i="1" s="1"/>
  <c r="I2243" i="1"/>
  <c r="J2243" i="1" s="1"/>
  <c r="I2227" i="1"/>
  <c r="J2227" i="1" s="1"/>
  <c r="I2131" i="1"/>
  <c r="J2131" i="1" s="1"/>
  <c r="I2099" i="1"/>
  <c r="J2099" i="1" s="1"/>
  <c r="I2003" i="1"/>
  <c r="J2003" i="1" s="1"/>
  <c r="I1987" i="1"/>
  <c r="J1987" i="1" s="1"/>
  <c r="I1971" i="1"/>
  <c r="J1971" i="1" s="1"/>
  <c r="I1875" i="1"/>
  <c r="J1875" i="1" s="1"/>
  <c r="I1859" i="1"/>
  <c r="J1859" i="1" s="1"/>
  <c r="I1843" i="1"/>
  <c r="J1843" i="1" s="1"/>
  <c r="I1747" i="1"/>
  <c r="J1747" i="1" s="1"/>
  <c r="I1731" i="1"/>
  <c r="J1731" i="1" s="1"/>
  <c r="I1715" i="1"/>
  <c r="J1715" i="1" s="1"/>
  <c r="I1619" i="1"/>
  <c r="J1619" i="1" s="1"/>
  <c r="I1587" i="1"/>
  <c r="J1587" i="1" s="1"/>
  <c r="I1491" i="1"/>
  <c r="J1491" i="1" s="1"/>
  <c r="I1475" i="1"/>
  <c r="J1475" i="1" s="1"/>
  <c r="I1459" i="1"/>
  <c r="J1459" i="1" s="1"/>
  <c r="I1363" i="1"/>
  <c r="J1363" i="1" s="1"/>
  <c r="I1347" i="1"/>
  <c r="J1347" i="1" s="1"/>
  <c r="I1331" i="1"/>
  <c r="J1331" i="1" s="1"/>
  <c r="I1235" i="1"/>
  <c r="J1235" i="1" s="1"/>
  <c r="I1219" i="1"/>
  <c r="J1219" i="1" s="1"/>
  <c r="I1203" i="1"/>
  <c r="J1203" i="1" s="1"/>
  <c r="I1107" i="1"/>
  <c r="J1107" i="1" s="1"/>
  <c r="I1091" i="1"/>
  <c r="J1091" i="1" s="1"/>
  <c r="I1075" i="1"/>
  <c r="J1075" i="1" s="1"/>
  <c r="I963" i="1"/>
  <c r="J963" i="1" s="1"/>
  <c r="I947" i="1"/>
  <c r="J947" i="1" s="1"/>
  <c r="I851" i="1"/>
  <c r="J851" i="1" s="1"/>
  <c r="I835" i="1"/>
  <c r="J835" i="1" s="1"/>
  <c r="I819" i="1"/>
  <c r="J819" i="1" s="1"/>
  <c r="I723" i="1"/>
  <c r="J723" i="1" s="1"/>
  <c r="I707" i="1"/>
  <c r="J707" i="1" s="1"/>
  <c r="I595" i="1"/>
  <c r="J595" i="1" s="1"/>
  <c r="I579" i="1"/>
  <c r="J579" i="1" s="1"/>
  <c r="I563" i="1"/>
  <c r="J563" i="1" s="1"/>
  <c r="I467" i="1"/>
  <c r="J467" i="1" s="1"/>
  <c r="I451" i="1"/>
  <c r="J451" i="1" s="1"/>
  <c r="I435" i="1"/>
  <c r="J435" i="1" s="1"/>
  <c r="I339" i="1"/>
  <c r="J339" i="1" s="1"/>
  <c r="R5" i="1"/>
  <c r="S5" i="1" s="1"/>
  <c r="R1321" i="1"/>
  <c r="S1321" i="1" s="1"/>
  <c r="R1305" i="1"/>
  <c r="S1305" i="1" s="1"/>
  <c r="R1289" i="1"/>
  <c r="S1289" i="1" s="1"/>
  <c r="R1273" i="1"/>
  <c r="S1273" i="1" s="1"/>
  <c r="R1257" i="1"/>
  <c r="S1257" i="1" s="1"/>
  <c r="R1241" i="1"/>
  <c r="S1241" i="1" s="1"/>
  <c r="R1225" i="1"/>
  <c r="S1225" i="1" s="1"/>
  <c r="R1209" i="1"/>
  <c r="S1209" i="1" s="1"/>
  <c r="R1193" i="1"/>
  <c r="S1193" i="1" s="1"/>
  <c r="R1177" i="1"/>
  <c r="S1177" i="1" s="1"/>
  <c r="R1161" i="1"/>
  <c r="S1161" i="1" s="1"/>
  <c r="R1145" i="1"/>
  <c r="S1145" i="1" s="1"/>
  <c r="R1129" i="1"/>
  <c r="S1129" i="1" s="1"/>
  <c r="R1113" i="1"/>
  <c r="S1113" i="1" s="1"/>
  <c r="R1097" i="1"/>
  <c r="S1097" i="1" s="1"/>
  <c r="R1081" i="1"/>
  <c r="S1081" i="1" s="1"/>
  <c r="R1065" i="1"/>
  <c r="S1065" i="1" s="1"/>
  <c r="R1049" i="1"/>
  <c r="S1049" i="1" s="1"/>
  <c r="R1033" i="1"/>
  <c r="S1033" i="1" s="1"/>
  <c r="R1017" i="1"/>
  <c r="S1017" i="1" s="1"/>
  <c r="R1001" i="1"/>
  <c r="S1001" i="1" s="1"/>
  <c r="R985" i="1"/>
  <c r="S985" i="1" s="1"/>
  <c r="R969" i="1"/>
  <c r="S969" i="1" s="1"/>
  <c r="R953" i="1"/>
  <c r="S953" i="1" s="1"/>
  <c r="R937" i="1"/>
  <c r="S937" i="1" s="1"/>
  <c r="R921" i="1"/>
  <c r="S921" i="1" s="1"/>
  <c r="R905" i="1"/>
  <c r="S905" i="1" s="1"/>
  <c r="R889" i="1"/>
  <c r="S889" i="1" s="1"/>
  <c r="R873" i="1"/>
  <c r="S873" i="1" s="1"/>
  <c r="R857" i="1"/>
  <c r="S857" i="1" s="1"/>
  <c r="R841" i="1"/>
  <c r="S841" i="1" s="1"/>
  <c r="R825" i="1"/>
  <c r="S825" i="1" s="1"/>
  <c r="R809" i="1"/>
  <c r="S809" i="1" s="1"/>
  <c r="R793" i="1"/>
  <c r="S793" i="1" s="1"/>
  <c r="R777" i="1"/>
  <c r="S777" i="1" s="1"/>
  <c r="R761" i="1"/>
  <c r="S761" i="1" s="1"/>
  <c r="R745" i="1"/>
  <c r="S745" i="1" s="1"/>
  <c r="R729" i="1"/>
  <c r="S729" i="1" s="1"/>
  <c r="R713" i="1"/>
  <c r="S713" i="1" s="1"/>
  <c r="R697" i="1"/>
  <c r="S697" i="1" s="1"/>
  <c r="R681" i="1"/>
  <c r="S681" i="1" s="1"/>
  <c r="R665" i="1"/>
  <c r="S665" i="1" s="1"/>
  <c r="R649" i="1"/>
  <c r="S649" i="1" s="1"/>
  <c r="R633" i="1"/>
  <c r="S633" i="1" s="1"/>
  <c r="R617" i="1"/>
  <c r="S617" i="1" s="1"/>
  <c r="R601" i="1"/>
  <c r="S601" i="1" s="1"/>
  <c r="R585" i="1"/>
  <c r="S585" i="1" s="1"/>
  <c r="R569" i="1"/>
  <c r="S569" i="1" s="1"/>
  <c r="R553" i="1"/>
  <c r="S553" i="1" s="1"/>
  <c r="R537" i="1"/>
  <c r="S537" i="1" s="1"/>
  <c r="R521" i="1"/>
  <c r="S521" i="1" s="1"/>
  <c r="R505" i="1"/>
  <c r="S505" i="1" s="1"/>
  <c r="R489" i="1"/>
  <c r="S489" i="1" s="1"/>
  <c r="R473" i="1"/>
  <c r="S473" i="1" s="1"/>
  <c r="R457" i="1"/>
  <c r="S457" i="1" s="1"/>
  <c r="R441" i="1"/>
  <c r="S441" i="1" s="1"/>
  <c r="R425" i="1"/>
  <c r="S425" i="1" s="1"/>
  <c r="R409" i="1"/>
  <c r="S409" i="1" s="1"/>
  <c r="R393" i="1"/>
  <c r="S393" i="1" s="1"/>
  <c r="R377" i="1"/>
  <c r="S377" i="1" s="1"/>
  <c r="R361" i="1"/>
  <c r="S361" i="1" s="1"/>
  <c r="R345" i="1"/>
  <c r="S345" i="1" s="1"/>
  <c r="R329" i="1"/>
  <c r="S329" i="1" s="1"/>
  <c r="R313" i="1"/>
  <c r="S313" i="1" s="1"/>
  <c r="R297" i="1"/>
  <c r="S297" i="1" s="1"/>
  <c r="R281" i="1"/>
  <c r="S281" i="1" s="1"/>
  <c r="R265" i="1"/>
  <c r="S265" i="1" s="1"/>
  <c r="R249" i="1"/>
  <c r="S249" i="1" s="1"/>
  <c r="R233" i="1"/>
  <c r="S233" i="1" s="1"/>
  <c r="R217" i="1"/>
  <c r="S217" i="1" s="1"/>
  <c r="R201" i="1"/>
  <c r="S201" i="1" s="1"/>
  <c r="R185" i="1"/>
  <c r="S185" i="1" s="1"/>
  <c r="R169" i="1"/>
  <c r="S169" i="1" s="1"/>
  <c r="R153" i="1"/>
  <c r="S153" i="1" s="1"/>
  <c r="R137" i="1"/>
  <c r="S137" i="1" s="1"/>
  <c r="R121" i="1"/>
  <c r="S121" i="1" s="1"/>
  <c r="R105" i="1"/>
  <c r="S105" i="1" s="1"/>
  <c r="R89" i="1"/>
  <c r="S89" i="1" s="1"/>
  <c r="R73" i="1"/>
  <c r="S73" i="1" s="1"/>
  <c r="R57" i="1"/>
  <c r="S57" i="1" s="1"/>
  <c r="R41" i="1"/>
  <c r="S41" i="1" s="1"/>
  <c r="R25" i="1"/>
  <c r="S25" i="1" s="1"/>
  <c r="R9" i="1"/>
  <c r="S9" i="1" s="1"/>
  <c r="R2215" i="1"/>
  <c r="S2215" i="1" s="1"/>
  <c r="R2199" i="1"/>
  <c r="S2199" i="1" s="1"/>
  <c r="R2183" i="1"/>
  <c r="S2183" i="1" s="1"/>
  <c r="R2135" i="1"/>
  <c r="S2135" i="1" s="1"/>
  <c r="R2071" i="1"/>
  <c r="S2071" i="1" s="1"/>
  <c r="R2023" i="1"/>
  <c r="S2023" i="1" s="1"/>
  <c r="R1991" i="1"/>
  <c r="S1991" i="1" s="1"/>
  <c r="R1927" i="1"/>
  <c r="S1927" i="1" s="1"/>
  <c r="R1863" i="1"/>
  <c r="S1863" i="1" s="1"/>
  <c r="R1831" i="1"/>
  <c r="S1831" i="1" s="1"/>
  <c r="R1815" i="1"/>
  <c r="S1815" i="1" s="1"/>
  <c r="R1783" i="1"/>
  <c r="S1783" i="1" s="1"/>
  <c r="R1735" i="1"/>
  <c r="S1735" i="1" s="1"/>
  <c r="R1687" i="1"/>
  <c r="S1687" i="1" s="1"/>
  <c r="R1607" i="1"/>
  <c r="S1607" i="1" s="1"/>
  <c r="R1287" i="1"/>
  <c r="S1287" i="1" s="1"/>
  <c r="R1143" i="1"/>
  <c r="S1143" i="1" s="1"/>
  <c r="R1095" i="1"/>
  <c r="S1095" i="1" s="1"/>
  <c r="R903" i="1"/>
  <c r="S903" i="1" s="1"/>
  <c r="R775" i="1"/>
  <c r="S775" i="1" s="1"/>
  <c r="R1524" i="1"/>
  <c r="S1524" i="1" s="1"/>
  <c r="R1348" i="1"/>
  <c r="S1348" i="1" s="1"/>
  <c r="R1332" i="1"/>
  <c r="S1332" i="1" s="1"/>
  <c r="R1220" i="1"/>
  <c r="S1220" i="1" s="1"/>
  <c r="R1172" i="1"/>
  <c r="S1172" i="1" s="1"/>
  <c r="R1140" i="1"/>
  <c r="S1140" i="1" s="1"/>
  <c r="R708" i="1"/>
  <c r="S708" i="1" s="1"/>
  <c r="R564" i="1"/>
  <c r="S564" i="1" s="1"/>
  <c r="R324" i="1"/>
  <c r="S324" i="1" s="1"/>
  <c r="R260" i="1"/>
  <c r="S260" i="1" s="1"/>
  <c r="R1571" i="1"/>
  <c r="S1571" i="1" s="1"/>
  <c r="R1459" i="1"/>
  <c r="S1459" i="1" s="1"/>
  <c r="R1395" i="1"/>
  <c r="S1395" i="1" s="1"/>
  <c r="R1347" i="1"/>
  <c r="S1347" i="1" s="1"/>
  <c r="R1091" i="1"/>
  <c r="S1091" i="1" s="1"/>
  <c r="I307" i="1"/>
  <c r="J307" i="1" s="1"/>
  <c r="I2225" i="1"/>
  <c r="J2225" i="1" s="1"/>
  <c r="I2145" i="1"/>
  <c r="J2145" i="1" s="1"/>
  <c r="I2113" i="1"/>
  <c r="J2113" i="1" s="1"/>
  <c r="I2049" i="1"/>
  <c r="J2049" i="1" s="1"/>
  <c r="I1921" i="1"/>
  <c r="J1921" i="1" s="1"/>
  <c r="I1825" i="1"/>
  <c r="J1825" i="1" s="1"/>
  <c r="I1713" i="1"/>
  <c r="J1713" i="1" s="1"/>
  <c r="I1633" i="1"/>
  <c r="J1633" i="1" s="1"/>
  <c r="I1601" i="1"/>
  <c r="J1601" i="1" s="1"/>
  <c r="I1537" i="1"/>
  <c r="J1537" i="1" s="1"/>
  <c r="I1521" i="1"/>
  <c r="J1521" i="1" s="1"/>
  <c r="I1409" i="1"/>
  <c r="J1409" i="1" s="1"/>
  <c r="I1313" i="1"/>
  <c r="J1313" i="1" s="1"/>
  <c r="I1121" i="1"/>
  <c r="J1121" i="1" s="1"/>
  <c r="I1009" i="1"/>
  <c r="J1009" i="1" s="1"/>
  <c r="I977" i="1"/>
  <c r="J977" i="1" s="1"/>
  <c r="I913" i="1"/>
  <c r="J913" i="1" s="1"/>
  <c r="I897" i="1"/>
  <c r="J897" i="1" s="1"/>
  <c r="I801" i="1"/>
  <c r="J801" i="1" s="1"/>
  <c r="I497" i="1"/>
  <c r="J497" i="1" s="1"/>
  <c r="I465" i="1"/>
  <c r="J465" i="1" s="1"/>
  <c r="I401" i="1"/>
  <c r="J401" i="1" s="1"/>
  <c r="I177" i="1"/>
  <c r="J177" i="1" s="1"/>
  <c r="R1633" i="1"/>
  <c r="S1633" i="1" s="1"/>
  <c r="R481" i="1"/>
  <c r="S481" i="1" s="1"/>
  <c r="I179" i="1"/>
  <c r="J179" i="1" s="1"/>
  <c r="I2286" i="1"/>
  <c r="J2286" i="1" s="1"/>
  <c r="I1822" i="1"/>
  <c r="J1822" i="1" s="1"/>
  <c r="I1774" i="1"/>
  <c r="J1774" i="1" s="1"/>
  <c r="I862" i="1"/>
  <c r="J862" i="1" s="1"/>
  <c r="I798" i="1"/>
  <c r="J798" i="1" s="1"/>
  <c r="I686" i="1"/>
  <c r="J686" i="1" s="1"/>
  <c r="I286" i="1"/>
  <c r="J286" i="1" s="1"/>
  <c r="I238" i="1"/>
  <c r="J238" i="1" s="1"/>
  <c r="I323" i="1"/>
  <c r="J323" i="1" s="1"/>
  <c r="I195" i="1"/>
  <c r="J195" i="1" s="1"/>
  <c r="I51" i="1"/>
  <c r="J51" i="1" s="1"/>
  <c r="I2252" i="1"/>
  <c r="J2252" i="1" s="1"/>
  <c r="I2188" i="1"/>
  <c r="J2188" i="1" s="1"/>
  <c r="I2140" i="1"/>
  <c r="J2140" i="1" s="1"/>
  <c r="I2076" i="1"/>
  <c r="J2076" i="1" s="1"/>
  <c r="I2060" i="1"/>
  <c r="J2060" i="1" s="1"/>
  <c r="I2028" i="1"/>
  <c r="J2028" i="1" s="1"/>
  <c r="I1964" i="1"/>
  <c r="J1964" i="1" s="1"/>
  <c r="I1948" i="1"/>
  <c r="J1948" i="1" s="1"/>
  <c r="I1916" i="1"/>
  <c r="J1916" i="1" s="1"/>
  <c r="I1836" i="1"/>
  <c r="J1836" i="1" s="1"/>
  <c r="I1740" i="1"/>
  <c r="J1740" i="1" s="1"/>
  <c r="I1676" i="1"/>
  <c r="J1676" i="1" s="1"/>
  <c r="I1628" i="1"/>
  <c r="J1628" i="1" s="1"/>
  <c r="I1564" i="1"/>
  <c r="J1564" i="1" s="1"/>
  <c r="I1548" i="1"/>
  <c r="J1548" i="1" s="1"/>
  <c r="I1516" i="1"/>
  <c r="J1516" i="1" s="1"/>
  <c r="I1452" i="1"/>
  <c r="J1452" i="1" s="1"/>
  <c r="I1436" i="1"/>
  <c r="J1436" i="1" s="1"/>
  <c r="I1404" i="1"/>
  <c r="J1404" i="1" s="1"/>
  <c r="I1324" i="1"/>
  <c r="J1324" i="1" s="1"/>
  <c r="I1260" i="1"/>
  <c r="J1260" i="1" s="1"/>
  <c r="I1228" i="1"/>
  <c r="J1228" i="1" s="1"/>
  <c r="I1164" i="1"/>
  <c r="J1164" i="1" s="1"/>
  <c r="I1116" i="1"/>
  <c r="J1116" i="1" s="1"/>
  <c r="I1052" i="1"/>
  <c r="J1052" i="1" s="1"/>
  <c r="I1036" i="1"/>
  <c r="J1036" i="1" s="1"/>
  <c r="I1004" i="1"/>
  <c r="J1004" i="1" s="1"/>
  <c r="I940" i="1"/>
  <c r="J940" i="1" s="1"/>
  <c r="I924" i="1"/>
  <c r="J924" i="1" s="1"/>
  <c r="I892" i="1"/>
  <c r="J892" i="1" s="1"/>
  <c r="I812" i="1"/>
  <c r="J812" i="1" s="1"/>
  <c r="I716" i="1"/>
  <c r="J716" i="1" s="1"/>
  <c r="I652" i="1"/>
  <c r="J652" i="1" s="1"/>
  <c r="I604" i="1"/>
  <c r="J604" i="1" s="1"/>
  <c r="I540" i="1"/>
  <c r="J540" i="1" s="1"/>
  <c r="I524" i="1"/>
  <c r="J524" i="1" s="1"/>
  <c r="I492" i="1"/>
  <c r="J492" i="1" s="1"/>
  <c r="I428" i="1"/>
  <c r="J428" i="1" s="1"/>
  <c r="I412" i="1"/>
  <c r="J412" i="1" s="1"/>
  <c r="I380" i="1"/>
  <c r="J380" i="1" s="1"/>
  <c r="I348" i="1"/>
  <c r="J348" i="1" s="1"/>
  <c r="I300" i="1"/>
  <c r="J300" i="1" s="1"/>
  <c r="I204" i="1"/>
  <c r="J204" i="1" s="1"/>
  <c r="I140" i="1"/>
  <c r="J140" i="1" s="1"/>
  <c r="I92" i="1"/>
  <c r="J92" i="1" s="1"/>
  <c r="I28" i="1"/>
  <c r="J28" i="1" s="1"/>
  <c r="I12" i="1"/>
  <c r="J12" i="1" s="1"/>
  <c r="R2236" i="1"/>
  <c r="S2236" i="1" s="1"/>
  <c r="R1788" i="1"/>
  <c r="S1788" i="1" s="1"/>
  <c r="R1708" i="1"/>
  <c r="S1708" i="1" s="1"/>
  <c r="R1468" i="1"/>
  <c r="S1468" i="1" s="1"/>
  <c r="R1260" i="1"/>
  <c r="S1260" i="1" s="1"/>
  <c r="I211" i="1"/>
  <c r="J211" i="1" s="1"/>
  <c r="I83" i="1"/>
  <c r="J83" i="1" s="1"/>
  <c r="R2107" i="1"/>
  <c r="S2107" i="1" s="1"/>
  <c r="R2043" i="1"/>
  <c r="S2043" i="1" s="1"/>
  <c r="R2027" i="1"/>
  <c r="S2027" i="1" s="1"/>
  <c r="R1931" i="1"/>
  <c r="S1931" i="1" s="1"/>
  <c r="R910" i="1"/>
  <c r="S910" i="1" s="1"/>
  <c r="R142" i="1"/>
  <c r="S142" i="1" s="1"/>
  <c r="R1277" i="1"/>
  <c r="S1277" i="1" s="1"/>
  <c r="R1261" i="1"/>
  <c r="S1261" i="1" s="1"/>
  <c r="R1245" i="1"/>
  <c r="S1245" i="1" s="1"/>
  <c r="R1229" i="1"/>
  <c r="S1229" i="1" s="1"/>
  <c r="R1213" i="1"/>
  <c r="S1213" i="1" s="1"/>
  <c r="R1197" i="1"/>
  <c r="S1197" i="1" s="1"/>
  <c r="R1181" i="1"/>
  <c r="S1181" i="1" s="1"/>
  <c r="R1165" i="1"/>
  <c r="S1165" i="1" s="1"/>
  <c r="R1149" i="1"/>
  <c r="S1149" i="1" s="1"/>
  <c r="R1133" i="1"/>
  <c r="S1133" i="1" s="1"/>
  <c r="R1117" i="1"/>
  <c r="S1117" i="1" s="1"/>
  <c r="R1101" i="1"/>
  <c r="S1101" i="1" s="1"/>
  <c r="R1085" i="1"/>
  <c r="S1085" i="1" s="1"/>
  <c r="R1069" i="1"/>
  <c r="S1069" i="1" s="1"/>
  <c r="R1053" i="1"/>
  <c r="S1053" i="1" s="1"/>
  <c r="R1037" i="1"/>
  <c r="S1037" i="1" s="1"/>
  <c r="R1021" i="1"/>
  <c r="S1021" i="1" s="1"/>
  <c r="R1005" i="1"/>
  <c r="S1005" i="1" s="1"/>
  <c r="R989" i="1"/>
  <c r="S989" i="1" s="1"/>
  <c r="R973" i="1"/>
  <c r="S973" i="1" s="1"/>
  <c r="R957" i="1"/>
  <c r="S957" i="1" s="1"/>
  <c r="R941" i="1"/>
  <c r="S941" i="1" s="1"/>
  <c r="R925" i="1"/>
  <c r="S925" i="1" s="1"/>
  <c r="R909" i="1"/>
  <c r="S909" i="1" s="1"/>
  <c r="R893" i="1"/>
  <c r="S893" i="1" s="1"/>
  <c r="R877" i="1"/>
  <c r="S877" i="1" s="1"/>
  <c r="R861" i="1"/>
  <c r="S861" i="1" s="1"/>
  <c r="R845" i="1"/>
  <c r="S845" i="1" s="1"/>
  <c r="R829" i="1"/>
  <c r="S829" i="1" s="1"/>
  <c r="R813" i="1"/>
  <c r="S813" i="1" s="1"/>
  <c r="R797" i="1"/>
  <c r="S797" i="1" s="1"/>
  <c r="R781" i="1"/>
  <c r="S781" i="1" s="1"/>
  <c r="R765" i="1"/>
  <c r="S765" i="1" s="1"/>
  <c r="R749" i="1"/>
  <c r="S749" i="1" s="1"/>
  <c r="R733" i="1"/>
  <c r="S733" i="1" s="1"/>
  <c r="R717" i="1"/>
  <c r="S717" i="1" s="1"/>
  <c r="R701" i="1"/>
  <c r="S701" i="1" s="1"/>
  <c r="R685" i="1"/>
  <c r="S685" i="1" s="1"/>
  <c r="R669" i="1"/>
  <c r="S669" i="1" s="1"/>
  <c r="R653" i="1"/>
  <c r="S653" i="1" s="1"/>
  <c r="R637" i="1"/>
  <c r="S637" i="1" s="1"/>
  <c r="R621" i="1"/>
  <c r="S621" i="1" s="1"/>
  <c r="R605" i="1"/>
  <c r="S605" i="1" s="1"/>
  <c r="R589" i="1"/>
  <c r="S589" i="1" s="1"/>
  <c r="R573" i="1"/>
  <c r="S573" i="1" s="1"/>
  <c r="R557" i="1"/>
  <c r="S557" i="1" s="1"/>
  <c r="R541" i="1"/>
  <c r="S541" i="1" s="1"/>
  <c r="R525" i="1"/>
  <c r="S525" i="1" s="1"/>
  <c r="R509" i="1"/>
  <c r="S509" i="1" s="1"/>
  <c r="R493" i="1"/>
  <c r="S493" i="1" s="1"/>
  <c r="R477" i="1"/>
  <c r="S477" i="1" s="1"/>
  <c r="R461" i="1"/>
  <c r="S461" i="1" s="1"/>
  <c r="R445" i="1"/>
  <c r="S445" i="1" s="1"/>
  <c r="R429" i="1"/>
  <c r="S429" i="1" s="1"/>
  <c r="R413" i="1"/>
  <c r="S413" i="1" s="1"/>
  <c r="R397" i="1"/>
  <c r="S397" i="1" s="1"/>
  <c r="R381" i="1"/>
  <c r="S381" i="1" s="1"/>
  <c r="R365" i="1"/>
  <c r="S365" i="1" s="1"/>
  <c r="R349" i="1"/>
  <c r="S349" i="1" s="1"/>
  <c r="R333" i="1"/>
  <c r="S333" i="1" s="1"/>
  <c r="R317" i="1"/>
  <c r="S317" i="1" s="1"/>
  <c r="R301" i="1"/>
  <c r="S301" i="1" s="1"/>
  <c r="R285" i="1"/>
  <c r="S285" i="1" s="1"/>
  <c r="R269" i="1"/>
  <c r="S269" i="1" s="1"/>
  <c r="R253" i="1"/>
  <c r="S253" i="1" s="1"/>
  <c r="R237" i="1"/>
  <c r="S237" i="1" s="1"/>
  <c r="R221" i="1"/>
  <c r="S221" i="1" s="1"/>
  <c r="R205" i="1"/>
  <c r="S205" i="1" s="1"/>
  <c r="R189" i="1"/>
  <c r="S189" i="1" s="1"/>
  <c r="R173" i="1"/>
  <c r="S173" i="1" s="1"/>
  <c r="R157" i="1"/>
  <c r="S157" i="1" s="1"/>
  <c r="R141" i="1"/>
  <c r="S141" i="1" s="1"/>
  <c r="R125" i="1"/>
  <c r="S125" i="1" s="1"/>
  <c r="R109" i="1"/>
  <c r="S109" i="1" s="1"/>
  <c r="R93" i="1"/>
  <c r="S93" i="1" s="1"/>
  <c r="R77" i="1"/>
  <c r="S77" i="1" s="1"/>
  <c r="R61" i="1"/>
  <c r="S61" i="1" s="1"/>
  <c r="R45" i="1"/>
  <c r="S45" i="1" s="1"/>
  <c r="R29" i="1"/>
  <c r="S29" i="1" s="1"/>
  <c r="R13" i="1"/>
  <c r="S13" i="1" s="1"/>
  <c r="R1254" i="1"/>
  <c r="S1254" i="1" s="1"/>
  <c r="R1238" i="1"/>
  <c r="S1238" i="1" s="1"/>
  <c r="R1222" i="1"/>
  <c r="S1222" i="1" s="1"/>
  <c r="R1206" i="1"/>
  <c r="S1206" i="1" s="1"/>
  <c r="R1190" i="1"/>
  <c r="S1190" i="1" s="1"/>
  <c r="R1174" i="1"/>
  <c r="S1174" i="1" s="1"/>
  <c r="R1158" i="1"/>
  <c r="S1158" i="1" s="1"/>
  <c r="R1142" i="1"/>
  <c r="S1142" i="1" s="1"/>
  <c r="R1126" i="1"/>
  <c r="S1126" i="1" s="1"/>
  <c r="R1110" i="1"/>
  <c r="S1110" i="1" s="1"/>
  <c r="R1094" i="1"/>
  <c r="S1094" i="1" s="1"/>
  <c r="R1078" i="1"/>
  <c r="S1078" i="1" s="1"/>
  <c r="R1062" i="1"/>
  <c r="S1062" i="1" s="1"/>
  <c r="R1030" i="1"/>
  <c r="S1030" i="1" s="1"/>
  <c r="R1014" i="1"/>
  <c r="S1014" i="1" s="1"/>
  <c r="R998" i="1"/>
  <c r="S998" i="1" s="1"/>
  <c r="R966" i="1"/>
  <c r="S966" i="1" s="1"/>
  <c r="R950" i="1"/>
  <c r="S950" i="1" s="1"/>
  <c r="R934" i="1"/>
  <c r="S934" i="1" s="1"/>
  <c r="R918" i="1"/>
  <c r="S918" i="1" s="1"/>
  <c r="R902" i="1"/>
  <c r="S902" i="1" s="1"/>
  <c r="R886" i="1"/>
  <c r="S886" i="1" s="1"/>
  <c r="R870" i="1"/>
  <c r="S870" i="1" s="1"/>
  <c r="R854" i="1"/>
  <c r="S854" i="1" s="1"/>
  <c r="R838" i="1"/>
  <c r="S838" i="1" s="1"/>
  <c r="R822" i="1"/>
  <c r="S822" i="1" s="1"/>
  <c r="R806" i="1"/>
  <c r="S806" i="1" s="1"/>
  <c r="R790" i="1"/>
  <c r="S790" i="1" s="1"/>
  <c r="R774" i="1"/>
  <c r="S774" i="1" s="1"/>
  <c r="R758" i="1"/>
  <c r="S758" i="1" s="1"/>
  <c r="R742" i="1"/>
  <c r="S742" i="1" s="1"/>
  <c r="R726" i="1"/>
  <c r="S726" i="1" s="1"/>
  <c r="R710" i="1"/>
  <c r="S710" i="1" s="1"/>
  <c r="R694" i="1"/>
  <c r="S694" i="1" s="1"/>
  <c r="R678" i="1"/>
  <c r="S678" i="1" s="1"/>
  <c r="R662" i="1"/>
  <c r="S662" i="1" s="1"/>
  <c r="R646" i="1"/>
  <c r="S646" i="1" s="1"/>
  <c r="R630" i="1"/>
  <c r="S630" i="1" s="1"/>
  <c r="R614" i="1"/>
  <c r="S614" i="1" s="1"/>
  <c r="R598" i="1"/>
  <c r="S598" i="1" s="1"/>
  <c r="R582" i="1"/>
  <c r="S582" i="1" s="1"/>
  <c r="R566" i="1"/>
  <c r="S566" i="1" s="1"/>
  <c r="R550" i="1"/>
  <c r="S550" i="1" s="1"/>
  <c r="R534" i="1"/>
  <c r="S534" i="1" s="1"/>
  <c r="R518" i="1"/>
  <c r="S518" i="1" s="1"/>
  <c r="R502" i="1"/>
  <c r="S502" i="1" s="1"/>
  <c r="R486" i="1"/>
  <c r="S486" i="1" s="1"/>
  <c r="R470" i="1"/>
  <c r="S470" i="1" s="1"/>
  <c r="R454" i="1"/>
  <c r="S454" i="1" s="1"/>
  <c r="R438" i="1"/>
  <c r="S438" i="1" s="1"/>
  <c r="R422" i="1"/>
  <c r="S422" i="1" s="1"/>
  <c r="R406" i="1"/>
  <c r="S406" i="1" s="1"/>
  <c r="R390" i="1"/>
  <c r="S390" i="1" s="1"/>
  <c r="R374" i="1"/>
  <c r="S374" i="1" s="1"/>
  <c r="R358" i="1"/>
  <c r="S358" i="1" s="1"/>
  <c r="R342" i="1"/>
  <c r="S342" i="1" s="1"/>
  <c r="R326" i="1"/>
  <c r="S326" i="1" s="1"/>
  <c r="R310" i="1"/>
  <c r="S310" i="1" s="1"/>
  <c r="R294" i="1"/>
  <c r="S294" i="1" s="1"/>
  <c r="R278" i="1"/>
  <c r="S278" i="1" s="1"/>
  <c r="R262" i="1"/>
  <c r="S262" i="1" s="1"/>
  <c r="R246" i="1"/>
  <c r="S246" i="1" s="1"/>
  <c r="R230" i="1"/>
  <c r="S230" i="1" s="1"/>
  <c r="R214" i="1"/>
  <c r="S214" i="1" s="1"/>
  <c r="R198" i="1"/>
  <c r="S198" i="1" s="1"/>
  <c r="R182" i="1"/>
  <c r="S182" i="1" s="1"/>
  <c r="R166" i="1"/>
  <c r="S166" i="1" s="1"/>
  <c r="R150" i="1"/>
  <c r="S150" i="1" s="1"/>
  <c r="R134" i="1"/>
  <c r="S134" i="1" s="1"/>
  <c r="R118" i="1"/>
  <c r="S118" i="1" s="1"/>
  <c r="R102" i="1"/>
  <c r="S102" i="1" s="1"/>
  <c r="R86" i="1"/>
  <c r="S86" i="1" s="1"/>
  <c r="R70" i="1"/>
  <c r="S70" i="1" s="1"/>
  <c r="R54" i="1"/>
  <c r="S54" i="1" s="1"/>
  <c r="R38" i="1"/>
  <c r="S38" i="1" s="1"/>
  <c r="R22" i="1"/>
  <c r="S22" i="1" s="1"/>
  <c r="R6" i="1"/>
  <c r="S6" i="1" s="1"/>
  <c r="R952" i="1"/>
  <c r="S952" i="1" s="1"/>
  <c r="R936" i="1"/>
  <c r="S936" i="1" s="1"/>
  <c r="R920" i="1"/>
  <c r="S920" i="1" s="1"/>
  <c r="R904" i="1"/>
  <c r="S904" i="1" s="1"/>
  <c r="R888" i="1"/>
  <c r="S888" i="1" s="1"/>
  <c r="R872" i="1"/>
  <c r="S872" i="1" s="1"/>
  <c r="R856" i="1"/>
  <c r="S856" i="1" s="1"/>
  <c r="R840" i="1"/>
  <c r="S840" i="1" s="1"/>
  <c r="R824" i="1"/>
  <c r="S824" i="1" s="1"/>
  <c r="R808" i="1"/>
  <c r="S808" i="1" s="1"/>
  <c r="R792" i="1"/>
  <c r="S792" i="1" s="1"/>
  <c r="R776" i="1"/>
  <c r="S776" i="1" s="1"/>
  <c r="R760" i="1"/>
  <c r="S760" i="1" s="1"/>
  <c r="R744" i="1"/>
  <c r="S744" i="1" s="1"/>
  <c r="R728" i="1"/>
  <c r="S728" i="1" s="1"/>
  <c r="R712" i="1"/>
  <c r="S712" i="1" s="1"/>
  <c r="R696" i="1"/>
  <c r="S696" i="1" s="1"/>
  <c r="R680" i="1"/>
  <c r="S680" i="1" s="1"/>
  <c r="R664" i="1"/>
  <c r="S664" i="1" s="1"/>
  <c r="R648" i="1"/>
  <c r="S648" i="1" s="1"/>
  <c r="R632" i="1"/>
  <c r="S632" i="1" s="1"/>
  <c r="R616" i="1"/>
  <c r="S616" i="1" s="1"/>
  <c r="R600" i="1"/>
  <c r="S600" i="1" s="1"/>
  <c r="R584" i="1"/>
  <c r="S584" i="1" s="1"/>
  <c r="R568" i="1"/>
  <c r="S568" i="1" s="1"/>
  <c r="R552" i="1"/>
  <c r="S552" i="1" s="1"/>
  <c r="R536" i="1"/>
  <c r="S536" i="1" s="1"/>
  <c r="R520" i="1"/>
  <c r="S520" i="1" s="1"/>
  <c r="R504" i="1"/>
  <c r="S504" i="1" s="1"/>
  <c r="R488" i="1"/>
  <c r="S488" i="1" s="1"/>
  <c r="R472" i="1"/>
  <c r="S472" i="1" s="1"/>
  <c r="R456" i="1"/>
  <c r="S456" i="1" s="1"/>
  <c r="R440" i="1"/>
  <c r="S440" i="1" s="1"/>
  <c r="R424" i="1"/>
  <c r="S424" i="1" s="1"/>
  <c r="R408" i="1"/>
  <c r="S408" i="1" s="1"/>
  <c r="R392" i="1"/>
  <c r="S392" i="1" s="1"/>
  <c r="R376" i="1"/>
  <c r="S376" i="1" s="1"/>
  <c r="R360" i="1"/>
  <c r="S360" i="1" s="1"/>
  <c r="R344" i="1"/>
  <c r="S344" i="1" s="1"/>
  <c r="R328" i="1"/>
  <c r="S328" i="1" s="1"/>
  <c r="R312" i="1"/>
  <c r="S312" i="1" s="1"/>
  <c r="R296" i="1"/>
  <c r="S296" i="1" s="1"/>
  <c r="R280" i="1"/>
  <c r="S280" i="1" s="1"/>
  <c r="R264" i="1"/>
  <c r="S264" i="1" s="1"/>
  <c r="R248" i="1"/>
  <c r="S248" i="1" s="1"/>
  <c r="R232" i="1"/>
  <c r="S232" i="1" s="1"/>
  <c r="R216" i="1"/>
  <c r="S216" i="1" s="1"/>
  <c r="R200" i="1"/>
  <c r="S200" i="1" s="1"/>
  <c r="R184" i="1"/>
  <c r="S184" i="1" s="1"/>
  <c r="R168" i="1"/>
  <c r="S168" i="1" s="1"/>
  <c r="R152" i="1"/>
  <c r="S152" i="1" s="1"/>
  <c r="R136" i="1"/>
  <c r="S136" i="1" s="1"/>
  <c r="R120" i="1"/>
  <c r="S120" i="1" s="1"/>
  <c r="R104" i="1"/>
  <c r="S104" i="1" s="1"/>
  <c r="R88" i="1"/>
  <c r="S88" i="1" s="1"/>
  <c r="R72" i="1"/>
  <c r="S72" i="1" s="1"/>
  <c r="R56" i="1"/>
  <c r="S56" i="1" s="1"/>
  <c r="R40" i="1"/>
  <c r="S40" i="1" s="1"/>
  <c r="R24" i="1"/>
  <c r="S24" i="1" s="1"/>
  <c r="R8" i="1"/>
  <c r="S8" i="1" s="1"/>
  <c r="R839" i="1"/>
  <c r="S839" i="1" s="1"/>
  <c r="R679" i="1"/>
  <c r="S679" i="1" s="1"/>
  <c r="R55" i="1"/>
  <c r="S55" i="1" s="1"/>
  <c r="R7" i="1"/>
  <c r="S7" i="1" s="1"/>
  <c r="R884" i="1"/>
  <c r="S884" i="1" s="1"/>
  <c r="R532" i="1"/>
  <c r="S532" i="1" s="1"/>
  <c r="R196" i="1"/>
  <c r="S196" i="1" s="1"/>
  <c r="R963" i="1"/>
  <c r="S963" i="1" s="1"/>
  <c r="R707" i="1"/>
  <c r="S707" i="1" s="1"/>
  <c r="R563" i="1"/>
  <c r="S563" i="1" s="1"/>
  <c r="R371" i="1"/>
  <c r="S371" i="1" s="1"/>
  <c r="I2299" i="1"/>
  <c r="J2299" i="1" s="1"/>
  <c r="I2283" i="1"/>
  <c r="J2283" i="1" s="1"/>
  <c r="I2267" i="1"/>
  <c r="J2267" i="1" s="1"/>
  <c r="I2251" i="1"/>
  <c r="J2251" i="1" s="1"/>
  <c r="I2235" i="1"/>
  <c r="J2235" i="1" s="1"/>
  <c r="I2305" i="1"/>
  <c r="J2305" i="1" s="1"/>
  <c r="I2289" i="1"/>
  <c r="J2289" i="1" s="1"/>
  <c r="I2257" i="1"/>
  <c r="J2257" i="1" s="1"/>
  <c r="I2241" i="1"/>
  <c r="J2241" i="1" s="1"/>
  <c r="I2209" i="1"/>
  <c r="J2209" i="1" s="1"/>
  <c r="I2193" i="1"/>
  <c r="J2193" i="1" s="1"/>
  <c r="I2177" i="1"/>
  <c r="J2177" i="1" s="1"/>
  <c r="I2129" i="1"/>
  <c r="J2129" i="1" s="1"/>
  <c r="I2097" i="1"/>
  <c r="J2097" i="1" s="1"/>
  <c r="I2081" i="1"/>
  <c r="J2081" i="1" s="1"/>
  <c r="I2065" i="1"/>
  <c r="J2065" i="1" s="1"/>
  <c r="I2017" i="1"/>
  <c r="J2017" i="1" s="1"/>
  <c r="I1985" i="1"/>
  <c r="J1985" i="1" s="1"/>
  <c r="I1969" i="1"/>
  <c r="J1969" i="1" s="1"/>
  <c r="I1953" i="1"/>
  <c r="J1953" i="1" s="1"/>
  <c r="I1905" i="1"/>
  <c r="J1905" i="1" s="1"/>
  <c r="I1889" i="1"/>
  <c r="J1889" i="1" s="1"/>
  <c r="I1873" i="1"/>
  <c r="J1873" i="1" s="1"/>
  <c r="I1857" i="1"/>
  <c r="J1857" i="1" s="1"/>
  <c r="I1841" i="1"/>
  <c r="J1841" i="1" s="1"/>
  <c r="I1809" i="1"/>
  <c r="J1809" i="1" s="1"/>
  <c r="I1793" i="1"/>
  <c r="J1793" i="1" s="1"/>
  <c r="I1777" i="1"/>
  <c r="J1777" i="1" s="1"/>
  <c r="I1745" i="1"/>
  <c r="J1745" i="1" s="1"/>
  <c r="I1729" i="1"/>
  <c r="J1729" i="1" s="1"/>
  <c r="I1697" i="1"/>
  <c r="J1697" i="1" s="1"/>
  <c r="I1681" i="1"/>
  <c r="J1681" i="1" s="1"/>
  <c r="I1665" i="1"/>
  <c r="J1665" i="1" s="1"/>
  <c r="I1617" i="1"/>
  <c r="J1617" i="1" s="1"/>
  <c r="I1585" i="1"/>
  <c r="J1585" i="1" s="1"/>
  <c r="I1569" i="1"/>
  <c r="J1569" i="1" s="1"/>
  <c r="I1553" i="1"/>
  <c r="J1553" i="1" s="1"/>
  <c r="I1505" i="1"/>
  <c r="J1505" i="1" s="1"/>
  <c r="I1473" i="1"/>
  <c r="J1473" i="1" s="1"/>
  <c r="I1457" i="1"/>
  <c r="J1457" i="1" s="1"/>
  <c r="I1441" i="1"/>
  <c r="J1441" i="1" s="1"/>
  <c r="I1393" i="1"/>
  <c r="J1393" i="1" s="1"/>
  <c r="I1377" i="1"/>
  <c r="J1377" i="1" s="1"/>
  <c r="I1361" i="1"/>
  <c r="J1361" i="1" s="1"/>
  <c r="I1345" i="1"/>
  <c r="J1345" i="1" s="1"/>
  <c r="I1329" i="1"/>
  <c r="J1329" i="1" s="1"/>
  <c r="I1297" i="1"/>
  <c r="J1297" i="1" s="1"/>
  <c r="I1281" i="1"/>
  <c r="J1281" i="1" s="1"/>
  <c r="I1265" i="1"/>
  <c r="J1265" i="1" s="1"/>
  <c r="I1249" i="1"/>
  <c r="J1249" i="1" s="1"/>
  <c r="I1233" i="1"/>
  <c r="J1233" i="1" s="1"/>
  <c r="I1217" i="1"/>
  <c r="J1217" i="1" s="1"/>
  <c r="I1185" i="1"/>
  <c r="J1185" i="1" s="1"/>
  <c r="I1169" i="1"/>
  <c r="J1169" i="1" s="1"/>
  <c r="I1153" i="1"/>
  <c r="J1153" i="1" s="1"/>
  <c r="I1137" i="1"/>
  <c r="J1137" i="1" s="1"/>
  <c r="I1105" i="1"/>
  <c r="J1105" i="1" s="1"/>
  <c r="I1073" i="1"/>
  <c r="J1073" i="1" s="1"/>
  <c r="I1057" i="1"/>
  <c r="J1057" i="1" s="1"/>
  <c r="I1041" i="1"/>
  <c r="J1041" i="1" s="1"/>
  <c r="I1025" i="1"/>
  <c r="J1025" i="1" s="1"/>
  <c r="I993" i="1"/>
  <c r="J993" i="1" s="1"/>
  <c r="I961" i="1"/>
  <c r="J961" i="1" s="1"/>
  <c r="I945" i="1"/>
  <c r="J945" i="1" s="1"/>
  <c r="I929" i="1"/>
  <c r="J929" i="1" s="1"/>
  <c r="I881" i="1"/>
  <c r="J881" i="1" s="1"/>
  <c r="I865" i="1"/>
  <c r="J865" i="1" s="1"/>
  <c r="I849" i="1"/>
  <c r="J849" i="1" s="1"/>
  <c r="I833" i="1"/>
  <c r="J833" i="1" s="1"/>
  <c r="I817" i="1"/>
  <c r="J817" i="1" s="1"/>
  <c r="I785" i="1"/>
  <c r="J785" i="1" s="1"/>
  <c r="I769" i="1"/>
  <c r="J769" i="1" s="1"/>
  <c r="I753" i="1"/>
  <c r="J753" i="1" s="1"/>
  <c r="I737" i="1"/>
  <c r="J737" i="1" s="1"/>
  <c r="I721" i="1"/>
  <c r="J721" i="1" s="1"/>
  <c r="I705" i="1"/>
  <c r="J705" i="1" s="1"/>
  <c r="I673" i="1"/>
  <c r="J673" i="1" s="1"/>
  <c r="I657" i="1"/>
  <c r="J657" i="1" s="1"/>
  <c r="I641" i="1"/>
  <c r="J641" i="1" s="1"/>
  <c r="I625" i="1"/>
  <c r="J625" i="1" s="1"/>
  <c r="I593" i="1"/>
  <c r="J593" i="1" s="1"/>
  <c r="I561" i="1"/>
  <c r="J561" i="1" s="1"/>
  <c r="I545" i="1"/>
  <c r="J545" i="1" s="1"/>
  <c r="I529" i="1"/>
  <c r="J529" i="1" s="1"/>
  <c r="I513" i="1"/>
  <c r="J513" i="1" s="1"/>
  <c r="I481" i="1"/>
  <c r="J481" i="1" s="1"/>
  <c r="I449" i="1"/>
  <c r="J449" i="1" s="1"/>
  <c r="I433" i="1"/>
  <c r="J433" i="1" s="1"/>
  <c r="I417" i="1"/>
  <c r="J417" i="1" s="1"/>
  <c r="I369" i="1"/>
  <c r="J369" i="1" s="1"/>
  <c r="I353" i="1"/>
  <c r="J353" i="1" s="1"/>
  <c r="I337" i="1"/>
  <c r="J337" i="1" s="1"/>
  <c r="I321" i="1"/>
  <c r="J321" i="1" s="1"/>
  <c r="I305" i="1"/>
  <c r="J305" i="1" s="1"/>
  <c r="I273" i="1"/>
  <c r="J273" i="1" s="1"/>
  <c r="I257" i="1"/>
  <c r="J257" i="1" s="1"/>
  <c r="I241" i="1"/>
  <c r="J241" i="1" s="1"/>
  <c r="I225" i="1"/>
  <c r="J225" i="1" s="1"/>
  <c r="I209" i="1"/>
  <c r="J209" i="1" s="1"/>
  <c r="I193" i="1"/>
  <c r="J193" i="1" s="1"/>
  <c r="I161" i="1"/>
  <c r="J161" i="1" s="1"/>
  <c r="I145" i="1"/>
  <c r="J145" i="1" s="1"/>
  <c r="I129" i="1"/>
  <c r="J129" i="1" s="1"/>
  <c r="I113" i="1"/>
  <c r="J113" i="1" s="1"/>
  <c r="I81" i="1"/>
  <c r="J81" i="1" s="1"/>
  <c r="I49" i="1"/>
  <c r="J49" i="1" s="1"/>
  <c r="I33" i="1"/>
  <c r="J33" i="1" s="1"/>
  <c r="I17" i="1"/>
  <c r="J17" i="1" s="1"/>
  <c r="R2305" i="1"/>
  <c r="S2305" i="1" s="1"/>
  <c r="R2273" i="1"/>
  <c r="S2273" i="1" s="1"/>
  <c r="R2257" i="1"/>
  <c r="S2257" i="1" s="1"/>
  <c r="R2241" i="1"/>
  <c r="S2241" i="1" s="1"/>
  <c r="R2225" i="1"/>
  <c r="S2225" i="1" s="1"/>
  <c r="R2209" i="1"/>
  <c r="S2209" i="1" s="1"/>
  <c r="R2193" i="1"/>
  <c r="S2193" i="1" s="1"/>
  <c r="R2177" i="1"/>
  <c r="S2177" i="1" s="1"/>
  <c r="R2161" i="1"/>
  <c r="S2161" i="1" s="1"/>
  <c r="R2145" i="1"/>
  <c r="S2145" i="1" s="1"/>
  <c r="R2129" i="1"/>
  <c r="S2129" i="1" s="1"/>
  <c r="R2113" i="1"/>
  <c r="S2113" i="1" s="1"/>
  <c r="R2097" i="1"/>
  <c r="S2097" i="1" s="1"/>
  <c r="R2081" i="1"/>
  <c r="S2081" i="1" s="1"/>
  <c r="R2065" i="1"/>
  <c r="S2065" i="1" s="1"/>
  <c r="R2049" i="1"/>
  <c r="S2049" i="1" s="1"/>
  <c r="R2033" i="1"/>
  <c r="S2033" i="1" s="1"/>
  <c r="R2017" i="1"/>
  <c r="S2017" i="1" s="1"/>
  <c r="R2001" i="1"/>
  <c r="S2001" i="1" s="1"/>
  <c r="R1985" i="1"/>
  <c r="S1985" i="1" s="1"/>
  <c r="R1969" i="1"/>
  <c r="S1969" i="1" s="1"/>
  <c r="R1953" i="1"/>
  <c r="S1953" i="1" s="1"/>
  <c r="R1937" i="1"/>
  <c r="S1937" i="1" s="1"/>
  <c r="R1921" i="1"/>
  <c r="S1921" i="1" s="1"/>
  <c r="R1905" i="1"/>
  <c r="S1905" i="1" s="1"/>
  <c r="R1889" i="1"/>
  <c r="S1889" i="1" s="1"/>
  <c r="R1873" i="1"/>
  <c r="S1873" i="1" s="1"/>
  <c r="R1857" i="1"/>
  <c r="S1857" i="1" s="1"/>
  <c r="R1841" i="1"/>
  <c r="S1841" i="1" s="1"/>
  <c r="R1825" i="1"/>
  <c r="S1825" i="1" s="1"/>
  <c r="R1809" i="1"/>
  <c r="S1809" i="1" s="1"/>
  <c r="R1793" i="1"/>
  <c r="S1793" i="1" s="1"/>
  <c r="R1777" i="1"/>
  <c r="S1777" i="1" s="1"/>
  <c r="R1761" i="1"/>
  <c r="S1761" i="1" s="1"/>
  <c r="R1745" i="1"/>
  <c r="S1745" i="1" s="1"/>
  <c r="R1729" i="1"/>
  <c r="S1729" i="1" s="1"/>
  <c r="R1713" i="1"/>
  <c r="S1713" i="1" s="1"/>
  <c r="R1697" i="1"/>
  <c r="S1697" i="1" s="1"/>
  <c r="R1681" i="1"/>
  <c r="S1681" i="1" s="1"/>
  <c r="R1665" i="1"/>
  <c r="S1665" i="1" s="1"/>
  <c r="R1649" i="1"/>
  <c r="S1649" i="1" s="1"/>
  <c r="R1617" i="1"/>
  <c r="S1617" i="1" s="1"/>
  <c r="R1601" i="1"/>
  <c r="S1601" i="1" s="1"/>
  <c r="R1585" i="1"/>
  <c r="S1585" i="1" s="1"/>
  <c r="R1569" i="1"/>
  <c r="S1569" i="1" s="1"/>
  <c r="R1553" i="1"/>
  <c r="S1553" i="1" s="1"/>
  <c r="R1537" i="1"/>
  <c r="S1537" i="1" s="1"/>
  <c r="R1521" i="1"/>
  <c r="S1521" i="1" s="1"/>
  <c r="R1505" i="1"/>
  <c r="S1505" i="1" s="1"/>
  <c r="R1489" i="1"/>
  <c r="S1489" i="1" s="1"/>
  <c r="R1473" i="1"/>
  <c r="S1473" i="1" s="1"/>
  <c r="R1457" i="1"/>
  <c r="S1457" i="1" s="1"/>
  <c r="R1441" i="1"/>
  <c r="S1441" i="1" s="1"/>
  <c r="R1425" i="1"/>
  <c r="S1425" i="1" s="1"/>
  <c r="R1409" i="1"/>
  <c r="S1409" i="1" s="1"/>
  <c r="R1393" i="1"/>
  <c r="S1393" i="1" s="1"/>
  <c r="R1377" i="1"/>
  <c r="S1377" i="1" s="1"/>
  <c r="R1361" i="1"/>
  <c r="S1361" i="1" s="1"/>
  <c r="R1345" i="1"/>
  <c r="S1345" i="1" s="1"/>
  <c r="R1329" i="1"/>
  <c r="S1329" i="1" s="1"/>
  <c r="R1313" i="1"/>
  <c r="S1313" i="1" s="1"/>
  <c r="R1297" i="1"/>
  <c r="S1297" i="1" s="1"/>
  <c r="R1281" i="1"/>
  <c r="S1281" i="1" s="1"/>
  <c r="R1265" i="1"/>
  <c r="S1265" i="1" s="1"/>
  <c r="R1249" i="1"/>
  <c r="S1249" i="1" s="1"/>
  <c r="R1233" i="1"/>
  <c r="S1233" i="1" s="1"/>
  <c r="R1217" i="1"/>
  <c r="S1217" i="1" s="1"/>
  <c r="R1201" i="1"/>
  <c r="S1201" i="1" s="1"/>
  <c r="R1185" i="1"/>
  <c r="S1185" i="1" s="1"/>
  <c r="R1169" i="1"/>
  <c r="S1169" i="1" s="1"/>
  <c r="R1153" i="1"/>
  <c r="S1153" i="1" s="1"/>
  <c r="R1137" i="1"/>
  <c r="S1137" i="1" s="1"/>
  <c r="R1121" i="1"/>
  <c r="S1121" i="1" s="1"/>
  <c r="R1105" i="1"/>
  <c r="S1105" i="1" s="1"/>
  <c r="R1089" i="1"/>
  <c r="S1089" i="1" s="1"/>
  <c r="R1073" i="1"/>
  <c r="S1073" i="1" s="1"/>
  <c r="R1057" i="1"/>
  <c r="S1057" i="1" s="1"/>
  <c r="R1041" i="1"/>
  <c r="S1041" i="1" s="1"/>
  <c r="R1025" i="1"/>
  <c r="S1025" i="1" s="1"/>
  <c r="R1009" i="1"/>
  <c r="S1009" i="1" s="1"/>
  <c r="R993" i="1"/>
  <c r="S993" i="1" s="1"/>
  <c r="R977" i="1"/>
  <c r="S977" i="1" s="1"/>
  <c r="R961" i="1"/>
  <c r="S961" i="1" s="1"/>
  <c r="R945" i="1"/>
  <c r="S945" i="1" s="1"/>
  <c r="R929" i="1"/>
  <c r="S929" i="1" s="1"/>
  <c r="R913" i="1"/>
  <c r="S913" i="1" s="1"/>
  <c r="R897" i="1"/>
  <c r="S897" i="1" s="1"/>
  <c r="R881" i="1"/>
  <c r="S881" i="1" s="1"/>
  <c r="R865" i="1"/>
  <c r="S865" i="1" s="1"/>
  <c r="R849" i="1"/>
  <c r="S849" i="1" s="1"/>
  <c r="R833" i="1"/>
  <c r="S833" i="1" s="1"/>
  <c r="R817" i="1"/>
  <c r="S817" i="1" s="1"/>
  <c r="R801" i="1"/>
  <c r="S801" i="1" s="1"/>
  <c r="R785" i="1"/>
  <c r="S785" i="1" s="1"/>
  <c r="R769" i="1"/>
  <c r="S769" i="1" s="1"/>
  <c r="R753" i="1"/>
  <c r="S753" i="1" s="1"/>
  <c r="R737" i="1"/>
  <c r="S737" i="1" s="1"/>
  <c r="R721" i="1"/>
  <c r="S721" i="1" s="1"/>
  <c r="R705" i="1"/>
  <c r="S705" i="1" s="1"/>
  <c r="R689" i="1"/>
  <c r="S689" i="1" s="1"/>
  <c r="R673" i="1"/>
  <c r="S673" i="1" s="1"/>
  <c r="R657" i="1"/>
  <c r="S657" i="1" s="1"/>
  <c r="R625" i="1"/>
  <c r="S625" i="1" s="1"/>
  <c r="R609" i="1"/>
  <c r="S609" i="1" s="1"/>
  <c r="R593" i="1"/>
  <c r="S593" i="1" s="1"/>
  <c r="R577" i="1"/>
  <c r="S577" i="1" s="1"/>
  <c r="R561" i="1"/>
  <c r="S561" i="1" s="1"/>
  <c r="R545" i="1"/>
  <c r="S545" i="1" s="1"/>
  <c r="R529" i="1"/>
  <c r="S529" i="1" s="1"/>
  <c r="R513" i="1"/>
  <c r="S513" i="1" s="1"/>
  <c r="R497" i="1"/>
  <c r="S497" i="1" s="1"/>
  <c r="R465" i="1"/>
  <c r="S465" i="1" s="1"/>
  <c r="R449" i="1"/>
  <c r="S449" i="1" s="1"/>
  <c r="R433" i="1"/>
  <c r="S433" i="1" s="1"/>
  <c r="R417" i="1"/>
  <c r="S417" i="1" s="1"/>
  <c r="R401" i="1"/>
  <c r="S401" i="1" s="1"/>
  <c r="R385" i="1"/>
  <c r="S385" i="1" s="1"/>
  <c r="R369" i="1"/>
  <c r="S369" i="1" s="1"/>
  <c r="R353" i="1"/>
  <c r="S353" i="1" s="1"/>
  <c r="R337" i="1"/>
  <c r="S337" i="1" s="1"/>
  <c r="R321" i="1"/>
  <c r="S321" i="1" s="1"/>
  <c r="R305" i="1"/>
  <c r="S305" i="1" s="1"/>
  <c r="R289" i="1"/>
  <c r="S289" i="1" s="1"/>
  <c r="R273" i="1"/>
  <c r="S273" i="1" s="1"/>
  <c r="R257" i="1"/>
  <c r="S257" i="1" s="1"/>
  <c r="R241" i="1"/>
  <c r="S241" i="1" s="1"/>
  <c r="R225" i="1"/>
  <c r="S225" i="1" s="1"/>
  <c r="R209" i="1"/>
  <c r="S209" i="1" s="1"/>
  <c r="R193" i="1"/>
  <c r="S193" i="1" s="1"/>
  <c r="R177" i="1"/>
  <c r="S177" i="1" s="1"/>
  <c r="R161" i="1"/>
  <c r="S161" i="1" s="1"/>
  <c r="R145" i="1"/>
  <c r="S145" i="1" s="1"/>
  <c r="R129" i="1"/>
  <c r="S129" i="1" s="1"/>
  <c r="R113" i="1"/>
  <c r="S113" i="1" s="1"/>
  <c r="R97" i="1"/>
  <c r="S97" i="1" s="1"/>
  <c r="R81" i="1"/>
  <c r="S81" i="1" s="1"/>
  <c r="R65" i="1"/>
  <c r="S65" i="1" s="1"/>
  <c r="R49" i="1"/>
  <c r="S49" i="1" s="1"/>
  <c r="R33" i="1"/>
  <c r="S33" i="1" s="1"/>
  <c r="R17" i="1"/>
  <c r="S17" i="1" s="1"/>
  <c r="I2142" i="1"/>
  <c r="J2142" i="1" s="1"/>
  <c r="I2078" i="1"/>
  <c r="J2078" i="1" s="1"/>
  <c r="I2030" i="1"/>
  <c r="J2030" i="1" s="1"/>
  <c r="I1966" i="1"/>
  <c r="J1966" i="1" s="1"/>
  <c r="I1630" i="1"/>
  <c r="J1630" i="1" s="1"/>
  <c r="I1566" i="1"/>
  <c r="J1566" i="1" s="1"/>
  <c r="I1518" i="1"/>
  <c r="J1518" i="1" s="1"/>
  <c r="I1454" i="1"/>
  <c r="J1454" i="1" s="1"/>
  <c r="I1118" i="1"/>
  <c r="J1118" i="1" s="1"/>
  <c r="I1054" i="1"/>
  <c r="J1054" i="1" s="1"/>
  <c r="I1006" i="1"/>
  <c r="J1006" i="1" s="1"/>
  <c r="I942" i="1"/>
  <c r="J942" i="1" s="1"/>
  <c r="I606" i="1"/>
  <c r="J606" i="1" s="1"/>
  <c r="I542" i="1"/>
  <c r="J542" i="1" s="1"/>
  <c r="I494" i="1"/>
  <c r="J494" i="1" s="1"/>
  <c r="I430" i="1"/>
  <c r="J430" i="1" s="1"/>
  <c r="I94" i="1"/>
  <c r="J94" i="1" s="1"/>
  <c r="I30" i="1"/>
  <c r="J30" i="1" s="1"/>
  <c r="R1038" i="1"/>
  <c r="S1038" i="1" s="1"/>
  <c r="R478" i="1"/>
  <c r="S478" i="1" s="1"/>
  <c r="I2302" i="1"/>
  <c r="J2302" i="1" s="1"/>
  <c r="I2270" i="1"/>
  <c r="J2270" i="1" s="1"/>
  <c r="I2254" i="1"/>
  <c r="J2254" i="1" s="1"/>
  <c r="I2238" i="1"/>
  <c r="J2238" i="1" s="1"/>
  <c r="I2206" i="1"/>
  <c r="J2206" i="1" s="1"/>
  <c r="I2190" i="1"/>
  <c r="J2190" i="1" s="1"/>
  <c r="I2174" i="1"/>
  <c r="J2174" i="1" s="1"/>
  <c r="I2158" i="1"/>
  <c r="J2158" i="1" s="1"/>
  <c r="I2126" i="1"/>
  <c r="J2126" i="1" s="1"/>
  <c r="I2110" i="1"/>
  <c r="J2110" i="1" s="1"/>
  <c r="I2094" i="1"/>
  <c r="J2094" i="1" s="1"/>
  <c r="I2062" i="1"/>
  <c r="J2062" i="1" s="1"/>
  <c r="I2046" i="1"/>
  <c r="J2046" i="1" s="1"/>
  <c r="I2014" i="1"/>
  <c r="J2014" i="1" s="1"/>
  <c r="I1998" i="1"/>
  <c r="J1998" i="1" s="1"/>
  <c r="I1982" i="1"/>
  <c r="J1982" i="1" s="1"/>
  <c r="I1950" i="1"/>
  <c r="J1950" i="1" s="1"/>
  <c r="I1934" i="1"/>
  <c r="J1934" i="1" s="1"/>
  <c r="I1918" i="1"/>
  <c r="J1918" i="1" s="1"/>
  <c r="I1902" i="1"/>
  <c r="J1902" i="1" s="1"/>
  <c r="I1870" i="1"/>
  <c r="J1870" i="1" s="1"/>
  <c r="I1854" i="1"/>
  <c r="J1854" i="1" s="1"/>
  <c r="I1838" i="1"/>
  <c r="J1838" i="1" s="1"/>
  <c r="I1806" i="1"/>
  <c r="J1806" i="1" s="1"/>
  <c r="I1790" i="1"/>
  <c r="J1790" i="1" s="1"/>
  <c r="I1758" i="1"/>
  <c r="J1758" i="1" s="1"/>
  <c r="I1742" i="1"/>
  <c r="J1742" i="1" s="1"/>
  <c r="I1726" i="1"/>
  <c r="J1726" i="1" s="1"/>
  <c r="I1694" i="1"/>
  <c r="J1694" i="1" s="1"/>
  <c r="I1678" i="1"/>
  <c r="J1678" i="1" s="1"/>
  <c r="I1662" i="1"/>
  <c r="J1662" i="1" s="1"/>
  <c r="I1646" i="1"/>
  <c r="J1646" i="1" s="1"/>
  <c r="I1614" i="1"/>
  <c r="J1614" i="1" s="1"/>
  <c r="I1598" i="1"/>
  <c r="J1598" i="1" s="1"/>
  <c r="I1582" i="1"/>
  <c r="J1582" i="1" s="1"/>
  <c r="I1550" i="1"/>
  <c r="J1550" i="1" s="1"/>
  <c r="I1534" i="1"/>
  <c r="J1534" i="1" s="1"/>
  <c r="I1502" i="1"/>
  <c r="J1502" i="1" s="1"/>
  <c r="I1486" i="1"/>
  <c r="J1486" i="1" s="1"/>
  <c r="I1470" i="1"/>
  <c r="J1470" i="1" s="1"/>
  <c r="I1438" i="1"/>
  <c r="J1438" i="1" s="1"/>
  <c r="I1422" i="1"/>
  <c r="J1422" i="1" s="1"/>
  <c r="I1406" i="1"/>
  <c r="J1406" i="1" s="1"/>
  <c r="I1390" i="1"/>
  <c r="J1390" i="1" s="1"/>
  <c r="I1358" i="1"/>
  <c r="J1358" i="1" s="1"/>
  <c r="I1342" i="1"/>
  <c r="J1342" i="1" s="1"/>
  <c r="I1326" i="1"/>
  <c r="J1326" i="1" s="1"/>
  <c r="I1294" i="1"/>
  <c r="J1294" i="1" s="1"/>
  <c r="I1278" i="1"/>
  <c r="J1278" i="1" s="1"/>
  <c r="I1246" i="1"/>
  <c r="J1246" i="1" s="1"/>
  <c r="I1230" i="1"/>
  <c r="J1230" i="1" s="1"/>
  <c r="I1214" i="1"/>
  <c r="J1214" i="1" s="1"/>
  <c r="I1182" i="1"/>
  <c r="J1182" i="1" s="1"/>
  <c r="I1166" i="1"/>
  <c r="J1166" i="1" s="1"/>
  <c r="I1150" i="1"/>
  <c r="J1150" i="1" s="1"/>
  <c r="I1134" i="1"/>
  <c r="J1134" i="1" s="1"/>
  <c r="I1102" i="1"/>
  <c r="J1102" i="1" s="1"/>
  <c r="I1086" i="1"/>
  <c r="J1086" i="1" s="1"/>
  <c r="I1070" i="1"/>
  <c r="J1070" i="1" s="1"/>
  <c r="I1038" i="1"/>
  <c r="J1038" i="1" s="1"/>
  <c r="I1022" i="1"/>
  <c r="J1022" i="1" s="1"/>
  <c r="I990" i="1"/>
  <c r="J990" i="1" s="1"/>
  <c r="I974" i="1"/>
  <c r="J974" i="1" s="1"/>
  <c r="I958" i="1"/>
  <c r="J958" i="1" s="1"/>
  <c r="I926" i="1"/>
  <c r="J926" i="1" s="1"/>
  <c r="I910" i="1"/>
  <c r="J910" i="1" s="1"/>
  <c r="I894" i="1"/>
  <c r="J894" i="1" s="1"/>
  <c r="I878" i="1"/>
  <c r="J878" i="1" s="1"/>
  <c r="I846" i="1"/>
  <c r="J846" i="1" s="1"/>
  <c r="I830" i="1"/>
  <c r="J830" i="1" s="1"/>
  <c r="I814" i="1"/>
  <c r="J814" i="1" s="1"/>
  <c r="I782" i="1"/>
  <c r="J782" i="1" s="1"/>
  <c r="I766" i="1"/>
  <c r="J766" i="1" s="1"/>
  <c r="I734" i="1"/>
  <c r="J734" i="1" s="1"/>
  <c r="I718" i="1"/>
  <c r="J718" i="1" s="1"/>
  <c r="I702" i="1"/>
  <c r="J702" i="1" s="1"/>
  <c r="I670" i="1"/>
  <c r="J670" i="1" s="1"/>
  <c r="I654" i="1"/>
  <c r="J654" i="1" s="1"/>
  <c r="I638" i="1"/>
  <c r="J638" i="1" s="1"/>
  <c r="I622" i="1"/>
  <c r="J622" i="1" s="1"/>
  <c r="I590" i="1"/>
  <c r="J590" i="1" s="1"/>
  <c r="I574" i="1"/>
  <c r="J574" i="1" s="1"/>
  <c r="I558" i="1"/>
  <c r="J558" i="1" s="1"/>
  <c r="I526" i="1"/>
  <c r="J526" i="1" s="1"/>
  <c r="I510" i="1"/>
  <c r="J510" i="1" s="1"/>
  <c r="I478" i="1"/>
  <c r="J478" i="1" s="1"/>
  <c r="I462" i="1"/>
  <c r="J462" i="1" s="1"/>
  <c r="I446" i="1"/>
  <c r="J446" i="1" s="1"/>
  <c r="I414" i="1"/>
  <c r="J414" i="1" s="1"/>
  <c r="I398" i="1"/>
  <c r="J398" i="1" s="1"/>
  <c r="I382" i="1"/>
  <c r="J382" i="1" s="1"/>
  <c r="I366" i="1"/>
  <c r="J366" i="1" s="1"/>
  <c r="I334" i="1"/>
  <c r="J334" i="1" s="1"/>
  <c r="I318" i="1"/>
  <c r="J318" i="1" s="1"/>
  <c r="I302" i="1"/>
  <c r="J302" i="1" s="1"/>
  <c r="I270" i="1"/>
  <c r="J270" i="1" s="1"/>
  <c r="I254" i="1"/>
  <c r="J254" i="1" s="1"/>
  <c r="I222" i="1"/>
  <c r="J222" i="1" s="1"/>
  <c r="I206" i="1"/>
  <c r="J206" i="1" s="1"/>
  <c r="I190" i="1"/>
  <c r="J190" i="1" s="1"/>
  <c r="I158" i="1"/>
  <c r="J158" i="1" s="1"/>
  <c r="I142" i="1"/>
  <c r="J142" i="1" s="1"/>
  <c r="I126" i="1"/>
  <c r="J126" i="1" s="1"/>
  <c r="I110" i="1"/>
  <c r="J110" i="1" s="1"/>
  <c r="I78" i="1"/>
  <c r="J78" i="1" s="1"/>
  <c r="I62" i="1"/>
  <c r="J62" i="1" s="1"/>
  <c r="I46" i="1"/>
  <c r="J46" i="1" s="1"/>
  <c r="I14" i="1"/>
  <c r="J14" i="1" s="1"/>
  <c r="R2302" i="1"/>
  <c r="S2302" i="1" s="1"/>
  <c r="R2286" i="1"/>
  <c r="S2286" i="1" s="1"/>
  <c r="R2270" i="1"/>
  <c r="S2270" i="1" s="1"/>
  <c r="R2254" i="1"/>
  <c r="S2254" i="1" s="1"/>
  <c r="R2238" i="1"/>
  <c r="S2238" i="1" s="1"/>
  <c r="R2222" i="1"/>
  <c r="S2222" i="1" s="1"/>
  <c r="R2206" i="1"/>
  <c r="S2206" i="1" s="1"/>
  <c r="R2190" i="1"/>
  <c r="S2190" i="1" s="1"/>
  <c r="R2174" i="1"/>
  <c r="S2174" i="1" s="1"/>
  <c r="R2158" i="1"/>
  <c r="S2158" i="1" s="1"/>
  <c r="R2126" i="1"/>
  <c r="S2126" i="1" s="1"/>
  <c r="R2110" i="1"/>
  <c r="S2110" i="1" s="1"/>
  <c r="R2094" i="1"/>
  <c r="S2094" i="1" s="1"/>
  <c r="R2078" i="1"/>
  <c r="S2078" i="1" s="1"/>
  <c r="R2062" i="1"/>
  <c r="S2062" i="1" s="1"/>
  <c r="R2046" i="1"/>
  <c r="S2046" i="1" s="1"/>
  <c r="R2030" i="1"/>
  <c r="S2030" i="1" s="1"/>
  <c r="R2014" i="1"/>
  <c r="S2014" i="1" s="1"/>
  <c r="R1998" i="1"/>
  <c r="S1998" i="1" s="1"/>
  <c r="R1982" i="1"/>
  <c r="S1982" i="1" s="1"/>
  <c r="R1966" i="1"/>
  <c r="S1966" i="1" s="1"/>
  <c r="R1950" i="1"/>
  <c r="S1950" i="1" s="1"/>
  <c r="R1934" i="1"/>
  <c r="S1934" i="1" s="1"/>
  <c r="R1918" i="1"/>
  <c r="S1918" i="1" s="1"/>
  <c r="R1902" i="1"/>
  <c r="S1902" i="1" s="1"/>
  <c r="R1886" i="1"/>
  <c r="S1886" i="1" s="1"/>
  <c r="R1870" i="1"/>
  <c r="S1870" i="1" s="1"/>
  <c r="R1854" i="1"/>
  <c r="S1854" i="1" s="1"/>
  <c r="R1838" i="1"/>
  <c r="S1838" i="1" s="1"/>
  <c r="R1822" i="1"/>
  <c r="S1822" i="1" s="1"/>
  <c r="R1806" i="1"/>
  <c r="S1806" i="1" s="1"/>
  <c r="R1790" i="1"/>
  <c r="S1790" i="1" s="1"/>
  <c r="R1774" i="1"/>
  <c r="S1774" i="1" s="1"/>
  <c r="R1758" i="1"/>
  <c r="S1758" i="1" s="1"/>
  <c r="R1742" i="1"/>
  <c r="S1742" i="1" s="1"/>
  <c r="R1710" i="1"/>
  <c r="S1710" i="1" s="1"/>
  <c r="R1694" i="1"/>
  <c r="S1694" i="1" s="1"/>
  <c r="R1678" i="1"/>
  <c r="S1678" i="1" s="1"/>
  <c r="R1662" i="1"/>
  <c r="S1662" i="1" s="1"/>
  <c r="R1646" i="1"/>
  <c r="S1646" i="1" s="1"/>
  <c r="R1614" i="1"/>
  <c r="S1614" i="1" s="1"/>
  <c r="R1598" i="1"/>
  <c r="S1598" i="1" s="1"/>
  <c r="R1582" i="1"/>
  <c r="S1582" i="1" s="1"/>
  <c r="R1566" i="1"/>
  <c r="S1566" i="1" s="1"/>
  <c r="R1550" i="1"/>
  <c r="S1550" i="1" s="1"/>
  <c r="R1534" i="1"/>
  <c r="S1534" i="1" s="1"/>
  <c r="R1518" i="1"/>
  <c r="S1518" i="1" s="1"/>
  <c r="R1502" i="1"/>
  <c r="S1502" i="1" s="1"/>
  <c r="R1486" i="1"/>
  <c r="S1486" i="1" s="1"/>
  <c r="R1470" i="1"/>
  <c r="S1470" i="1" s="1"/>
  <c r="R1454" i="1"/>
  <c r="S1454" i="1" s="1"/>
  <c r="R1438" i="1"/>
  <c r="S1438" i="1" s="1"/>
  <c r="R1422" i="1"/>
  <c r="S1422" i="1" s="1"/>
  <c r="R1406" i="1"/>
  <c r="S1406" i="1" s="1"/>
  <c r="R1390" i="1"/>
  <c r="S1390" i="1" s="1"/>
  <c r="R1374" i="1"/>
  <c r="S1374" i="1" s="1"/>
  <c r="R1358" i="1"/>
  <c r="S1358" i="1" s="1"/>
  <c r="R1342" i="1"/>
  <c r="S1342" i="1" s="1"/>
  <c r="R1326" i="1"/>
  <c r="S1326" i="1" s="1"/>
  <c r="R1310" i="1"/>
  <c r="S1310" i="1" s="1"/>
  <c r="R1294" i="1"/>
  <c r="S1294" i="1" s="1"/>
  <c r="R1278" i="1"/>
  <c r="S1278" i="1" s="1"/>
  <c r="R1262" i="1"/>
  <c r="S1262" i="1" s="1"/>
  <c r="R1246" i="1"/>
  <c r="S1246" i="1" s="1"/>
  <c r="R1230" i="1"/>
  <c r="S1230" i="1" s="1"/>
  <c r="R1214" i="1"/>
  <c r="S1214" i="1" s="1"/>
  <c r="R1198" i="1"/>
  <c r="S1198" i="1" s="1"/>
  <c r="R1182" i="1"/>
  <c r="S1182" i="1" s="1"/>
  <c r="R1166" i="1"/>
  <c r="S1166" i="1" s="1"/>
  <c r="R1150" i="1"/>
  <c r="S1150" i="1" s="1"/>
  <c r="R1134" i="1"/>
  <c r="S1134" i="1" s="1"/>
  <c r="R1118" i="1"/>
  <c r="S1118" i="1" s="1"/>
  <c r="R1102" i="1"/>
  <c r="S1102" i="1" s="1"/>
  <c r="R1086" i="1"/>
  <c r="S1086" i="1" s="1"/>
  <c r="R1070" i="1"/>
  <c r="S1070" i="1" s="1"/>
  <c r="R1054" i="1"/>
  <c r="S1054" i="1" s="1"/>
  <c r="R1022" i="1"/>
  <c r="S1022" i="1" s="1"/>
  <c r="R1006" i="1"/>
  <c r="S1006" i="1" s="1"/>
  <c r="R990" i="1"/>
  <c r="S990" i="1" s="1"/>
  <c r="R974" i="1"/>
  <c r="S974" i="1" s="1"/>
  <c r="R958" i="1"/>
  <c r="S958" i="1" s="1"/>
  <c r="R942" i="1"/>
  <c r="S942" i="1" s="1"/>
  <c r="R926" i="1"/>
  <c r="S926" i="1" s="1"/>
  <c r="R894" i="1"/>
  <c r="S894" i="1" s="1"/>
  <c r="R878" i="1"/>
  <c r="S878" i="1" s="1"/>
  <c r="R862" i="1"/>
  <c r="S862" i="1" s="1"/>
  <c r="R846" i="1"/>
  <c r="S846" i="1" s="1"/>
  <c r="R830" i="1"/>
  <c r="S830" i="1" s="1"/>
  <c r="R814" i="1"/>
  <c r="S814" i="1" s="1"/>
  <c r="R798" i="1"/>
  <c r="S798" i="1" s="1"/>
  <c r="R782" i="1"/>
  <c r="S782" i="1" s="1"/>
  <c r="R766" i="1"/>
  <c r="S766" i="1" s="1"/>
  <c r="R750" i="1"/>
  <c r="S750" i="1" s="1"/>
  <c r="R734" i="1"/>
  <c r="S734" i="1" s="1"/>
  <c r="R718" i="1"/>
  <c r="S718" i="1" s="1"/>
  <c r="R702" i="1"/>
  <c r="S702" i="1" s="1"/>
  <c r="R686" i="1"/>
  <c r="S686" i="1" s="1"/>
  <c r="R670" i="1"/>
  <c r="S670" i="1" s="1"/>
  <c r="R654" i="1"/>
  <c r="S654" i="1" s="1"/>
  <c r="R638" i="1"/>
  <c r="S638" i="1" s="1"/>
  <c r="R622" i="1"/>
  <c r="S622" i="1" s="1"/>
  <c r="R606" i="1"/>
  <c r="S606" i="1" s="1"/>
  <c r="R590" i="1"/>
  <c r="S590" i="1" s="1"/>
  <c r="R574" i="1"/>
  <c r="S574" i="1" s="1"/>
  <c r="R558" i="1"/>
  <c r="S558" i="1" s="1"/>
  <c r="R542" i="1"/>
  <c r="S542" i="1" s="1"/>
  <c r="R526" i="1"/>
  <c r="S526" i="1" s="1"/>
  <c r="R510" i="1"/>
  <c r="S510" i="1" s="1"/>
  <c r="R494" i="1"/>
  <c r="S494" i="1" s="1"/>
  <c r="R462" i="1"/>
  <c r="S462" i="1" s="1"/>
  <c r="R446" i="1"/>
  <c r="S446" i="1" s="1"/>
  <c r="R430" i="1"/>
  <c r="S430" i="1" s="1"/>
  <c r="R414" i="1"/>
  <c r="S414" i="1" s="1"/>
  <c r="R398" i="1"/>
  <c r="S398" i="1" s="1"/>
  <c r="R382" i="1"/>
  <c r="S382" i="1" s="1"/>
  <c r="R366" i="1"/>
  <c r="S366" i="1" s="1"/>
  <c r="R350" i="1"/>
  <c r="S350" i="1" s="1"/>
  <c r="R334" i="1"/>
  <c r="S334" i="1" s="1"/>
  <c r="R318" i="1"/>
  <c r="S318" i="1" s="1"/>
  <c r="R302" i="1"/>
  <c r="S302" i="1" s="1"/>
  <c r="R286" i="1"/>
  <c r="S286" i="1" s="1"/>
  <c r="R270" i="1"/>
  <c r="S270" i="1" s="1"/>
  <c r="R254" i="1"/>
  <c r="S254" i="1" s="1"/>
  <c r="R238" i="1"/>
  <c r="S238" i="1" s="1"/>
  <c r="R222" i="1"/>
  <c r="S222" i="1" s="1"/>
  <c r="R206" i="1"/>
  <c r="S206" i="1" s="1"/>
  <c r="R190" i="1"/>
  <c r="S190" i="1" s="1"/>
  <c r="R174" i="1"/>
  <c r="S174" i="1" s="1"/>
  <c r="R126" i="1"/>
  <c r="S126" i="1" s="1"/>
  <c r="R110" i="1"/>
  <c r="S110" i="1" s="1"/>
  <c r="R94" i="1"/>
  <c r="S94" i="1" s="1"/>
  <c r="R78" i="1"/>
  <c r="S78" i="1" s="1"/>
  <c r="R62" i="1"/>
  <c r="S62" i="1" s="1"/>
  <c r="R46" i="1"/>
  <c r="S46" i="1" s="1"/>
  <c r="R30" i="1"/>
  <c r="S30" i="1" s="1"/>
  <c r="R14" i="1"/>
  <c r="S14" i="1" s="1"/>
  <c r="I2300" i="1"/>
  <c r="J2300" i="1" s="1"/>
  <c r="I2268" i="1"/>
  <c r="J2268" i="1" s="1"/>
  <c r="I2236" i="1"/>
  <c r="J2236" i="1" s="1"/>
  <c r="I2156" i="1"/>
  <c r="J2156" i="1" s="1"/>
  <c r="I2124" i="1"/>
  <c r="J2124" i="1" s="1"/>
  <c r="I2044" i="1"/>
  <c r="J2044" i="1" s="1"/>
  <c r="I2012" i="1"/>
  <c r="J2012" i="1" s="1"/>
  <c r="I1980" i="1"/>
  <c r="J1980" i="1" s="1"/>
  <c r="I1900" i="1"/>
  <c r="J1900" i="1" s="1"/>
  <c r="I1868" i="1"/>
  <c r="J1868" i="1" s="1"/>
  <c r="I1788" i="1"/>
  <c r="J1788" i="1" s="1"/>
  <c r="I1756" i="1"/>
  <c r="J1756" i="1" s="1"/>
  <c r="I1724" i="1"/>
  <c r="J1724" i="1" s="1"/>
  <c r="I1644" i="1"/>
  <c r="J1644" i="1" s="1"/>
  <c r="I1612" i="1"/>
  <c r="J1612" i="1" s="1"/>
  <c r="I1532" i="1"/>
  <c r="J1532" i="1" s="1"/>
  <c r="I1500" i="1"/>
  <c r="J1500" i="1" s="1"/>
  <c r="I1468" i="1"/>
  <c r="J1468" i="1" s="1"/>
  <c r="I1388" i="1"/>
  <c r="J1388" i="1" s="1"/>
  <c r="I1356" i="1"/>
  <c r="J1356" i="1" s="1"/>
  <c r="I1276" i="1"/>
  <c r="J1276" i="1" s="1"/>
  <c r="I1244" i="1"/>
  <c r="J1244" i="1" s="1"/>
  <c r="I1212" i="1"/>
  <c r="J1212" i="1" s="1"/>
  <c r="I1132" i="1"/>
  <c r="J1132" i="1" s="1"/>
  <c r="I1100" i="1"/>
  <c r="J1100" i="1" s="1"/>
  <c r="I1020" i="1"/>
  <c r="J1020" i="1" s="1"/>
  <c r="I988" i="1"/>
  <c r="J988" i="1" s="1"/>
  <c r="I956" i="1"/>
  <c r="J956" i="1" s="1"/>
  <c r="I876" i="1"/>
  <c r="J876" i="1" s="1"/>
  <c r="I844" i="1"/>
  <c r="J844" i="1" s="1"/>
  <c r="I764" i="1"/>
  <c r="J764" i="1" s="1"/>
  <c r="I732" i="1"/>
  <c r="J732" i="1" s="1"/>
  <c r="I700" i="1"/>
  <c r="J700" i="1" s="1"/>
  <c r="I620" i="1"/>
  <c r="J620" i="1" s="1"/>
  <c r="I588" i="1"/>
  <c r="J588" i="1" s="1"/>
  <c r="I508" i="1"/>
  <c r="J508" i="1" s="1"/>
  <c r="I476" i="1"/>
  <c r="J476" i="1" s="1"/>
  <c r="I444" i="1"/>
  <c r="J444" i="1" s="1"/>
  <c r="I364" i="1"/>
  <c r="J364" i="1" s="1"/>
  <c r="I332" i="1"/>
  <c r="J332" i="1" s="1"/>
  <c r="I252" i="1"/>
  <c r="J252" i="1" s="1"/>
  <c r="I220" i="1"/>
  <c r="J220" i="1" s="1"/>
  <c r="I188" i="1"/>
  <c r="J188" i="1" s="1"/>
  <c r="I108" i="1"/>
  <c r="J108" i="1" s="1"/>
  <c r="I76" i="1"/>
  <c r="J76" i="1" s="1"/>
  <c r="R2300" i="1"/>
  <c r="S2300" i="1" s="1"/>
  <c r="R2284" i="1"/>
  <c r="S2284" i="1" s="1"/>
  <c r="R2268" i="1"/>
  <c r="S2268" i="1" s="1"/>
  <c r="R2252" i="1"/>
  <c r="S2252" i="1" s="1"/>
  <c r="R2220" i="1"/>
  <c r="S2220" i="1" s="1"/>
  <c r="R2204" i="1"/>
  <c r="S2204" i="1" s="1"/>
  <c r="R2188" i="1"/>
  <c r="S2188" i="1" s="1"/>
  <c r="R2172" i="1"/>
  <c r="S2172" i="1" s="1"/>
  <c r="R2156" i="1"/>
  <c r="S2156" i="1" s="1"/>
  <c r="R2140" i="1"/>
  <c r="S2140" i="1" s="1"/>
  <c r="R2124" i="1"/>
  <c r="S2124" i="1" s="1"/>
  <c r="R2108" i="1"/>
  <c r="S2108" i="1" s="1"/>
  <c r="R2092" i="1"/>
  <c r="S2092" i="1" s="1"/>
  <c r="R2076" i="1"/>
  <c r="S2076" i="1" s="1"/>
  <c r="R2060" i="1"/>
  <c r="S2060" i="1" s="1"/>
  <c r="R2044" i="1"/>
  <c r="S2044" i="1" s="1"/>
  <c r="R2028" i="1"/>
  <c r="S2028" i="1" s="1"/>
  <c r="R2012" i="1"/>
  <c r="S2012" i="1" s="1"/>
  <c r="R1996" i="1"/>
  <c r="S1996" i="1" s="1"/>
  <c r="R1980" i="1"/>
  <c r="S1980" i="1" s="1"/>
  <c r="R1964" i="1"/>
  <c r="S1964" i="1" s="1"/>
  <c r="R1948" i="1"/>
  <c r="S1948" i="1" s="1"/>
  <c r="R1932" i="1"/>
  <c r="S1932" i="1" s="1"/>
  <c r="R1916" i="1"/>
  <c r="S1916" i="1" s="1"/>
  <c r="R1900" i="1"/>
  <c r="S1900" i="1" s="1"/>
  <c r="R1884" i="1"/>
  <c r="S1884" i="1" s="1"/>
  <c r="R1868" i="1"/>
  <c r="S1868" i="1" s="1"/>
  <c r="R1852" i="1"/>
  <c r="S1852" i="1" s="1"/>
  <c r="R1836" i="1"/>
  <c r="S1836" i="1" s="1"/>
  <c r="R1820" i="1"/>
  <c r="S1820" i="1" s="1"/>
  <c r="R1804" i="1"/>
  <c r="S1804" i="1" s="1"/>
  <c r="R1772" i="1"/>
  <c r="S1772" i="1" s="1"/>
  <c r="R1756" i="1"/>
  <c r="S1756" i="1" s="1"/>
  <c r="R1724" i="1"/>
  <c r="S1724" i="1" s="1"/>
  <c r="R1692" i="1"/>
  <c r="S1692" i="1" s="1"/>
  <c r="R1676" i="1"/>
  <c r="S1676" i="1" s="1"/>
  <c r="R1660" i="1"/>
  <c r="S1660" i="1" s="1"/>
  <c r="R1644" i="1"/>
  <c r="S1644" i="1" s="1"/>
  <c r="R1628" i="1"/>
  <c r="S1628" i="1" s="1"/>
  <c r="R1612" i="1"/>
  <c r="S1612" i="1" s="1"/>
  <c r="R1596" i="1"/>
  <c r="S1596" i="1" s="1"/>
  <c r="R1580" i="1"/>
  <c r="S1580" i="1" s="1"/>
  <c r="R1564" i="1"/>
  <c r="S1564" i="1" s="1"/>
  <c r="R1548" i="1"/>
  <c r="S1548" i="1" s="1"/>
  <c r="R1532" i="1"/>
  <c r="S1532" i="1" s="1"/>
  <c r="R1516" i="1"/>
  <c r="S1516" i="1" s="1"/>
  <c r="R1500" i="1"/>
  <c r="S1500" i="1" s="1"/>
  <c r="R1484" i="1"/>
  <c r="S1484" i="1" s="1"/>
  <c r="R1452" i="1"/>
  <c r="S1452" i="1" s="1"/>
  <c r="R1436" i="1"/>
  <c r="S1436" i="1" s="1"/>
  <c r="R1420" i="1"/>
  <c r="S1420" i="1" s="1"/>
  <c r="R1404" i="1"/>
  <c r="S1404" i="1" s="1"/>
  <c r="R1388" i="1"/>
  <c r="S1388" i="1" s="1"/>
  <c r="R1372" i="1"/>
  <c r="S1372" i="1" s="1"/>
  <c r="R1356" i="1"/>
  <c r="S1356" i="1" s="1"/>
  <c r="R1340" i="1"/>
  <c r="S1340" i="1" s="1"/>
  <c r="R1324" i="1"/>
  <c r="S1324" i="1" s="1"/>
  <c r="R1308" i="1"/>
  <c r="S1308" i="1" s="1"/>
  <c r="R1292" i="1"/>
  <c r="S1292" i="1" s="1"/>
  <c r="R1276" i="1"/>
  <c r="S1276" i="1" s="1"/>
  <c r="R1244" i="1"/>
  <c r="S1244" i="1" s="1"/>
  <c r="R1228" i="1"/>
  <c r="S1228" i="1" s="1"/>
  <c r="R1212" i="1"/>
  <c r="S1212" i="1" s="1"/>
  <c r="R1196" i="1"/>
  <c r="S1196" i="1" s="1"/>
  <c r="R1180" i="1"/>
  <c r="S1180" i="1" s="1"/>
  <c r="R1164" i="1"/>
  <c r="S1164" i="1" s="1"/>
  <c r="R1148" i="1"/>
  <c r="S1148" i="1" s="1"/>
  <c r="R1132" i="1"/>
  <c r="S1132" i="1" s="1"/>
  <c r="R1116" i="1"/>
  <c r="S1116" i="1" s="1"/>
  <c r="R1100" i="1"/>
  <c r="S1100" i="1" s="1"/>
  <c r="R1084" i="1"/>
  <c r="S1084" i="1" s="1"/>
  <c r="R1068" i="1"/>
  <c r="S1068" i="1" s="1"/>
  <c r="R1052" i="1"/>
  <c r="S1052" i="1" s="1"/>
  <c r="R1036" i="1"/>
  <c r="S1036" i="1" s="1"/>
  <c r="R1020" i="1"/>
  <c r="S1020" i="1" s="1"/>
  <c r="R1004" i="1"/>
  <c r="S1004" i="1" s="1"/>
  <c r="R988" i="1"/>
  <c r="S988" i="1" s="1"/>
  <c r="R972" i="1"/>
  <c r="S972" i="1" s="1"/>
  <c r="R956" i="1"/>
  <c r="S956" i="1" s="1"/>
  <c r="R940" i="1"/>
  <c r="S940" i="1" s="1"/>
  <c r="R924" i="1"/>
  <c r="S924" i="1" s="1"/>
  <c r="R908" i="1"/>
  <c r="S908" i="1" s="1"/>
  <c r="R892" i="1"/>
  <c r="S892" i="1" s="1"/>
  <c r="R876" i="1"/>
  <c r="S876" i="1" s="1"/>
  <c r="R860" i="1"/>
  <c r="S860" i="1" s="1"/>
  <c r="R844" i="1"/>
  <c r="S844" i="1" s="1"/>
  <c r="R828" i="1"/>
  <c r="S828" i="1" s="1"/>
  <c r="R812" i="1"/>
  <c r="S812" i="1" s="1"/>
  <c r="R796" i="1"/>
  <c r="S796" i="1" s="1"/>
  <c r="R780" i="1"/>
  <c r="S780" i="1" s="1"/>
  <c r="R764" i="1"/>
  <c r="S764" i="1" s="1"/>
  <c r="R748" i="1"/>
  <c r="S748" i="1" s="1"/>
  <c r="R732" i="1"/>
  <c r="S732" i="1" s="1"/>
  <c r="R716" i="1"/>
  <c r="S716" i="1" s="1"/>
  <c r="R700" i="1"/>
  <c r="S700" i="1" s="1"/>
  <c r="R684" i="1"/>
  <c r="S684" i="1" s="1"/>
  <c r="R668" i="1"/>
  <c r="S668" i="1" s="1"/>
  <c r="R652" i="1"/>
  <c r="S652" i="1" s="1"/>
  <c r="R636" i="1"/>
  <c r="S636" i="1" s="1"/>
  <c r="R620" i="1"/>
  <c r="S620" i="1" s="1"/>
  <c r="R604" i="1"/>
  <c r="S604" i="1" s="1"/>
  <c r="R588" i="1"/>
  <c r="S588" i="1" s="1"/>
  <c r="R572" i="1"/>
  <c r="S572" i="1" s="1"/>
  <c r="R556" i="1"/>
  <c r="S556" i="1" s="1"/>
  <c r="R540" i="1"/>
  <c r="S540" i="1" s="1"/>
  <c r="R524" i="1"/>
  <c r="S524" i="1" s="1"/>
  <c r="R508" i="1"/>
  <c r="S508" i="1" s="1"/>
  <c r="R492" i="1"/>
  <c r="S492" i="1" s="1"/>
  <c r="R476" i="1"/>
  <c r="S476" i="1" s="1"/>
  <c r="R460" i="1"/>
  <c r="S460" i="1" s="1"/>
  <c r="R444" i="1"/>
  <c r="S444" i="1" s="1"/>
  <c r="R428" i="1"/>
  <c r="S428" i="1" s="1"/>
  <c r="R412" i="1"/>
  <c r="S412" i="1" s="1"/>
  <c r="R396" i="1"/>
  <c r="S396" i="1" s="1"/>
  <c r="R380" i="1"/>
  <c r="S380" i="1" s="1"/>
  <c r="R364" i="1"/>
  <c r="S364" i="1" s="1"/>
  <c r="R348" i="1"/>
  <c r="S348" i="1" s="1"/>
  <c r="R332" i="1"/>
  <c r="S332" i="1" s="1"/>
  <c r="R316" i="1"/>
  <c r="S316" i="1" s="1"/>
  <c r="R300" i="1"/>
  <c r="S300" i="1" s="1"/>
  <c r="R284" i="1"/>
  <c r="S284" i="1" s="1"/>
  <c r="R268" i="1"/>
  <c r="S268" i="1" s="1"/>
  <c r="R252" i="1"/>
  <c r="S252" i="1" s="1"/>
  <c r="R236" i="1"/>
  <c r="S236" i="1" s="1"/>
  <c r="R220" i="1"/>
  <c r="S220" i="1" s="1"/>
  <c r="R204" i="1"/>
  <c r="S204" i="1" s="1"/>
  <c r="R188" i="1"/>
  <c r="S188" i="1" s="1"/>
  <c r="R172" i="1"/>
  <c r="S172" i="1" s="1"/>
  <c r="R156" i="1"/>
  <c r="S156" i="1" s="1"/>
  <c r="R140" i="1"/>
  <c r="S140" i="1" s="1"/>
  <c r="R124" i="1"/>
  <c r="S124" i="1" s="1"/>
  <c r="R108" i="1"/>
  <c r="S108" i="1" s="1"/>
  <c r="R92" i="1"/>
  <c r="S92" i="1" s="1"/>
  <c r="R76" i="1"/>
  <c r="S76" i="1" s="1"/>
  <c r="R60" i="1"/>
  <c r="S60" i="1" s="1"/>
  <c r="R44" i="1"/>
  <c r="S44" i="1" s="1"/>
  <c r="R28" i="1"/>
  <c r="S28" i="1" s="1"/>
  <c r="R12" i="1"/>
  <c r="S12" i="1" s="1"/>
  <c r="I2219" i="1"/>
  <c r="J2219" i="1" s="1"/>
  <c r="I2203" i="1"/>
  <c r="J2203" i="1" s="1"/>
  <c r="I2187" i="1"/>
  <c r="J2187" i="1" s="1"/>
  <c r="I2171" i="1"/>
  <c r="J2171" i="1" s="1"/>
  <c r="I2155" i="1"/>
  <c r="J2155" i="1" s="1"/>
  <c r="I2139" i="1"/>
  <c r="J2139" i="1" s="1"/>
  <c r="I2123" i="1"/>
  <c r="J2123" i="1" s="1"/>
  <c r="I2107" i="1"/>
  <c r="J2107" i="1" s="1"/>
  <c r="I2091" i="1"/>
  <c r="J2091" i="1" s="1"/>
  <c r="I2075" i="1"/>
  <c r="J2075" i="1" s="1"/>
  <c r="I2059" i="1"/>
  <c r="J2059" i="1" s="1"/>
  <c r="I2043" i="1"/>
  <c r="J2043" i="1" s="1"/>
  <c r="I2027" i="1"/>
  <c r="J2027" i="1" s="1"/>
  <c r="I2011" i="1"/>
  <c r="J2011" i="1" s="1"/>
  <c r="I1995" i="1"/>
  <c r="J1995" i="1" s="1"/>
  <c r="I1979" i="1"/>
  <c r="J1979" i="1" s="1"/>
  <c r="I1963" i="1"/>
  <c r="J1963" i="1" s="1"/>
  <c r="I1947" i="1"/>
  <c r="J1947" i="1" s="1"/>
  <c r="I1931" i="1"/>
  <c r="J1931" i="1" s="1"/>
  <c r="I1915" i="1"/>
  <c r="J1915" i="1" s="1"/>
  <c r="I1899" i="1"/>
  <c r="J1899" i="1" s="1"/>
  <c r="I1883" i="1"/>
  <c r="J1883" i="1" s="1"/>
  <c r="I1867" i="1"/>
  <c r="J1867" i="1" s="1"/>
  <c r="I1851" i="1"/>
  <c r="J1851" i="1" s="1"/>
  <c r="I1835" i="1"/>
  <c r="J1835" i="1" s="1"/>
  <c r="I1819" i="1"/>
  <c r="J1819" i="1" s="1"/>
  <c r="I1803" i="1"/>
  <c r="J1803" i="1" s="1"/>
  <c r="I1787" i="1"/>
  <c r="J1787" i="1" s="1"/>
  <c r="I1771" i="1"/>
  <c r="J1771" i="1" s="1"/>
  <c r="I1755" i="1"/>
  <c r="J1755" i="1" s="1"/>
  <c r="I1739" i="1"/>
  <c r="J1739" i="1" s="1"/>
  <c r="I1723" i="1"/>
  <c r="J1723" i="1" s="1"/>
  <c r="I1707" i="1"/>
  <c r="J1707" i="1" s="1"/>
  <c r="I1691" i="1"/>
  <c r="J1691" i="1" s="1"/>
  <c r="I1675" i="1"/>
  <c r="J1675" i="1" s="1"/>
  <c r="I1659" i="1"/>
  <c r="J1659" i="1" s="1"/>
  <c r="I1643" i="1"/>
  <c r="J1643" i="1" s="1"/>
  <c r="I1627" i="1"/>
  <c r="J1627" i="1" s="1"/>
  <c r="I1611" i="1"/>
  <c r="J1611" i="1" s="1"/>
  <c r="I1595" i="1"/>
  <c r="J1595" i="1" s="1"/>
  <c r="I1579" i="1"/>
  <c r="J1579" i="1" s="1"/>
  <c r="I1563" i="1"/>
  <c r="J1563" i="1" s="1"/>
  <c r="I1547" i="1"/>
  <c r="J1547" i="1" s="1"/>
  <c r="I1531" i="1"/>
  <c r="J1531" i="1" s="1"/>
  <c r="I1515" i="1"/>
  <c r="J1515" i="1" s="1"/>
  <c r="I1499" i="1"/>
  <c r="J1499" i="1" s="1"/>
  <c r="I1483" i="1"/>
  <c r="J1483" i="1" s="1"/>
  <c r="I1467" i="1"/>
  <c r="J1467" i="1" s="1"/>
  <c r="I1451" i="1"/>
  <c r="J1451" i="1" s="1"/>
  <c r="I1435" i="1"/>
  <c r="J1435" i="1" s="1"/>
  <c r="I1419" i="1"/>
  <c r="J1419" i="1" s="1"/>
  <c r="I1403" i="1"/>
  <c r="J1403" i="1" s="1"/>
  <c r="I1387" i="1"/>
  <c r="J1387" i="1" s="1"/>
  <c r="I1371" i="1"/>
  <c r="J1371" i="1" s="1"/>
  <c r="I1355" i="1"/>
  <c r="J1355" i="1" s="1"/>
  <c r="I1339" i="1"/>
  <c r="J1339" i="1" s="1"/>
  <c r="I1323" i="1"/>
  <c r="J1323" i="1" s="1"/>
  <c r="I1307" i="1"/>
  <c r="J1307" i="1" s="1"/>
  <c r="I1291" i="1"/>
  <c r="J1291" i="1" s="1"/>
  <c r="I1275" i="1"/>
  <c r="J1275" i="1" s="1"/>
  <c r="I1259" i="1"/>
  <c r="J1259" i="1" s="1"/>
  <c r="I1243" i="1"/>
  <c r="J1243" i="1" s="1"/>
  <c r="I1227" i="1"/>
  <c r="J1227" i="1" s="1"/>
  <c r="I1211" i="1"/>
  <c r="J1211" i="1" s="1"/>
  <c r="I1195" i="1"/>
  <c r="J1195" i="1" s="1"/>
  <c r="I1179" i="1"/>
  <c r="J1179" i="1" s="1"/>
  <c r="I1163" i="1"/>
  <c r="J1163" i="1" s="1"/>
  <c r="I1147" i="1"/>
  <c r="J1147" i="1" s="1"/>
  <c r="I1131" i="1"/>
  <c r="J1131" i="1" s="1"/>
  <c r="I1115" i="1"/>
  <c r="J1115" i="1" s="1"/>
  <c r="I1099" i="1"/>
  <c r="J1099" i="1" s="1"/>
  <c r="I1083" i="1"/>
  <c r="J1083" i="1" s="1"/>
  <c r="I1067" i="1"/>
  <c r="J1067" i="1" s="1"/>
  <c r="I1051" i="1"/>
  <c r="J1051" i="1" s="1"/>
  <c r="I1035" i="1"/>
  <c r="J1035" i="1" s="1"/>
  <c r="I1019" i="1"/>
  <c r="J1019" i="1" s="1"/>
  <c r="I1003" i="1"/>
  <c r="J1003" i="1" s="1"/>
  <c r="I987" i="1"/>
  <c r="J987" i="1" s="1"/>
  <c r="I971" i="1"/>
  <c r="J971" i="1" s="1"/>
  <c r="I955" i="1"/>
  <c r="J955" i="1" s="1"/>
  <c r="I939" i="1"/>
  <c r="J939" i="1" s="1"/>
  <c r="I923" i="1"/>
  <c r="J923" i="1" s="1"/>
  <c r="I907" i="1"/>
  <c r="J907" i="1" s="1"/>
  <c r="I891" i="1"/>
  <c r="J891" i="1" s="1"/>
  <c r="I875" i="1"/>
  <c r="J875" i="1" s="1"/>
  <c r="I859" i="1"/>
  <c r="J859" i="1" s="1"/>
  <c r="I843" i="1"/>
  <c r="J843" i="1" s="1"/>
  <c r="I827" i="1"/>
  <c r="J827" i="1" s="1"/>
  <c r="I811" i="1"/>
  <c r="J811" i="1" s="1"/>
  <c r="I795" i="1"/>
  <c r="J795" i="1" s="1"/>
  <c r="I779" i="1"/>
  <c r="J779" i="1" s="1"/>
  <c r="I763" i="1"/>
  <c r="J763" i="1" s="1"/>
  <c r="I747" i="1"/>
  <c r="J747" i="1" s="1"/>
  <c r="I731" i="1"/>
  <c r="J731" i="1" s="1"/>
  <c r="I715" i="1"/>
  <c r="J715" i="1" s="1"/>
  <c r="I699" i="1"/>
  <c r="J699" i="1" s="1"/>
  <c r="I683" i="1"/>
  <c r="J683" i="1" s="1"/>
  <c r="I667" i="1"/>
  <c r="J667" i="1" s="1"/>
  <c r="I651" i="1"/>
  <c r="J651" i="1" s="1"/>
  <c r="I635" i="1"/>
  <c r="J635" i="1" s="1"/>
  <c r="I619" i="1"/>
  <c r="J619" i="1" s="1"/>
  <c r="I603" i="1"/>
  <c r="J603" i="1" s="1"/>
  <c r="I587" i="1"/>
  <c r="J587" i="1" s="1"/>
  <c r="I571" i="1"/>
  <c r="J571" i="1" s="1"/>
  <c r="I555" i="1"/>
  <c r="J555" i="1" s="1"/>
  <c r="I539" i="1"/>
  <c r="J539" i="1" s="1"/>
  <c r="I523" i="1"/>
  <c r="J523" i="1" s="1"/>
  <c r="I507" i="1"/>
  <c r="J507" i="1" s="1"/>
  <c r="I491" i="1"/>
  <c r="J491" i="1" s="1"/>
  <c r="I475" i="1"/>
  <c r="J475" i="1" s="1"/>
  <c r="I459" i="1"/>
  <c r="J459" i="1" s="1"/>
  <c r="I443" i="1"/>
  <c r="J443" i="1" s="1"/>
  <c r="I427" i="1"/>
  <c r="J427" i="1" s="1"/>
  <c r="I411" i="1"/>
  <c r="J411" i="1" s="1"/>
  <c r="I395" i="1"/>
  <c r="J395" i="1" s="1"/>
  <c r="I379" i="1"/>
  <c r="J379" i="1" s="1"/>
  <c r="I363" i="1"/>
  <c r="J363" i="1" s="1"/>
  <c r="I347" i="1"/>
  <c r="J347" i="1" s="1"/>
  <c r="I331" i="1"/>
  <c r="J331" i="1" s="1"/>
  <c r="I315" i="1"/>
  <c r="J315" i="1" s="1"/>
  <c r="I299" i="1"/>
  <c r="J299" i="1" s="1"/>
  <c r="I283" i="1"/>
  <c r="J283" i="1" s="1"/>
  <c r="I267" i="1"/>
  <c r="J267" i="1" s="1"/>
  <c r="I251" i="1"/>
  <c r="J251" i="1" s="1"/>
  <c r="I235" i="1"/>
  <c r="J235" i="1" s="1"/>
  <c r="I219" i="1"/>
  <c r="J219" i="1" s="1"/>
  <c r="I203" i="1"/>
  <c r="J203" i="1" s="1"/>
  <c r="I187" i="1"/>
  <c r="J187" i="1" s="1"/>
  <c r="I171" i="1"/>
  <c r="J171" i="1" s="1"/>
  <c r="I155" i="1"/>
  <c r="J155" i="1" s="1"/>
  <c r="I139" i="1"/>
  <c r="J139" i="1" s="1"/>
  <c r="I123" i="1"/>
  <c r="J123" i="1" s="1"/>
  <c r="I107" i="1"/>
  <c r="J107" i="1" s="1"/>
  <c r="I91" i="1"/>
  <c r="J91" i="1" s="1"/>
  <c r="I75" i="1"/>
  <c r="J75" i="1" s="1"/>
  <c r="I59" i="1"/>
  <c r="J59" i="1" s="1"/>
  <c r="I43" i="1"/>
  <c r="J43" i="1" s="1"/>
  <c r="I27" i="1"/>
  <c r="J27" i="1" s="1"/>
  <c r="I11" i="1"/>
  <c r="J11" i="1" s="1"/>
  <c r="R2299" i="1"/>
  <c r="S2299" i="1" s="1"/>
  <c r="R2283" i="1"/>
  <c r="S2283" i="1" s="1"/>
  <c r="R2267" i="1"/>
  <c r="S2267" i="1" s="1"/>
  <c r="R2251" i="1"/>
  <c r="S2251" i="1" s="1"/>
  <c r="R2235" i="1"/>
  <c r="S2235" i="1" s="1"/>
  <c r="R2219" i="1"/>
  <c r="S2219" i="1" s="1"/>
  <c r="R2203" i="1"/>
  <c r="S2203" i="1" s="1"/>
  <c r="R2187" i="1"/>
  <c r="S2187" i="1" s="1"/>
  <c r="R2171" i="1"/>
  <c r="S2171" i="1" s="1"/>
  <c r="R2155" i="1"/>
  <c r="S2155" i="1" s="1"/>
  <c r="R2139" i="1"/>
  <c r="S2139" i="1" s="1"/>
  <c r="R2123" i="1"/>
  <c r="S2123" i="1" s="1"/>
  <c r="R2091" i="1"/>
  <c r="S2091" i="1" s="1"/>
  <c r="R2075" i="1"/>
  <c r="S2075" i="1" s="1"/>
  <c r="R2059" i="1"/>
  <c r="S2059" i="1" s="1"/>
  <c r="R2011" i="1"/>
  <c r="S2011" i="1" s="1"/>
  <c r="R1995" i="1"/>
  <c r="S1995" i="1" s="1"/>
  <c r="R1979" i="1"/>
  <c r="S1979" i="1" s="1"/>
  <c r="R1963" i="1"/>
  <c r="S1963" i="1" s="1"/>
  <c r="R1947" i="1"/>
  <c r="S1947" i="1" s="1"/>
  <c r="R1915" i="1"/>
  <c r="S1915" i="1" s="1"/>
  <c r="R1899" i="1"/>
  <c r="S1899" i="1" s="1"/>
  <c r="R1883" i="1"/>
  <c r="S1883" i="1" s="1"/>
  <c r="R1867" i="1"/>
  <c r="S1867" i="1" s="1"/>
  <c r="R1851" i="1"/>
  <c r="S1851" i="1" s="1"/>
  <c r="R1835" i="1"/>
  <c r="S1835" i="1" s="1"/>
  <c r="R1819" i="1"/>
  <c r="S1819" i="1" s="1"/>
  <c r="R1803" i="1"/>
  <c r="S1803" i="1" s="1"/>
  <c r="R1787" i="1"/>
  <c r="S1787" i="1" s="1"/>
  <c r="R1771" i="1"/>
  <c r="S1771" i="1" s="1"/>
  <c r="R1755" i="1"/>
  <c r="S1755" i="1" s="1"/>
  <c r="R1739" i="1"/>
  <c r="S1739" i="1" s="1"/>
  <c r="R1723" i="1"/>
  <c r="S1723" i="1" s="1"/>
  <c r="R1707" i="1"/>
  <c r="S1707" i="1" s="1"/>
  <c r="R1691" i="1"/>
  <c r="S1691" i="1" s="1"/>
  <c r="R1675" i="1"/>
  <c r="S1675" i="1" s="1"/>
  <c r="R1659" i="1"/>
  <c r="S1659" i="1" s="1"/>
  <c r="R1643" i="1"/>
  <c r="S1643" i="1" s="1"/>
  <c r="R1627" i="1"/>
  <c r="S1627" i="1" s="1"/>
  <c r="R1611" i="1"/>
  <c r="S1611" i="1" s="1"/>
  <c r="R1595" i="1"/>
  <c r="S1595" i="1" s="1"/>
  <c r="R1579" i="1"/>
  <c r="S1579" i="1" s="1"/>
  <c r="R1563" i="1"/>
  <c r="S1563" i="1" s="1"/>
  <c r="R1547" i="1"/>
  <c r="S1547" i="1" s="1"/>
  <c r="R1531" i="1"/>
  <c r="S1531" i="1" s="1"/>
  <c r="R1515" i="1"/>
  <c r="S1515" i="1" s="1"/>
  <c r="R1499" i="1"/>
  <c r="S1499" i="1" s="1"/>
  <c r="R1483" i="1"/>
  <c r="S1483" i="1" s="1"/>
  <c r="R1467" i="1"/>
  <c r="S1467" i="1" s="1"/>
  <c r="R1451" i="1"/>
  <c r="S1451" i="1" s="1"/>
  <c r="R1435" i="1"/>
  <c r="S1435" i="1" s="1"/>
  <c r="R1419" i="1"/>
  <c r="S1419" i="1" s="1"/>
  <c r="R1403" i="1"/>
  <c r="S1403" i="1" s="1"/>
  <c r="R1387" i="1"/>
  <c r="S1387" i="1" s="1"/>
  <c r="R1371" i="1"/>
  <c r="S1371" i="1" s="1"/>
  <c r="R1355" i="1"/>
  <c r="S1355" i="1" s="1"/>
  <c r="R1339" i="1"/>
  <c r="S1339" i="1" s="1"/>
  <c r="R1323" i="1"/>
  <c r="S1323" i="1" s="1"/>
  <c r="R1307" i="1"/>
  <c r="S1307" i="1" s="1"/>
  <c r="R1291" i="1"/>
  <c r="S1291" i="1" s="1"/>
  <c r="R1275" i="1"/>
  <c r="S1275" i="1" s="1"/>
  <c r="R1259" i="1"/>
  <c r="S1259" i="1" s="1"/>
  <c r="R1243" i="1"/>
  <c r="S1243" i="1" s="1"/>
  <c r="R1227" i="1"/>
  <c r="S1227" i="1" s="1"/>
  <c r="R1211" i="1"/>
  <c r="S1211" i="1" s="1"/>
  <c r="R1195" i="1"/>
  <c r="S1195" i="1" s="1"/>
  <c r="R1179" i="1"/>
  <c r="S1179" i="1" s="1"/>
  <c r="R1163" i="1"/>
  <c r="S1163" i="1" s="1"/>
  <c r="R1147" i="1"/>
  <c r="S1147" i="1" s="1"/>
  <c r="R1131" i="1"/>
  <c r="S1131" i="1" s="1"/>
  <c r="R1115" i="1"/>
  <c r="S1115" i="1" s="1"/>
  <c r="R1099" i="1"/>
  <c r="S1099" i="1" s="1"/>
  <c r="R1083" i="1"/>
  <c r="S1083" i="1" s="1"/>
  <c r="R1067" i="1"/>
  <c r="S1067" i="1" s="1"/>
  <c r="R1051" i="1"/>
  <c r="S1051" i="1" s="1"/>
  <c r="R1035" i="1"/>
  <c r="S1035" i="1" s="1"/>
  <c r="R1019" i="1"/>
  <c r="S1019" i="1" s="1"/>
  <c r="R1003" i="1"/>
  <c r="S1003" i="1" s="1"/>
  <c r="R987" i="1"/>
  <c r="S987" i="1" s="1"/>
  <c r="R971" i="1"/>
  <c r="S971" i="1" s="1"/>
  <c r="R955" i="1"/>
  <c r="S955" i="1" s="1"/>
  <c r="R939" i="1"/>
  <c r="S939" i="1" s="1"/>
  <c r="R923" i="1"/>
  <c r="S923" i="1" s="1"/>
  <c r="R907" i="1"/>
  <c r="S907" i="1" s="1"/>
  <c r="R891" i="1"/>
  <c r="S891" i="1" s="1"/>
  <c r="R875" i="1"/>
  <c r="S875" i="1" s="1"/>
  <c r="R859" i="1"/>
  <c r="S859" i="1" s="1"/>
  <c r="R843" i="1"/>
  <c r="S843" i="1" s="1"/>
  <c r="R827" i="1"/>
  <c r="S827" i="1" s="1"/>
  <c r="R811" i="1"/>
  <c r="S811" i="1" s="1"/>
  <c r="R795" i="1"/>
  <c r="S795" i="1" s="1"/>
  <c r="R779" i="1"/>
  <c r="S779" i="1" s="1"/>
  <c r="R763" i="1"/>
  <c r="S763" i="1" s="1"/>
  <c r="R747" i="1"/>
  <c r="S747" i="1" s="1"/>
  <c r="R731" i="1"/>
  <c r="S731" i="1" s="1"/>
  <c r="R715" i="1"/>
  <c r="S715" i="1" s="1"/>
  <c r="R699" i="1"/>
  <c r="S699" i="1" s="1"/>
  <c r="R683" i="1"/>
  <c r="S683" i="1" s="1"/>
  <c r="R667" i="1"/>
  <c r="S667" i="1" s="1"/>
  <c r="R651" i="1"/>
  <c r="S651" i="1" s="1"/>
  <c r="R635" i="1"/>
  <c r="S635" i="1" s="1"/>
  <c r="R619" i="1"/>
  <c r="S619" i="1" s="1"/>
  <c r="R603" i="1"/>
  <c r="S603" i="1" s="1"/>
  <c r="R587" i="1"/>
  <c r="S587" i="1" s="1"/>
  <c r="R571" i="1"/>
  <c r="S571" i="1" s="1"/>
  <c r="R555" i="1"/>
  <c r="S555" i="1" s="1"/>
  <c r="R539" i="1"/>
  <c r="S539" i="1" s="1"/>
  <c r="R523" i="1"/>
  <c r="S523" i="1" s="1"/>
  <c r="R507" i="1"/>
  <c r="S507" i="1" s="1"/>
  <c r="R491" i="1"/>
  <c r="S491" i="1" s="1"/>
  <c r="R475" i="1"/>
  <c r="S475" i="1" s="1"/>
  <c r="R459" i="1"/>
  <c r="S459" i="1" s="1"/>
  <c r="R443" i="1"/>
  <c r="S443" i="1" s="1"/>
  <c r="R427" i="1"/>
  <c r="S427" i="1" s="1"/>
  <c r="R411" i="1"/>
  <c r="S411" i="1" s="1"/>
  <c r="R395" i="1"/>
  <c r="S395" i="1" s="1"/>
  <c r="R379" i="1"/>
  <c r="S379" i="1" s="1"/>
  <c r="R363" i="1"/>
  <c r="S363" i="1" s="1"/>
  <c r="R347" i="1"/>
  <c r="S347" i="1" s="1"/>
  <c r="R331" i="1"/>
  <c r="S331" i="1" s="1"/>
  <c r="R315" i="1"/>
  <c r="S315" i="1" s="1"/>
  <c r="R299" i="1"/>
  <c r="S299" i="1" s="1"/>
  <c r="R283" i="1"/>
  <c r="S283" i="1" s="1"/>
  <c r="R267" i="1"/>
  <c r="S267" i="1" s="1"/>
  <c r="R251" i="1"/>
  <c r="S251" i="1" s="1"/>
  <c r="R235" i="1"/>
  <c r="S235" i="1" s="1"/>
  <c r="R219" i="1"/>
  <c r="S219" i="1" s="1"/>
  <c r="R203" i="1"/>
  <c r="S203" i="1" s="1"/>
  <c r="R187" i="1"/>
  <c r="S187" i="1" s="1"/>
  <c r="R171" i="1"/>
  <c r="S171" i="1" s="1"/>
  <c r="R155" i="1"/>
  <c r="S155" i="1" s="1"/>
  <c r="R139" i="1"/>
  <c r="S139" i="1" s="1"/>
  <c r="R123" i="1"/>
  <c r="S123" i="1" s="1"/>
  <c r="R107" i="1"/>
  <c r="S107" i="1" s="1"/>
  <c r="R91" i="1"/>
  <c r="S91" i="1" s="1"/>
  <c r="R75" i="1"/>
  <c r="S75" i="1" s="1"/>
  <c r="R59" i="1"/>
  <c r="S59" i="1" s="1"/>
  <c r="R43" i="1"/>
  <c r="S43" i="1" s="1"/>
  <c r="R27" i="1"/>
  <c r="S27" i="1" s="1"/>
  <c r="R11" i="1"/>
  <c r="S11" i="1" s="1"/>
  <c r="I2298" i="1"/>
  <c r="J2298" i="1" s="1"/>
  <c r="I2282" i="1"/>
  <c r="J2282" i="1" s="1"/>
  <c r="I2266" i="1"/>
  <c r="J2266" i="1" s="1"/>
  <c r="I2250" i="1"/>
  <c r="J2250" i="1" s="1"/>
  <c r="I2234" i="1"/>
  <c r="J2234" i="1" s="1"/>
  <c r="I2218" i="1"/>
  <c r="J2218" i="1" s="1"/>
  <c r="I2202" i="1"/>
  <c r="J2202" i="1" s="1"/>
  <c r="I2186" i="1"/>
  <c r="J2186" i="1" s="1"/>
  <c r="I2170" i="1"/>
  <c r="J2170" i="1" s="1"/>
  <c r="I2154" i="1"/>
  <c r="J2154" i="1" s="1"/>
  <c r="I2138" i="1"/>
  <c r="J2138" i="1" s="1"/>
  <c r="I2122" i="1"/>
  <c r="J2122" i="1" s="1"/>
  <c r="I2106" i="1"/>
  <c r="J2106" i="1" s="1"/>
  <c r="I2090" i="1"/>
  <c r="J2090" i="1" s="1"/>
  <c r="I2074" i="1"/>
  <c r="J2074" i="1" s="1"/>
  <c r="I2058" i="1"/>
  <c r="J2058" i="1" s="1"/>
  <c r="I2042" i="1"/>
  <c r="J2042" i="1" s="1"/>
  <c r="I2026" i="1"/>
  <c r="J2026" i="1" s="1"/>
  <c r="I2010" i="1"/>
  <c r="J2010" i="1" s="1"/>
  <c r="I1994" i="1"/>
  <c r="J1994" i="1" s="1"/>
  <c r="I1978" i="1"/>
  <c r="J1978" i="1" s="1"/>
  <c r="I1962" i="1"/>
  <c r="J1962" i="1" s="1"/>
  <c r="I1946" i="1"/>
  <c r="J1946" i="1" s="1"/>
  <c r="I1930" i="1"/>
  <c r="J1930" i="1" s="1"/>
  <c r="I1914" i="1"/>
  <c r="J1914" i="1" s="1"/>
  <c r="I1898" i="1"/>
  <c r="J1898" i="1" s="1"/>
  <c r="I1882" i="1"/>
  <c r="J1882" i="1" s="1"/>
  <c r="I1866" i="1"/>
  <c r="J1866" i="1" s="1"/>
  <c r="I1850" i="1"/>
  <c r="J1850" i="1" s="1"/>
  <c r="I1834" i="1"/>
  <c r="J1834" i="1" s="1"/>
  <c r="I1818" i="1"/>
  <c r="J1818" i="1" s="1"/>
  <c r="I1802" i="1"/>
  <c r="J1802" i="1" s="1"/>
  <c r="I1786" i="1"/>
  <c r="J1786" i="1" s="1"/>
  <c r="I1770" i="1"/>
  <c r="J1770" i="1" s="1"/>
  <c r="I1754" i="1"/>
  <c r="J1754" i="1" s="1"/>
  <c r="I1738" i="1"/>
  <c r="J1738" i="1" s="1"/>
  <c r="I1722" i="1"/>
  <c r="J1722" i="1" s="1"/>
  <c r="I1706" i="1"/>
  <c r="J1706" i="1" s="1"/>
  <c r="I1690" i="1"/>
  <c r="J1690" i="1" s="1"/>
  <c r="I1674" i="1"/>
  <c r="J1674" i="1" s="1"/>
  <c r="I1658" i="1"/>
  <c r="J1658" i="1" s="1"/>
  <c r="I1642" i="1"/>
  <c r="J1642" i="1" s="1"/>
  <c r="I1626" i="1"/>
  <c r="J1626" i="1" s="1"/>
  <c r="I1610" i="1"/>
  <c r="J1610" i="1" s="1"/>
  <c r="I1594" i="1"/>
  <c r="J1594" i="1" s="1"/>
  <c r="I1578" i="1"/>
  <c r="J1578" i="1" s="1"/>
  <c r="I1562" i="1"/>
  <c r="J1562" i="1" s="1"/>
  <c r="I1546" i="1"/>
  <c r="J1546" i="1" s="1"/>
  <c r="I1530" i="1"/>
  <c r="J1530" i="1" s="1"/>
  <c r="I1514" i="1"/>
  <c r="J1514" i="1" s="1"/>
  <c r="I1498" i="1"/>
  <c r="J1498" i="1" s="1"/>
  <c r="I1482" i="1"/>
  <c r="J1482" i="1" s="1"/>
  <c r="I1466" i="1"/>
  <c r="J1466" i="1" s="1"/>
  <c r="I1450" i="1"/>
  <c r="J1450" i="1" s="1"/>
  <c r="I1434" i="1"/>
  <c r="J1434" i="1" s="1"/>
  <c r="I1418" i="1"/>
  <c r="J1418" i="1" s="1"/>
  <c r="I1402" i="1"/>
  <c r="J1402" i="1" s="1"/>
  <c r="I1386" i="1"/>
  <c r="J1386" i="1" s="1"/>
  <c r="I1370" i="1"/>
  <c r="J1370" i="1" s="1"/>
  <c r="I1354" i="1"/>
  <c r="J1354" i="1" s="1"/>
  <c r="I1338" i="1"/>
  <c r="J1338" i="1" s="1"/>
  <c r="I1322" i="1"/>
  <c r="J1322" i="1" s="1"/>
  <c r="I1306" i="1"/>
  <c r="J1306" i="1" s="1"/>
  <c r="I1290" i="1"/>
  <c r="J1290" i="1" s="1"/>
  <c r="I1274" i="1"/>
  <c r="J1274" i="1" s="1"/>
  <c r="I1258" i="1"/>
  <c r="J1258" i="1" s="1"/>
  <c r="I1242" i="1"/>
  <c r="J1242" i="1" s="1"/>
  <c r="I1226" i="1"/>
  <c r="J1226" i="1" s="1"/>
  <c r="I1210" i="1"/>
  <c r="J1210" i="1" s="1"/>
  <c r="I1194" i="1"/>
  <c r="J1194" i="1" s="1"/>
  <c r="I1178" i="1"/>
  <c r="J1178" i="1" s="1"/>
  <c r="I1162" i="1"/>
  <c r="J1162" i="1" s="1"/>
  <c r="I1146" i="1"/>
  <c r="J1146" i="1" s="1"/>
  <c r="I1130" i="1"/>
  <c r="J1130" i="1" s="1"/>
  <c r="I1114" i="1"/>
  <c r="J1114" i="1" s="1"/>
  <c r="I1098" i="1"/>
  <c r="J1098" i="1" s="1"/>
  <c r="I1082" i="1"/>
  <c r="J1082" i="1" s="1"/>
  <c r="I1066" i="1"/>
  <c r="J1066" i="1" s="1"/>
  <c r="I1050" i="1"/>
  <c r="J1050" i="1" s="1"/>
  <c r="I1034" i="1"/>
  <c r="J1034" i="1" s="1"/>
  <c r="I1018" i="1"/>
  <c r="J1018" i="1" s="1"/>
  <c r="I1002" i="1"/>
  <c r="J1002" i="1" s="1"/>
  <c r="I986" i="1"/>
  <c r="J986" i="1" s="1"/>
  <c r="I970" i="1"/>
  <c r="J970" i="1" s="1"/>
  <c r="I954" i="1"/>
  <c r="J954" i="1" s="1"/>
  <c r="I938" i="1"/>
  <c r="J938" i="1" s="1"/>
  <c r="I922" i="1"/>
  <c r="J922" i="1" s="1"/>
  <c r="I906" i="1"/>
  <c r="J906" i="1" s="1"/>
  <c r="I890" i="1"/>
  <c r="J890" i="1" s="1"/>
  <c r="I874" i="1"/>
  <c r="J874" i="1" s="1"/>
  <c r="I858" i="1"/>
  <c r="J858" i="1" s="1"/>
  <c r="I842" i="1"/>
  <c r="J842" i="1" s="1"/>
  <c r="I826" i="1"/>
  <c r="J826" i="1" s="1"/>
  <c r="I810" i="1"/>
  <c r="J810" i="1" s="1"/>
  <c r="I794" i="1"/>
  <c r="J794" i="1" s="1"/>
  <c r="I778" i="1"/>
  <c r="J778" i="1" s="1"/>
  <c r="I762" i="1"/>
  <c r="J762" i="1" s="1"/>
  <c r="I746" i="1"/>
  <c r="J746" i="1" s="1"/>
  <c r="I730" i="1"/>
  <c r="J730" i="1" s="1"/>
  <c r="I714" i="1"/>
  <c r="J714" i="1" s="1"/>
  <c r="I698" i="1"/>
  <c r="J698" i="1" s="1"/>
  <c r="I682" i="1"/>
  <c r="J682" i="1" s="1"/>
  <c r="I666" i="1"/>
  <c r="J666" i="1" s="1"/>
  <c r="I650" i="1"/>
  <c r="J650" i="1" s="1"/>
  <c r="I634" i="1"/>
  <c r="J634" i="1" s="1"/>
  <c r="I618" i="1"/>
  <c r="J618" i="1" s="1"/>
  <c r="I602" i="1"/>
  <c r="J602" i="1" s="1"/>
  <c r="I586" i="1"/>
  <c r="J586" i="1" s="1"/>
  <c r="I570" i="1"/>
  <c r="J570" i="1" s="1"/>
  <c r="I554" i="1"/>
  <c r="J554" i="1" s="1"/>
  <c r="I538" i="1"/>
  <c r="J538" i="1" s="1"/>
  <c r="I522" i="1"/>
  <c r="J522" i="1" s="1"/>
  <c r="I506" i="1"/>
  <c r="J506" i="1" s="1"/>
  <c r="I490" i="1"/>
  <c r="J490" i="1" s="1"/>
  <c r="I474" i="1"/>
  <c r="J474" i="1" s="1"/>
  <c r="I458" i="1"/>
  <c r="J458" i="1" s="1"/>
  <c r="I442" i="1"/>
  <c r="J442" i="1" s="1"/>
  <c r="I426" i="1"/>
  <c r="J426" i="1" s="1"/>
  <c r="I410" i="1"/>
  <c r="J410" i="1" s="1"/>
  <c r="I394" i="1"/>
  <c r="J394" i="1" s="1"/>
  <c r="I378" i="1"/>
  <c r="J378" i="1" s="1"/>
  <c r="I362" i="1"/>
  <c r="J362" i="1" s="1"/>
  <c r="I346" i="1"/>
  <c r="J346" i="1" s="1"/>
  <c r="I330" i="1"/>
  <c r="J330" i="1" s="1"/>
  <c r="I314" i="1"/>
  <c r="J314" i="1" s="1"/>
  <c r="I298" i="1"/>
  <c r="J298" i="1" s="1"/>
  <c r="I282" i="1"/>
  <c r="J282" i="1" s="1"/>
  <c r="I266" i="1"/>
  <c r="J266" i="1" s="1"/>
  <c r="I250" i="1"/>
  <c r="J250" i="1" s="1"/>
  <c r="I234" i="1"/>
  <c r="J234" i="1" s="1"/>
  <c r="I218" i="1"/>
  <c r="J218" i="1" s="1"/>
  <c r="I202" i="1"/>
  <c r="J202" i="1" s="1"/>
  <c r="I186" i="1"/>
  <c r="J186" i="1" s="1"/>
  <c r="I170" i="1"/>
  <c r="J170" i="1" s="1"/>
  <c r="I154" i="1"/>
  <c r="J154" i="1" s="1"/>
  <c r="I138" i="1"/>
  <c r="J138" i="1" s="1"/>
  <c r="I122" i="1"/>
  <c r="J122" i="1" s="1"/>
  <c r="I106" i="1"/>
  <c r="J106" i="1" s="1"/>
  <c r="I90" i="1"/>
  <c r="J90" i="1" s="1"/>
  <c r="I74" i="1"/>
  <c r="J74" i="1" s="1"/>
  <c r="I58" i="1"/>
  <c r="J58" i="1" s="1"/>
  <c r="I42" i="1"/>
  <c r="J42" i="1" s="1"/>
  <c r="I26" i="1"/>
  <c r="J26" i="1" s="1"/>
  <c r="I10" i="1"/>
  <c r="J10" i="1" s="1"/>
  <c r="R2298" i="1"/>
  <c r="S2298" i="1" s="1"/>
  <c r="R2282" i="1"/>
  <c r="S2282" i="1" s="1"/>
  <c r="R2266" i="1"/>
  <c r="S2266" i="1" s="1"/>
  <c r="R2250" i="1"/>
  <c r="S2250" i="1" s="1"/>
  <c r="R2218" i="1"/>
  <c r="S2218" i="1" s="1"/>
  <c r="R2202" i="1"/>
  <c r="S2202" i="1" s="1"/>
  <c r="R2186" i="1"/>
  <c r="S2186" i="1" s="1"/>
  <c r="R2170" i="1"/>
  <c r="S2170" i="1" s="1"/>
  <c r="R2154" i="1"/>
  <c r="S2154" i="1" s="1"/>
  <c r="R2122" i="1"/>
  <c r="S2122" i="1" s="1"/>
  <c r="R2106" i="1"/>
  <c r="S2106" i="1" s="1"/>
  <c r="R2090" i="1"/>
  <c r="S2090" i="1" s="1"/>
  <c r="R2074" i="1"/>
  <c r="S2074" i="1" s="1"/>
  <c r="R2058" i="1"/>
  <c r="S2058" i="1" s="1"/>
  <c r="R2026" i="1"/>
  <c r="S2026" i="1" s="1"/>
  <c r="R2010" i="1"/>
  <c r="S2010" i="1" s="1"/>
  <c r="R1994" i="1"/>
  <c r="S1994" i="1" s="1"/>
  <c r="R1978" i="1"/>
  <c r="S1978" i="1" s="1"/>
  <c r="R1962" i="1"/>
  <c r="S1962" i="1" s="1"/>
  <c r="R1946" i="1"/>
  <c r="S1946" i="1" s="1"/>
  <c r="R1930" i="1"/>
  <c r="S1930" i="1" s="1"/>
  <c r="R1914" i="1"/>
  <c r="S1914" i="1" s="1"/>
  <c r="R1898" i="1"/>
  <c r="S1898" i="1" s="1"/>
  <c r="R1882" i="1"/>
  <c r="S1882" i="1" s="1"/>
  <c r="R1866" i="1"/>
  <c r="S1866" i="1" s="1"/>
  <c r="R1850" i="1"/>
  <c r="S1850" i="1" s="1"/>
  <c r="R1834" i="1"/>
  <c r="S1834" i="1" s="1"/>
  <c r="R1818" i="1"/>
  <c r="S1818" i="1" s="1"/>
  <c r="R1802" i="1"/>
  <c r="S1802" i="1" s="1"/>
  <c r="R1786" i="1"/>
  <c r="S1786" i="1" s="1"/>
  <c r="R1770" i="1"/>
  <c r="S1770" i="1" s="1"/>
  <c r="R1754" i="1"/>
  <c r="S1754" i="1" s="1"/>
  <c r="R1738" i="1"/>
  <c r="S1738" i="1" s="1"/>
  <c r="R1722" i="1"/>
  <c r="S1722" i="1" s="1"/>
  <c r="R1706" i="1"/>
  <c r="S1706" i="1" s="1"/>
  <c r="R1690" i="1"/>
  <c r="S1690" i="1" s="1"/>
  <c r="R1674" i="1"/>
  <c r="S1674" i="1" s="1"/>
  <c r="R1658" i="1"/>
  <c r="S1658" i="1" s="1"/>
  <c r="R1642" i="1"/>
  <c r="S1642" i="1" s="1"/>
  <c r="R1626" i="1"/>
  <c r="S1626" i="1" s="1"/>
  <c r="R1610" i="1"/>
  <c r="S1610" i="1" s="1"/>
  <c r="R1594" i="1"/>
  <c r="S1594" i="1" s="1"/>
  <c r="R1562" i="1"/>
  <c r="S1562" i="1" s="1"/>
  <c r="R1546" i="1"/>
  <c r="S1546" i="1" s="1"/>
  <c r="R1530" i="1"/>
  <c r="S1530" i="1" s="1"/>
  <c r="R1514" i="1"/>
  <c r="S1514" i="1" s="1"/>
  <c r="R1498" i="1"/>
  <c r="S1498" i="1" s="1"/>
  <c r="R1482" i="1"/>
  <c r="S1482" i="1" s="1"/>
  <c r="R1466" i="1"/>
  <c r="S1466" i="1" s="1"/>
  <c r="R1450" i="1"/>
  <c r="S1450" i="1" s="1"/>
  <c r="R1434" i="1"/>
  <c r="S1434" i="1" s="1"/>
  <c r="R1402" i="1"/>
  <c r="S1402" i="1" s="1"/>
  <c r="R1386" i="1"/>
  <c r="S1386" i="1" s="1"/>
  <c r="R1370" i="1"/>
  <c r="S1370" i="1" s="1"/>
  <c r="R1354" i="1"/>
  <c r="S1354" i="1" s="1"/>
  <c r="R1338" i="1"/>
  <c r="S1338" i="1" s="1"/>
  <c r="R1322" i="1"/>
  <c r="S1322" i="1" s="1"/>
  <c r="R1306" i="1"/>
  <c r="S1306" i="1" s="1"/>
  <c r="R1290" i="1"/>
  <c r="S1290" i="1" s="1"/>
  <c r="R1274" i="1"/>
  <c r="S1274" i="1" s="1"/>
  <c r="R1258" i="1"/>
  <c r="S1258" i="1" s="1"/>
  <c r="R1242" i="1"/>
  <c r="S1242" i="1" s="1"/>
  <c r="R1226" i="1"/>
  <c r="S1226" i="1" s="1"/>
  <c r="R1210" i="1"/>
  <c r="S1210" i="1" s="1"/>
  <c r="R1194" i="1"/>
  <c r="S1194" i="1" s="1"/>
  <c r="R1178" i="1"/>
  <c r="S1178" i="1" s="1"/>
  <c r="R1146" i="1"/>
  <c r="S1146" i="1" s="1"/>
  <c r="R1130" i="1"/>
  <c r="S1130" i="1" s="1"/>
  <c r="R1114" i="1"/>
  <c r="S1114" i="1" s="1"/>
  <c r="R1098" i="1"/>
  <c r="S1098" i="1" s="1"/>
  <c r="R1082" i="1"/>
  <c r="S1082" i="1" s="1"/>
  <c r="R1066" i="1"/>
  <c r="S1066" i="1" s="1"/>
  <c r="R1034" i="1"/>
  <c r="S1034" i="1" s="1"/>
  <c r="R1018" i="1"/>
  <c r="S1018" i="1" s="1"/>
  <c r="R1002" i="1"/>
  <c r="S1002" i="1" s="1"/>
  <c r="R986" i="1"/>
  <c r="S986" i="1" s="1"/>
  <c r="R970" i="1"/>
  <c r="S970" i="1" s="1"/>
  <c r="R954" i="1"/>
  <c r="S954" i="1" s="1"/>
  <c r="R938" i="1"/>
  <c r="S938" i="1" s="1"/>
  <c r="R922" i="1"/>
  <c r="S922" i="1" s="1"/>
  <c r="R906" i="1"/>
  <c r="S906" i="1" s="1"/>
  <c r="R890" i="1"/>
  <c r="S890" i="1" s="1"/>
  <c r="R874" i="1"/>
  <c r="S874" i="1" s="1"/>
  <c r="R858" i="1"/>
  <c r="S858" i="1" s="1"/>
  <c r="R842" i="1"/>
  <c r="S842" i="1" s="1"/>
  <c r="R826" i="1"/>
  <c r="S826" i="1" s="1"/>
  <c r="R810" i="1"/>
  <c r="S810" i="1" s="1"/>
  <c r="R794" i="1"/>
  <c r="S794" i="1" s="1"/>
  <c r="R762" i="1"/>
  <c r="S762" i="1" s="1"/>
  <c r="R746" i="1"/>
  <c r="S746" i="1" s="1"/>
  <c r="R714" i="1"/>
  <c r="S714" i="1" s="1"/>
  <c r="R698" i="1"/>
  <c r="S698" i="1" s="1"/>
  <c r="R682" i="1"/>
  <c r="S682" i="1" s="1"/>
  <c r="R666" i="1"/>
  <c r="S666" i="1" s="1"/>
  <c r="R650" i="1"/>
  <c r="S650" i="1" s="1"/>
  <c r="R618" i="1"/>
  <c r="S618" i="1" s="1"/>
  <c r="R602" i="1"/>
  <c r="S602" i="1" s="1"/>
  <c r="R586" i="1"/>
  <c r="S586" i="1" s="1"/>
  <c r="R570" i="1"/>
  <c r="S570" i="1" s="1"/>
  <c r="R554" i="1"/>
  <c r="S554" i="1" s="1"/>
  <c r="R538" i="1"/>
  <c r="S538" i="1" s="1"/>
  <c r="R522" i="1"/>
  <c r="S522" i="1" s="1"/>
  <c r="R506" i="1"/>
  <c r="S506" i="1" s="1"/>
  <c r="R490" i="1"/>
  <c r="S490" i="1" s="1"/>
  <c r="R474" i="1"/>
  <c r="S474" i="1" s="1"/>
  <c r="R458" i="1"/>
  <c r="S458" i="1" s="1"/>
  <c r="R442" i="1"/>
  <c r="S442" i="1" s="1"/>
  <c r="R426" i="1"/>
  <c r="S426" i="1" s="1"/>
  <c r="R410" i="1"/>
  <c r="S410" i="1" s="1"/>
  <c r="R394" i="1"/>
  <c r="S394" i="1" s="1"/>
  <c r="R378" i="1"/>
  <c r="S378" i="1" s="1"/>
  <c r="R362" i="1"/>
  <c r="S362" i="1" s="1"/>
  <c r="R346" i="1"/>
  <c r="S346" i="1" s="1"/>
  <c r="R330" i="1"/>
  <c r="S330" i="1" s="1"/>
  <c r="R314" i="1"/>
  <c r="S314" i="1" s="1"/>
  <c r="R298" i="1"/>
  <c r="S298" i="1" s="1"/>
  <c r="R282" i="1"/>
  <c r="S282" i="1" s="1"/>
  <c r="R266" i="1"/>
  <c r="S266" i="1" s="1"/>
  <c r="R250" i="1"/>
  <c r="S250" i="1" s="1"/>
  <c r="R234" i="1"/>
  <c r="S234" i="1" s="1"/>
  <c r="R218" i="1"/>
  <c r="S218" i="1" s="1"/>
  <c r="R202" i="1"/>
  <c r="S202" i="1" s="1"/>
  <c r="R186" i="1"/>
  <c r="S186" i="1" s="1"/>
  <c r="R170" i="1"/>
  <c r="S170" i="1" s="1"/>
  <c r="R154" i="1"/>
  <c r="S154" i="1" s="1"/>
  <c r="R138" i="1"/>
  <c r="S138" i="1" s="1"/>
  <c r="R122" i="1"/>
  <c r="S122" i="1" s="1"/>
  <c r="R106" i="1"/>
  <c r="S106" i="1" s="1"/>
  <c r="R90" i="1"/>
  <c r="S90" i="1" s="1"/>
  <c r="R74" i="1"/>
  <c r="S74" i="1" s="1"/>
  <c r="R58" i="1"/>
  <c r="S58" i="1" s="1"/>
  <c r="R42" i="1"/>
  <c r="S42" i="1" s="1"/>
  <c r="R26" i="1"/>
  <c r="S26" i="1" s="1"/>
  <c r="R10" i="1"/>
  <c r="S10" i="1" s="1"/>
  <c r="I2295" i="1"/>
  <c r="J2295" i="1" s="1"/>
  <c r="I2231" i="1"/>
  <c r="J2231" i="1" s="1"/>
  <c r="I2167" i="1"/>
  <c r="J2167" i="1" s="1"/>
  <c r="I2103" i="1"/>
  <c r="J2103" i="1" s="1"/>
  <c r="I2039" i="1"/>
  <c r="J2039" i="1" s="1"/>
  <c r="I1975" i="1"/>
  <c r="J1975" i="1" s="1"/>
  <c r="I1911" i="1"/>
  <c r="J1911" i="1" s="1"/>
  <c r="I1847" i="1"/>
  <c r="J1847" i="1" s="1"/>
  <c r="I1783" i="1"/>
  <c r="J1783" i="1" s="1"/>
  <c r="I1719" i="1"/>
  <c r="J1719" i="1" s="1"/>
  <c r="I1655" i="1"/>
  <c r="J1655" i="1" s="1"/>
  <c r="I1591" i="1"/>
  <c r="J1591" i="1" s="1"/>
  <c r="I1527" i="1"/>
  <c r="J1527" i="1" s="1"/>
  <c r="I1463" i="1"/>
  <c r="J1463" i="1" s="1"/>
  <c r="I1399" i="1"/>
  <c r="J1399" i="1" s="1"/>
  <c r="I1335" i="1"/>
  <c r="J1335" i="1" s="1"/>
  <c r="I1271" i="1"/>
  <c r="J1271" i="1" s="1"/>
  <c r="I1207" i="1"/>
  <c r="J1207" i="1" s="1"/>
  <c r="I1143" i="1"/>
  <c r="J1143" i="1" s="1"/>
  <c r="I1079" i="1"/>
  <c r="J1079" i="1" s="1"/>
  <c r="I1015" i="1"/>
  <c r="J1015" i="1" s="1"/>
  <c r="I951" i="1"/>
  <c r="J951" i="1" s="1"/>
  <c r="I887" i="1"/>
  <c r="J887" i="1" s="1"/>
  <c r="I823" i="1"/>
  <c r="J823" i="1" s="1"/>
  <c r="I759" i="1"/>
  <c r="J759" i="1" s="1"/>
  <c r="I695" i="1"/>
  <c r="J695" i="1" s="1"/>
  <c r="I631" i="1"/>
  <c r="J631" i="1" s="1"/>
  <c r="I567" i="1"/>
  <c r="J567" i="1" s="1"/>
  <c r="I503" i="1"/>
  <c r="J503" i="1" s="1"/>
  <c r="I439" i="1"/>
  <c r="J439" i="1" s="1"/>
  <c r="I375" i="1"/>
  <c r="J375" i="1" s="1"/>
  <c r="I311" i="1"/>
  <c r="J311" i="1" s="1"/>
  <c r="I247" i="1"/>
  <c r="J247" i="1" s="1"/>
  <c r="I183" i="1"/>
  <c r="J183" i="1" s="1"/>
  <c r="I119" i="1"/>
  <c r="J119" i="1" s="1"/>
  <c r="I55" i="1"/>
  <c r="J55" i="1" s="1"/>
  <c r="R2295" i="1"/>
  <c r="S2295" i="1" s="1"/>
  <c r="R2279" i="1"/>
  <c r="S2279" i="1" s="1"/>
  <c r="R2263" i="1"/>
  <c r="S2263" i="1" s="1"/>
  <c r="R2247" i="1"/>
  <c r="S2247" i="1" s="1"/>
  <c r="R2231" i="1"/>
  <c r="S2231" i="1" s="1"/>
  <c r="R2167" i="1"/>
  <c r="S2167" i="1" s="1"/>
  <c r="R2151" i="1"/>
  <c r="S2151" i="1" s="1"/>
  <c r="R2119" i="1"/>
  <c r="S2119" i="1" s="1"/>
  <c r="R2103" i="1"/>
  <c r="S2103" i="1" s="1"/>
  <c r="R2087" i="1"/>
  <c r="S2087" i="1" s="1"/>
  <c r="R2055" i="1"/>
  <c r="S2055" i="1" s="1"/>
  <c r="R2039" i="1"/>
  <c r="S2039" i="1" s="1"/>
  <c r="R2007" i="1"/>
  <c r="S2007" i="1" s="1"/>
  <c r="R1975" i="1"/>
  <c r="S1975" i="1" s="1"/>
  <c r="R1959" i="1"/>
  <c r="S1959" i="1" s="1"/>
  <c r="R1943" i="1"/>
  <c r="S1943" i="1" s="1"/>
  <c r="R1911" i="1"/>
  <c r="S1911" i="1" s="1"/>
  <c r="R1895" i="1"/>
  <c r="S1895" i="1" s="1"/>
  <c r="R1879" i="1"/>
  <c r="S1879" i="1" s="1"/>
  <c r="R1847" i="1"/>
  <c r="S1847" i="1" s="1"/>
  <c r="R1799" i="1"/>
  <c r="S1799" i="1" s="1"/>
  <c r="R1767" i="1"/>
  <c r="S1767" i="1" s="1"/>
  <c r="R1751" i="1"/>
  <c r="S1751" i="1" s="1"/>
  <c r="R1719" i="1"/>
  <c r="S1719" i="1" s="1"/>
  <c r="R1703" i="1"/>
  <c r="S1703" i="1" s="1"/>
  <c r="R1671" i="1"/>
  <c r="S1671" i="1" s="1"/>
  <c r="R1655" i="1"/>
  <c r="S1655" i="1" s="1"/>
  <c r="R1639" i="1"/>
  <c r="S1639" i="1" s="1"/>
  <c r="R1623" i="1"/>
  <c r="S1623" i="1" s="1"/>
  <c r="R1591" i="1"/>
  <c r="S1591" i="1" s="1"/>
  <c r="R1575" i="1"/>
  <c r="S1575" i="1" s="1"/>
  <c r="R1559" i="1"/>
  <c r="S1559" i="1" s="1"/>
  <c r="R1543" i="1"/>
  <c r="S1543" i="1" s="1"/>
  <c r="R1527" i="1"/>
  <c r="S1527" i="1" s="1"/>
  <c r="R1511" i="1"/>
  <c r="S1511" i="1" s="1"/>
  <c r="R1495" i="1"/>
  <c r="S1495" i="1" s="1"/>
  <c r="R1479" i="1"/>
  <c r="S1479" i="1" s="1"/>
  <c r="R1463" i="1"/>
  <c r="S1463" i="1" s="1"/>
  <c r="R1447" i="1"/>
  <c r="S1447" i="1" s="1"/>
  <c r="R1431" i="1"/>
  <c r="S1431" i="1" s="1"/>
  <c r="R1415" i="1"/>
  <c r="S1415" i="1" s="1"/>
  <c r="R1399" i="1"/>
  <c r="S1399" i="1" s="1"/>
  <c r="R1383" i="1"/>
  <c r="S1383" i="1" s="1"/>
  <c r="R1367" i="1"/>
  <c r="S1367" i="1" s="1"/>
  <c r="R1351" i="1"/>
  <c r="S1351" i="1" s="1"/>
  <c r="R1335" i="1"/>
  <c r="S1335" i="1" s="1"/>
  <c r="R1319" i="1"/>
  <c r="S1319" i="1" s="1"/>
  <c r="R1303" i="1"/>
  <c r="S1303" i="1" s="1"/>
  <c r="R1271" i="1"/>
  <c r="S1271" i="1" s="1"/>
  <c r="R1255" i="1"/>
  <c r="S1255" i="1" s="1"/>
  <c r="R1239" i="1"/>
  <c r="S1239" i="1" s="1"/>
  <c r="R1223" i="1"/>
  <c r="S1223" i="1" s="1"/>
  <c r="R1207" i="1"/>
  <c r="S1207" i="1" s="1"/>
  <c r="R1191" i="1"/>
  <c r="S1191" i="1" s="1"/>
  <c r="R1175" i="1"/>
  <c r="S1175" i="1" s="1"/>
  <c r="R1159" i="1"/>
  <c r="S1159" i="1" s="1"/>
  <c r="R1127" i="1"/>
  <c r="S1127" i="1" s="1"/>
  <c r="R1111" i="1"/>
  <c r="S1111" i="1" s="1"/>
  <c r="R1079" i="1"/>
  <c r="S1079" i="1" s="1"/>
  <c r="R1063" i="1"/>
  <c r="S1063" i="1" s="1"/>
  <c r="R1047" i="1"/>
  <c r="S1047" i="1" s="1"/>
  <c r="R1031" i="1"/>
  <c r="S1031" i="1" s="1"/>
  <c r="R1015" i="1"/>
  <c r="S1015" i="1" s="1"/>
  <c r="R999" i="1"/>
  <c r="S999" i="1" s="1"/>
  <c r="R983" i="1"/>
  <c r="S983" i="1" s="1"/>
  <c r="R967" i="1"/>
  <c r="S967" i="1" s="1"/>
  <c r="R951" i="1"/>
  <c r="S951" i="1" s="1"/>
  <c r="R935" i="1"/>
  <c r="S935" i="1" s="1"/>
  <c r="R919" i="1"/>
  <c r="S919" i="1" s="1"/>
  <c r="R887" i="1"/>
  <c r="S887" i="1" s="1"/>
  <c r="R871" i="1"/>
  <c r="S871" i="1" s="1"/>
  <c r="R855" i="1"/>
  <c r="S855" i="1" s="1"/>
  <c r="R823" i="1"/>
  <c r="S823" i="1" s="1"/>
  <c r="R807" i="1"/>
  <c r="S807" i="1" s="1"/>
  <c r="R791" i="1"/>
  <c r="S791" i="1" s="1"/>
  <c r="R759" i="1"/>
  <c r="S759" i="1" s="1"/>
  <c r="R743" i="1"/>
  <c r="S743" i="1" s="1"/>
  <c r="R727" i="1"/>
  <c r="S727" i="1" s="1"/>
  <c r="R711" i="1"/>
  <c r="S711" i="1" s="1"/>
  <c r="R695" i="1"/>
  <c r="S695" i="1" s="1"/>
  <c r="R663" i="1"/>
  <c r="S663" i="1" s="1"/>
  <c r="R647" i="1"/>
  <c r="S647" i="1" s="1"/>
  <c r="R631" i="1"/>
  <c r="S631" i="1" s="1"/>
  <c r="R615" i="1"/>
  <c r="S615" i="1" s="1"/>
  <c r="R599" i="1"/>
  <c r="S599" i="1" s="1"/>
  <c r="R583" i="1"/>
  <c r="S583" i="1" s="1"/>
  <c r="R567" i="1"/>
  <c r="S567" i="1" s="1"/>
  <c r="R551" i="1"/>
  <c r="S551" i="1" s="1"/>
  <c r="R535" i="1"/>
  <c r="S535" i="1" s="1"/>
  <c r="R519" i="1"/>
  <c r="S519" i="1" s="1"/>
  <c r="R503" i="1"/>
  <c r="S503" i="1" s="1"/>
  <c r="R487" i="1"/>
  <c r="S487" i="1" s="1"/>
  <c r="R471" i="1"/>
  <c r="S471" i="1" s="1"/>
  <c r="R455" i="1"/>
  <c r="S455" i="1" s="1"/>
  <c r="R439" i="1"/>
  <c r="S439" i="1" s="1"/>
  <c r="R423" i="1"/>
  <c r="S423" i="1" s="1"/>
  <c r="R407" i="1"/>
  <c r="S407" i="1" s="1"/>
  <c r="R391" i="1"/>
  <c r="S391" i="1" s="1"/>
  <c r="R375" i="1"/>
  <c r="S375" i="1" s="1"/>
  <c r="R359" i="1"/>
  <c r="S359" i="1" s="1"/>
  <c r="R343" i="1"/>
  <c r="S343" i="1" s="1"/>
  <c r="R327" i="1"/>
  <c r="S327" i="1" s="1"/>
  <c r="R311" i="1"/>
  <c r="S311" i="1" s="1"/>
  <c r="R295" i="1"/>
  <c r="S295" i="1" s="1"/>
  <c r="R279" i="1"/>
  <c r="S279" i="1" s="1"/>
  <c r="R263" i="1"/>
  <c r="S263" i="1" s="1"/>
  <c r="R247" i="1"/>
  <c r="S247" i="1" s="1"/>
  <c r="R231" i="1"/>
  <c r="S231" i="1" s="1"/>
  <c r="R215" i="1"/>
  <c r="S215" i="1" s="1"/>
  <c r="R199" i="1"/>
  <c r="S199" i="1" s="1"/>
  <c r="R183" i="1"/>
  <c r="S183" i="1" s="1"/>
  <c r="R167" i="1"/>
  <c r="S167" i="1" s="1"/>
  <c r="R151" i="1"/>
  <c r="S151" i="1" s="1"/>
  <c r="R135" i="1"/>
  <c r="S135" i="1" s="1"/>
  <c r="R119" i="1"/>
  <c r="S119" i="1" s="1"/>
  <c r="R103" i="1"/>
  <c r="S103" i="1" s="1"/>
  <c r="R87" i="1"/>
  <c r="S87" i="1" s="1"/>
  <c r="R71" i="1"/>
  <c r="S71" i="1" s="1"/>
  <c r="R39" i="1"/>
  <c r="S39" i="1" s="1"/>
  <c r="R23" i="1"/>
  <c r="S23" i="1" s="1"/>
  <c r="R2293" i="1"/>
  <c r="S2293" i="1" s="1"/>
  <c r="R2277" i="1"/>
  <c r="S2277" i="1" s="1"/>
  <c r="R2261" i="1"/>
  <c r="S2261" i="1" s="1"/>
  <c r="R2245" i="1"/>
  <c r="S2245" i="1" s="1"/>
  <c r="R2229" i="1"/>
  <c r="S2229" i="1" s="1"/>
  <c r="R2213" i="1"/>
  <c r="S2213" i="1" s="1"/>
  <c r="R2197" i="1"/>
  <c r="S2197" i="1" s="1"/>
  <c r="R2181" i="1"/>
  <c r="S2181" i="1" s="1"/>
  <c r="R2165" i="1"/>
  <c r="S2165" i="1" s="1"/>
  <c r="R2149" i="1"/>
  <c r="S2149" i="1" s="1"/>
  <c r="R2133" i="1"/>
  <c r="S2133" i="1" s="1"/>
  <c r="R2117" i="1"/>
  <c r="S2117" i="1" s="1"/>
  <c r="R2101" i="1"/>
  <c r="S2101" i="1" s="1"/>
  <c r="R2069" i="1"/>
  <c r="S2069" i="1" s="1"/>
  <c r="R2053" i="1"/>
  <c r="S2053" i="1" s="1"/>
  <c r="R2037" i="1"/>
  <c r="S2037" i="1" s="1"/>
  <c r="R2021" i="1"/>
  <c r="S2021" i="1" s="1"/>
  <c r="R2005" i="1"/>
  <c r="S2005" i="1" s="1"/>
  <c r="R1973" i="1"/>
  <c r="S1973" i="1" s="1"/>
  <c r="R1957" i="1"/>
  <c r="S1957" i="1" s="1"/>
  <c r="R1925" i="1"/>
  <c r="S1925" i="1" s="1"/>
  <c r="R1909" i="1"/>
  <c r="S1909" i="1" s="1"/>
  <c r="R1893" i="1"/>
  <c r="S1893" i="1" s="1"/>
  <c r="R1877" i="1"/>
  <c r="S1877" i="1" s="1"/>
  <c r="R1861" i="1"/>
  <c r="S1861" i="1" s="1"/>
  <c r="R1845" i="1"/>
  <c r="S1845" i="1" s="1"/>
  <c r="R1813" i="1"/>
  <c r="S1813" i="1" s="1"/>
  <c r="R1797" i="1"/>
  <c r="S1797" i="1" s="1"/>
  <c r="R1781" i="1"/>
  <c r="S1781" i="1" s="1"/>
  <c r="R1749" i="1"/>
  <c r="S1749" i="1" s="1"/>
  <c r="R1733" i="1"/>
  <c r="S1733" i="1" s="1"/>
  <c r="R1717" i="1"/>
  <c r="S1717" i="1" s="1"/>
  <c r="R1701" i="1"/>
  <c r="S1701" i="1" s="1"/>
  <c r="R1685" i="1"/>
  <c r="S1685" i="1" s="1"/>
  <c r="R1669" i="1"/>
  <c r="S1669" i="1" s="1"/>
  <c r="R1653" i="1"/>
  <c r="S1653" i="1" s="1"/>
  <c r="R1637" i="1"/>
  <c r="S1637" i="1" s="1"/>
  <c r="R1621" i="1"/>
  <c r="S1621" i="1" s="1"/>
  <c r="R1589" i="1"/>
  <c r="S1589" i="1" s="1"/>
  <c r="R1557" i="1"/>
  <c r="S1557" i="1" s="1"/>
  <c r="R1541" i="1"/>
  <c r="S1541" i="1" s="1"/>
  <c r="R1493" i="1"/>
  <c r="S1493" i="1" s="1"/>
  <c r="R1477" i="1"/>
  <c r="S1477" i="1" s="1"/>
  <c r="R1445" i="1"/>
  <c r="S1445" i="1" s="1"/>
  <c r="R1429" i="1"/>
  <c r="S1429" i="1" s="1"/>
  <c r="R1397" i="1"/>
  <c r="S1397" i="1" s="1"/>
  <c r="R1381" i="1"/>
  <c r="S1381" i="1" s="1"/>
  <c r="R1365" i="1"/>
  <c r="S1365" i="1" s="1"/>
  <c r="R1317" i="1"/>
  <c r="S1317" i="1" s="1"/>
  <c r="R1301" i="1"/>
  <c r="S1301" i="1" s="1"/>
  <c r="R1285" i="1"/>
  <c r="S1285" i="1" s="1"/>
  <c r="R1269" i="1"/>
  <c r="S1269" i="1" s="1"/>
  <c r="R1253" i="1"/>
  <c r="S1253" i="1" s="1"/>
  <c r="R1237" i="1"/>
  <c r="S1237" i="1" s="1"/>
  <c r="R1221" i="1"/>
  <c r="S1221" i="1" s="1"/>
  <c r="R1205" i="1"/>
  <c r="S1205" i="1" s="1"/>
  <c r="R1189" i="1"/>
  <c r="S1189" i="1" s="1"/>
  <c r="R1173" i="1"/>
  <c r="S1173" i="1" s="1"/>
  <c r="R1157" i="1"/>
  <c r="S1157" i="1" s="1"/>
  <c r="R1141" i="1"/>
  <c r="S1141" i="1" s="1"/>
  <c r="R1125" i="1"/>
  <c r="S1125" i="1" s="1"/>
  <c r="R1109" i="1"/>
  <c r="S1109" i="1" s="1"/>
  <c r="R1093" i="1"/>
  <c r="S1093" i="1" s="1"/>
  <c r="R1077" i="1"/>
  <c r="S1077" i="1" s="1"/>
  <c r="R1061" i="1"/>
  <c r="S1061" i="1" s="1"/>
  <c r="R1045" i="1"/>
  <c r="S1045" i="1" s="1"/>
  <c r="R1029" i="1"/>
  <c r="S1029" i="1" s="1"/>
  <c r="R1013" i="1"/>
  <c r="S1013" i="1" s="1"/>
  <c r="R997" i="1"/>
  <c r="S997" i="1" s="1"/>
  <c r="R981" i="1"/>
  <c r="S981" i="1" s="1"/>
  <c r="R965" i="1"/>
  <c r="S965" i="1" s="1"/>
  <c r="R949" i="1"/>
  <c r="S949" i="1" s="1"/>
  <c r="R933" i="1"/>
  <c r="S933" i="1" s="1"/>
  <c r="R917" i="1"/>
  <c r="S917" i="1" s="1"/>
  <c r="R901" i="1"/>
  <c r="S901" i="1" s="1"/>
  <c r="R885" i="1"/>
  <c r="S885" i="1" s="1"/>
  <c r="R869" i="1"/>
  <c r="S869" i="1" s="1"/>
  <c r="R853" i="1"/>
  <c r="S853" i="1" s="1"/>
  <c r="R837" i="1"/>
  <c r="S837" i="1" s="1"/>
  <c r="R821" i="1"/>
  <c r="S821" i="1" s="1"/>
  <c r="R805" i="1"/>
  <c r="S805" i="1" s="1"/>
  <c r="R789" i="1"/>
  <c r="S789" i="1" s="1"/>
  <c r="R773" i="1"/>
  <c r="S773" i="1" s="1"/>
  <c r="R757" i="1"/>
  <c r="S757" i="1" s="1"/>
  <c r="R741" i="1"/>
  <c r="S741" i="1" s="1"/>
  <c r="R725" i="1"/>
  <c r="S725" i="1" s="1"/>
  <c r="R709" i="1"/>
  <c r="S709" i="1" s="1"/>
  <c r="R693" i="1"/>
  <c r="S693" i="1" s="1"/>
  <c r="R661" i="1"/>
  <c r="S661" i="1" s="1"/>
  <c r="R645" i="1"/>
  <c r="S645" i="1" s="1"/>
  <c r="R629" i="1"/>
  <c r="S629" i="1" s="1"/>
  <c r="R613" i="1"/>
  <c r="S613" i="1" s="1"/>
  <c r="R597" i="1"/>
  <c r="S597" i="1" s="1"/>
  <c r="R581" i="1"/>
  <c r="S581" i="1" s="1"/>
  <c r="R565" i="1"/>
  <c r="S565" i="1" s="1"/>
  <c r="R549" i="1"/>
  <c r="S549" i="1" s="1"/>
  <c r="R517" i="1"/>
  <c r="S517" i="1" s="1"/>
  <c r="R501" i="1"/>
  <c r="S501" i="1" s="1"/>
  <c r="R485" i="1"/>
  <c r="S485" i="1" s="1"/>
  <c r="R469" i="1"/>
  <c r="S469" i="1" s="1"/>
  <c r="R453" i="1"/>
  <c r="S453" i="1" s="1"/>
  <c r="R437" i="1"/>
  <c r="S437" i="1" s="1"/>
  <c r="R421" i="1"/>
  <c r="S421" i="1" s="1"/>
  <c r="R405" i="1"/>
  <c r="S405" i="1" s="1"/>
  <c r="R389" i="1"/>
  <c r="S389" i="1" s="1"/>
  <c r="R373" i="1"/>
  <c r="S373" i="1" s="1"/>
  <c r="R357" i="1"/>
  <c r="S357" i="1" s="1"/>
  <c r="R341" i="1"/>
  <c r="S341" i="1" s="1"/>
  <c r="R325" i="1"/>
  <c r="S325" i="1" s="1"/>
  <c r="R309" i="1"/>
  <c r="S309" i="1" s="1"/>
  <c r="R277" i="1"/>
  <c r="S277" i="1" s="1"/>
  <c r="R261" i="1"/>
  <c r="S261" i="1" s="1"/>
  <c r="R229" i="1"/>
  <c r="S229" i="1" s="1"/>
  <c r="R213" i="1"/>
  <c r="S213" i="1" s="1"/>
  <c r="R197" i="1"/>
  <c r="S197" i="1" s="1"/>
  <c r="R181" i="1"/>
  <c r="S181" i="1" s="1"/>
  <c r="R165" i="1"/>
  <c r="S165" i="1" s="1"/>
  <c r="R149" i="1"/>
  <c r="S149" i="1" s="1"/>
  <c r="R133" i="1"/>
  <c r="S133" i="1" s="1"/>
  <c r="R117" i="1"/>
  <c r="S117" i="1" s="1"/>
  <c r="R101" i="1"/>
  <c r="S101" i="1" s="1"/>
  <c r="R85" i="1"/>
  <c r="S85" i="1" s="1"/>
  <c r="R69" i="1"/>
  <c r="S69" i="1" s="1"/>
  <c r="R37" i="1"/>
  <c r="S37" i="1" s="1"/>
  <c r="R21" i="1"/>
  <c r="S21" i="1" s="1"/>
  <c r="I2276" i="1"/>
  <c r="J2276" i="1" s="1"/>
  <c r="I2212" i="1"/>
  <c r="J2212" i="1" s="1"/>
  <c r="I2148" i="1"/>
  <c r="J2148" i="1" s="1"/>
  <c r="I2084" i="1"/>
  <c r="J2084" i="1" s="1"/>
  <c r="I2020" i="1"/>
  <c r="J2020" i="1" s="1"/>
  <c r="I1956" i="1"/>
  <c r="J1956" i="1" s="1"/>
  <c r="I1892" i="1"/>
  <c r="J1892" i="1" s="1"/>
  <c r="I1828" i="1"/>
  <c r="J1828" i="1" s="1"/>
  <c r="I1764" i="1"/>
  <c r="J1764" i="1" s="1"/>
  <c r="I1700" i="1"/>
  <c r="J1700" i="1" s="1"/>
  <c r="I1636" i="1"/>
  <c r="J1636" i="1" s="1"/>
  <c r="I1572" i="1"/>
  <c r="J1572" i="1" s="1"/>
  <c r="I1508" i="1"/>
  <c r="J1508" i="1" s="1"/>
  <c r="I1444" i="1"/>
  <c r="J1444" i="1" s="1"/>
  <c r="I1380" i="1"/>
  <c r="J1380" i="1" s="1"/>
  <c r="I1316" i="1"/>
  <c r="J1316" i="1" s="1"/>
  <c r="I1252" i="1"/>
  <c r="J1252" i="1" s="1"/>
  <c r="I1188" i="1"/>
  <c r="J1188" i="1" s="1"/>
  <c r="I1124" i="1"/>
  <c r="J1124" i="1" s="1"/>
  <c r="I1060" i="1"/>
  <c r="J1060" i="1" s="1"/>
  <c r="I996" i="1"/>
  <c r="J996" i="1" s="1"/>
  <c r="I932" i="1"/>
  <c r="J932" i="1" s="1"/>
  <c r="I868" i="1"/>
  <c r="J868" i="1" s="1"/>
  <c r="I804" i="1"/>
  <c r="J804" i="1" s="1"/>
  <c r="I740" i="1"/>
  <c r="J740" i="1" s="1"/>
  <c r="I676" i="1"/>
  <c r="J676" i="1" s="1"/>
  <c r="I612" i="1"/>
  <c r="J612" i="1" s="1"/>
  <c r="I548" i="1"/>
  <c r="J548" i="1" s="1"/>
  <c r="I484" i="1"/>
  <c r="J484" i="1" s="1"/>
  <c r="I420" i="1"/>
  <c r="J420" i="1" s="1"/>
  <c r="I356" i="1"/>
  <c r="J356" i="1" s="1"/>
  <c r="I292" i="1"/>
  <c r="J292" i="1" s="1"/>
  <c r="I228" i="1"/>
  <c r="J228" i="1" s="1"/>
  <c r="I164" i="1"/>
  <c r="J164" i="1" s="1"/>
  <c r="I100" i="1"/>
  <c r="J100" i="1" s="1"/>
  <c r="I36" i="1"/>
  <c r="J36" i="1" s="1"/>
  <c r="R2308" i="1"/>
  <c r="S2308" i="1" s="1"/>
  <c r="R2292" i="1"/>
  <c r="S2292" i="1" s="1"/>
  <c r="R2276" i="1"/>
  <c r="S2276" i="1" s="1"/>
  <c r="R2260" i="1"/>
  <c r="S2260" i="1" s="1"/>
  <c r="R2244" i="1"/>
  <c r="S2244" i="1" s="1"/>
  <c r="R2228" i="1"/>
  <c r="S2228" i="1" s="1"/>
  <c r="R2212" i="1"/>
  <c r="S2212" i="1" s="1"/>
  <c r="R2196" i="1"/>
  <c r="S2196" i="1" s="1"/>
  <c r="R2180" i="1"/>
  <c r="S2180" i="1" s="1"/>
  <c r="R2164" i="1"/>
  <c r="S2164" i="1" s="1"/>
  <c r="R2148" i="1"/>
  <c r="S2148" i="1" s="1"/>
  <c r="R2132" i="1"/>
  <c r="S2132" i="1" s="1"/>
  <c r="R2116" i="1"/>
  <c r="S2116" i="1" s="1"/>
  <c r="R2100" i="1"/>
  <c r="S2100" i="1" s="1"/>
  <c r="R2084" i="1"/>
  <c r="S2084" i="1" s="1"/>
  <c r="R2068" i="1"/>
  <c r="S2068" i="1" s="1"/>
  <c r="R2052" i="1"/>
  <c r="S2052" i="1" s="1"/>
  <c r="R2036" i="1"/>
  <c r="S2036" i="1" s="1"/>
  <c r="R2020" i="1"/>
  <c r="S2020" i="1" s="1"/>
  <c r="R2004" i="1"/>
  <c r="S2004" i="1" s="1"/>
  <c r="R1988" i="1"/>
  <c r="S1988" i="1" s="1"/>
  <c r="R1972" i="1"/>
  <c r="S1972" i="1" s="1"/>
  <c r="R1956" i="1"/>
  <c r="S1956" i="1" s="1"/>
  <c r="R1940" i="1"/>
  <c r="S1940" i="1" s="1"/>
  <c r="R1924" i="1"/>
  <c r="S1924" i="1" s="1"/>
  <c r="R1908" i="1"/>
  <c r="S1908" i="1" s="1"/>
  <c r="R1892" i="1"/>
  <c r="S1892" i="1" s="1"/>
  <c r="R1876" i="1"/>
  <c r="S1876" i="1" s="1"/>
  <c r="R1860" i="1"/>
  <c r="S1860" i="1" s="1"/>
  <c r="R1844" i="1"/>
  <c r="S1844" i="1" s="1"/>
  <c r="R1828" i="1"/>
  <c r="S1828" i="1" s="1"/>
  <c r="R1812" i="1"/>
  <c r="S1812" i="1" s="1"/>
  <c r="R1796" i="1"/>
  <c r="S1796" i="1" s="1"/>
  <c r="R1780" i="1"/>
  <c r="S1780" i="1" s="1"/>
  <c r="R1764" i="1"/>
  <c r="S1764" i="1" s="1"/>
  <c r="R1748" i="1"/>
  <c r="S1748" i="1" s="1"/>
  <c r="R1732" i="1"/>
  <c r="S1732" i="1" s="1"/>
  <c r="R1716" i="1"/>
  <c r="S1716" i="1" s="1"/>
  <c r="R1700" i="1"/>
  <c r="S1700" i="1" s="1"/>
  <c r="R1684" i="1"/>
  <c r="S1684" i="1" s="1"/>
  <c r="R1668" i="1"/>
  <c r="S1668" i="1" s="1"/>
  <c r="R1652" i="1"/>
  <c r="S1652" i="1" s="1"/>
  <c r="R1636" i="1"/>
  <c r="S1636" i="1" s="1"/>
  <c r="R1620" i="1"/>
  <c r="S1620" i="1" s="1"/>
  <c r="R1604" i="1"/>
  <c r="S1604" i="1" s="1"/>
  <c r="R1588" i="1"/>
  <c r="S1588" i="1" s="1"/>
  <c r="R1572" i="1"/>
  <c r="S1572" i="1" s="1"/>
  <c r="R1556" i="1"/>
  <c r="S1556" i="1" s="1"/>
  <c r="R1540" i="1"/>
  <c r="S1540" i="1" s="1"/>
  <c r="R1508" i="1"/>
  <c r="S1508" i="1" s="1"/>
  <c r="R1492" i="1"/>
  <c r="S1492" i="1" s="1"/>
  <c r="R1476" i="1"/>
  <c r="S1476" i="1" s="1"/>
  <c r="R1460" i="1"/>
  <c r="S1460" i="1" s="1"/>
  <c r="R1444" i="1"/>
  <c r="S1444" i="1" s="1"/>
  <c r="R1428" i="1"/>
  <c r="S1428" i="1" s="1"/>
  <c r="R1412" i="1"/>
  <c r="S1412" i="1" s="1"/>
  <c r="R1396" i="1"/>
  <c r="S1396" i="1" s="1"/>
  <c r="R1380" i="1"/>
  <c r="S1380" i="1" s="1"/>
  <c r="R1364" i="1"/>
  <c r="S1364" i="1" s="1"/>
  <c r="R1316" i="1"/>
  <c r="S1316" i="1" s="1"/>
  <c r="R1300" i="1"/>
  <c r="S1300" i="1" s="1"/>
  <c r="R1284" i="1"/>
  <c r="S1284" i="1" s="1"/>
  <c r="R1268" i="1"/>
  <c r="S1268" i="1" s="1"/>
  <c r="R1252" i="1"/>
  <c r="S1252" i="1" s="1"/>
  <c r="R1236" i="1"/>
  <c r="S1236" i="1" s="1"/>
  <c r="R1204" i="1"/>
  <c r="S1204" i="1" s="1"/>
  <c r="R1188" i="1"/>
  <c r="S1188" i="1" s="1"/>
  <c r="R1156" i="1"/>
  <c r="S1156" i="1" s="1"/>
  <c r="R1124" i="1"/>
  <c r="S1124" i="1" s="1"/>
  <c r="R1108" i="1"/>
  <c r="S1108" i="1" s="1"/>
  <c r="R1092" i="1"/>
  <c r="S1092" i="1" s="1"/>
  <c r="R1076" i="1"/>
  <c r="S1076" i="1" s="1"/>
  <c r="R1060" i="1"/>
  <c r="S1060" i="1" s="1"/>
  <c r="R1028" i="1"/>
  <c r="S1028" i="1" s="1"/>
  <c r="R1012" i="1"/>
  <c r="S1012" i="1" s="1"/>
  <c r="R996" i="1"/>
  <c r="S996" i="1" s="1"/>
  <c r="R980" i="1"/>
  <c r="S980" i="1" s="1"/>
  <c r="R964" i="1"/>
  <c r="S964" i="1" s="1"/>
  <c r="R948" i="1"/>
  <c r="S948" i="1" s="1"/>
  <c r="R932" i="1"/>
  <c r="S932" i="1" s="1"/>
  <c r="R900" i="1"/>
  <c r="S900" i="1" s="1"/>
  <c r="R868" i="1"/>
  <c r="S868" i="1" s="1"/>
  <c r="R852" i="1"/>
  <c r="S852" i="1" s="1"/>
  <c r="R836" i="1"/>
  <c r="S836" i="1" s="1"/>
  <c r="R820" i="1"/>
  <c r="S820" i="1" s="1"/>
  <c r="R804" i="1"/>
  <c r="S804" i="1" s="1"/>
  <c r="R788" i="1"/>
  <c r="S788" i="1" s="1"/>
  <c r="R772" i="1"/>
  <c r="S772" i="1" s="1"/>
  <c r="R756" i="1"/>
  <c r="S756" i="1" s="1"/>
  <c r="R740" i="1"/>
  <c r="S740" i="1" s="1"/>
  <c r="R724" i="1"/>
  <c r="S724" i="1" s="1"/>
  <c r="R692" i="1"/>
  <c r="S692" i="1" s="1"/>
  <c r="R676" i="1"/>
  <c r="S676" i="1" s="1"/>
  <c r="R660" i="1"/>
  <c r="S660" i="1" s="1"/>
  <c r="R644" i="1"/>
  <c r="S644" i="1" s="1"/>
  <c r="R628" i="1"/>
  <c r="S628" i="1" s="1"/>
  <c r="R612" i="1"/>
  <c r="S612" i="1" s="1"/>
  <c r="R596" i="1"/>
  <c r="S596" i="1" s="1"/>
  <c r="R580" i="1"/>
  <c r="S580" i="1" s="1"/>
  <c r="R548" i="1"/>
  <c r="S548" i="1" s="1"/>
  <c r="R516" i="1"/>
  <c r="S516" i="1" s="1"/>
  <c r="R500" i="1"/>
  <c r="S500" i="1" s="1"/>
  <c r="R484" i="1"/>
  <c r="S484" i="1" s="1"/>
  <c r="R468" i="1"/>
  <c r="S468" i="1" s="1"/>
  <c r="R436" i="1"/>
  <c r="S436" i="1" s="1"/>
  <c r="R420" i="1"/>
  <c r="S420" i="1" s="1"/>
  <c r="R404" i="1"/>
  <c r="S404" i="1" s="1"/>
  <c r="R388" i="1"/>
  <c r="S388" i="1" s="1"/>
  <c r="R372" i="1"/>
  <c r="S372" i="1" s="1"/>
  <c r="R356" i="1"/>
  <c r="S356" i="1" s="1"/>
  <c r="R340" i="1"/>
  <c r="S340" i="1" s="1"/>
  <c r="R308" i="1"/>
  <c r="S308" i="1" s="1"/>
  <c r="R292" i="1"/>
  <c r="S292" i="1" s="1"/>
  <c r="R276" i="1"/>
  <c r="S276" i="1" s="1"/>
  <c r="R244" i="1"/>
  <c r="S244" i="1" s="1"/>
  <c r="R228" i="1"/>
  <c r="S228" i="1" s="1"/>
  <c r="R212" i="1"/>
  <c r="S212" i="1" s="1"/>
  <c r="R164" i="1"/>
  <c r="S164" i="1" s="1"/>
  <c r="R148" i="1"/>
  <c r="S148" i="1" s="1"/>
  <c r="R132" i="1"/>
  <c r="S132" i="1" s="1"/>
  <c r="R116" i="1"/>
  <c r="S116" i="1" s="1"/>
  <c r="R100" i="1"/>
  <c r="S100" i="1" s="1"/>
  <c r="R84" i="1"/>
  <c r="S84" i="1" s="1"/>
  <c r="R68" i="1"/>
  <c r="S68" i="1" s="1"/>
  <c r="R52" i="1"/>
  <c r="S52" i="1" s="1"/>
  <c r="R36" i="1"/>
  <c r="S36" i="1" s="1"/>
  <c r="R20" i="1"/>
  <c r="S20" i="1" s="1"/>
  <c r="I2275" i="1"/>
  <c r="J2275" i="1" s="1"/>
  <c r="I2211" i="1"/>
  <c r="J2211" i="1" s="1"/>
  <c r="I2147" i="1"/>
  <c r="J2147" i="1" s="1"/>
  <c r="I2083" i="1"/>
  <c r="J2083" i="1" s="1"/>
  <c r="I2019" i="1"/>
  <c r="J2019" i="1" s="1"/>
  <c r="I1955" i="1"/>
  <c r="J1955" i="1" s="1"/>
  <c r="I1891" i="1"/>
  <c r="J1891" i="1" s="1"/>
  <c r="I1827" i="1"/>
  <c r="J1827" i="1" s="1"/>
  <c r="I1763" i="1"/>
  <c r="J1763" i="1" s="1"/>
  <c r="I1699" i="1"/>
  <c r="J1699" i="1" s="1"/>
  <c r="I1635" i="1"/>
  <c r="J1635" i="1" s="1"/>
  <c r="I1571" i="1"/>
  <c r="J1571" i="1" s="1"/>
  <c r="I1507" i="1"/>
  <c r="J1507" i="1" s="1"/>
  <c r="I1443" i="1"/>
  <c r="J1443" i="1" s="1"/>
  <c r="I1379" i="1"/>
  <c r="J1379" i="1" s="1"/>
  <c r="I1315" i="1"/>
  <c r="J1315" i="1" s="1"/>
  <c r="I1251" i="1"/>
  <c r="J1251" i="1" s="1"/>
  <c r="I1187" i="1"/>
  <c r="J1187" i="1" s="1"/>
  <c r="I1123" i="1"/>
  <c r="J1123" i="1" s="1"/>
  <c r="I1059" i="1"/>
  <c r="J1059" i="1" s="1"/>
  <c r="I995" i="1"/>
  <c r="J995" i="1" s="1"/>
  <c r="I931" i="1"/>
  <c r="J931" i="1" s="1"/>
  <c r="I867" i="1"/>
  <c r="J867" i="1" s="1"/>
  <c r="I803" i="1"/>
  <c r="J803" i="1" s="1"/>
  <c r="I739" i="1"/>
  <c r="J739" i="1" s="1"/>
  <c r="I675" i="1"/>
  <c r="J675" i="1" s="1"/>
  <c r="I611" i="1"/>
  <c r="J611" i="1" s="1"/>
  <c r="I547" i="1"/>
  <c r="J547" i="1" s="1"/>
  <c r="I483" i="1"/>
  <c r="J483" i="1" s="1"/>
  <c r="I419" i="1"/>
  <c r="J419" i="1" s="1"/>
  <c r="I355" i="1"/>
  <c r="J355" i="1" s="1"/>
  <c r="I291" i="1"/>
  <c r="J291" i="1" s="1"/>
  <c r="I227" i="1"/>
  <c r="J227" i="1" s="1"/>
  <c r="I163" i="1"/>
  <c r="J163" i="1" s="1"/>
  <c r="I99" i="1"/>
  <c r="J99" i="1" s="1"/>
  <c r="I35" i="1"/>
  <c r="J35" i="1" s="1"/>
  <c r="R2307" i="1"/>
  <c r="S2307" i="1" s="1"/>
  <c r="R2291" i="1"/>
  <c r="S2291" i="1" s="1"/>
  <c r="R2259" i="1"/>
  <c r="S2259" i="1" s="1"/>
  <c r="R2243" i="1"/>
  <c r="S2243" i="1" s="1"/>
  <c r="R2227" i="1"/>
  <c r="S2227" i="1" s="1"/>
  <c r="R2195" i="1"/>
  <c r="S2195" i="1" s="1"/>
  <c r="R2179" i="1"/>
  <c r="S2179" i="1" s="1"/>
  <c r="R2163" i="1"/>
  <c r="S2163" i="1" s="1"/>
  <c r="R2147" i="1"/>
  <c r="S2147" i="1" s="1"/>
  <c r="R2131" i="1"/>
  <c r="S2131" i="1" s="1"/>
  <c r="R2115" i="1"/>
  <c r="S2115" i="1" s="1"/>
  <c r="R2099" i="1"/>
  <c r="S2099" i="1" s="1"/>
  <c r="R2083" i="1"/>
  <c r="S2083" i="1" s="1"/>
  <c r="R2067" i="1"/>
  <c r="S2067" i="1" s="1"/>
  <c r="R2051" i="1"/>
  <c r="S2051" i="1" s="1"/>
  <c r="R2035" i="1"/>
  <c r="S2035" i="1" s="1"/>
  <c r="R2019" i="1"/>
  <c r="S2019" i="1" s="1"/>
  <c r="R2003" i="1"/>
  <c r="S2003" i="1" s="1"/>
  <c r="R1987" i="1"/>
  <c r="S1987" i="1" s="1"/>
  <c r="R1971" i="1"/>
  <c r="S1971" i="1" s="1"/>
  <c r="R1955" i="1"/>
  <c r="S1955" i="1" s="1"/>
  <c r="R1939" i="1"/>
  <c r="S1939" i="1" s="1"/>
  <c r="R1923" i="1"/>
  <c r="S1923" i="1" s="1"/>
  <c r="R1907" i="1"/>
  <c r="S1907" i="1" s="1"/>
  <c r="R1891" i="1"/>
  <c r="S1891" i="1" s="1"/>
  <c r="R1875" i="1"/>
  <c r="S1875" i="1" s="1"/>
  <c r="R1859" i="1"/>
  <c r="S1859" i="1" s="1"/>
  <c r="R1843" i="1"/>
  <c r="S1843" i="1" s="1"/>
  <c r="R1827" i="1"/>
  <c r="S1827" i="1" s="1"/>
  <c r="R1811" i="1"/>
  <c r="S1811" i="1" s="1"/>
  <c r="R1795" i="1"/>
  <c r="S1795" i="1" s="1"/>
  <c r="R1779" i="1"/>
  <c r="S1779" i="1" s="1"/>
  <c r="R1763" i="1"/>
  <c r="S1763" i="1" s="1"/>
  <c r="R1747" i="1"/>
  <c r="S1747" i="1" s="1"/>
  <c r="R1731" i="1"/>
  <c r="S1731" i="1" s="1"/>
  <c r="R1715" i="1"/>
  <c r="S1715" i="1" s="1"/>
  <c r="R1699" i="1"/>
  <c r="S1699" i="1" s="1"/>
  <c r="R1683" i="1"/>
  <c r="S1683" i="1" s="1"/>
  <c r="R1667" i="1"/>
  <c r="S1667" i="1" s="1"/>
  <c r="R1651" i="1"/>
  <c r="S1651" i="1" s="1"/>
  <c r="R1635" i="1"/>
  <c r="S1635" i="1" s="1"/>
  <c r="R1619" i="1"/>
  <c r="S1619" i="1" s="1"/>
  <c r="R1603" i="1"/>
  <c r="S1603" i="1" s="1"/>
  <c r="R1587" i="1"/>
  <c r="S1587" i="1" s="1"/>
  <c r="R1555" i="1"/>
  <c r="S1555" i="1" s="1"/>
  <c r="R1539" i="1"/>
  <c r="S1539" i="1" s="1"/>
  <c r="R1507" i="1"/>
  <c r="S1507" i="1" s="1"/>
  <c r="R1491" i="1"/>
  <c r="S1491" i="1" s="1"/>
  <c r="R1475" i="1"/>
  <c r="S1475" i="1" s="1"/>
  <c r="R1443" i="1"/>
  <c r="S1443" i="1" s="1"/>
  <c r="R1427" i="1"/>
  <c r="S1427" i="1" s="1"/>
  <c r="R1411" i="1"/>
  <c r="S1411" i="1" s="1"/>
  <c r="R1379" i="1"/>
  <c r="S1379" i="1" s="1"/>
  <c r="R1363" i="1"/>
  <c r="S1363" i="1" s="1"/>
  <c r="R1331" i="1"/>
  <c r="S1331" i="1" s="1"/>
  <c r="R1315" i="1"/>
  <c r="S1315" i="1" s="1"/>
  <c r="R1283" i="1"/>
  <c r="S1283" i="1" s="1"/>
  <c r="R1267" i="1"/>
  <c r="S1267" i="1" s="1"/>
  <c r="R1251" i="1"/>
  <c r="S1251" i="1" s="1"/>
  <c r="R1235" i="1"/>
  <c r="S1235" i="1" s="1"/>
  <c r="R1219" i="1"/>
  <c r="S1219" i="1" s="1"/>
  <c r="R1203" i="1"/>
  <c r="S1203" i="1" s="1"/>
  <c r="R1187" i="1"/>
  <c r="S1187" i="1" s="1"/>
  <c r="R1171" i="1"/>
  <c r="S1171" i="1" s="1"/>
  <c r="R1155" i="1"/>
  <c r="S1155" i="1" s="1"/>
  <c r="R1139" i="1"/>
  <c r="S1139" i="1" s="1"/>
  <c r="R1123" i="1"/>
  <c r="S1123" i="1" s="1"/>
  <c r="R1107" i="1"/>
  <c r="S1107" i="1" s="1"/>
  <c r="R1075" i="1"/>
  <c r="S1075" i="1" s="1"/>
  <c r="R1059" i="1"/>
  <c r="S1059" i="1" s="1"/>
  <c r="R1043" i="1"/>
  <c r="S1043" i="1" s="1"/>
  <c r="R1027" i="1"/>
  <c r="S1027" i="1" s="1"/>
  <c r="R1011" i="1"/>
  <c r="S1011" i="1" s="1"/>
  <c r="R995" i="1"/>
  <c r="S995" i="1" s="1"/>
  <c r="R979" i="1"/>
  <c r="S979" i="1" s="1"/>
  <c r="R947" i="1"/>
  <c r="S947" i="1" s="1"/>
  <c r="R931" i="1"/>
  <c r="S931" i="1" s="1"/>
  <c r="R915" i="1"/>
  <c r="S915" i="1" s="1"/>
  <c r="R899" i="1"/>
  <c r="S899" i="1" s="1"/>
  <c r="R883" i="1"/>
  <c r="S883" i="1" s="1"/>
  <c r="R867" i="1"/>
  <c r="S867" i="1" s="1"/>
  <c r="R851" i="1"/>
  <c r="S851" i="1" s="1"/>
  <c r="R835" i="1"/>
  <c r="S835" i="1" s="1"/>
  <c r="R819" i="1"/>
  <c r="S819" i="1" s="1"/>
  <c r="R803" i="1"/>
  <c r="S803" i="1" s="1"/>
  <c r="R787" i="1"/>
  <c r="S787" i="1" s="1"/>
  <c r="R755" i="1"/>
  <c r="S755" i="1" s="1"/>
  <c r="R739" i="1"/>
  <c r="S739" i="1" s="1"/>
  <c r="R723" i="1"/>
  <c r="S723" i="1" s="1"/>
  <c r="R691" i="1"/>
  <c r="S691" i="1" s="1"/>
  <c r="R675" i="1"/>
  <c r="S675" i="1" s="1"/>
  <c r="R659" i="1"/>
  <c r="S659" i="1" s="1"/>
  <c r="R643" i="1"/>
  <c r="S643" i="1" s="1"/>
  <c r="R611" i="1"/>
  <c r="S611" i="1" s="1"/>
  <c r="R595" i="1"/>
  <c r="S595" i="1" s="1"/>
  <c r="R579" i="1"/>
  <c r="S579" i="1" s="1"/>
  <c r="R547" i="1"/>
  <c r="S547" i="1" s="1"/>
  <c r="R531" i="1"/>
  <c r="S531" i="1" s="1"/>
  <c r="R515" i="1"/>
  <c r="S515" i="1" s="1"/>
  <c r="R499" i="1"/>
  <c r="S499" i="1" s="1"/>
  <c r="R483" i="1"/>
  <c r="S483" i="1" s="1"/>
  <c r="R467" i="1"/>
  <c r="S467" i="1" s="1"/>
  <c r="R451" i="1"/>
  <c r="S451" i="1" s="1"/>
  <c r="R435" i="1"/>
  <c r="S435" i="1" s="1"/>
  <c r="R419" i="1"/>
  <c r="S419" i="1" s="1"/>
  <c r="R403" i="1"/>
  <c r="S403" i="1" s="1"/>
  <c r="R387" i="1"/>
  <c r="S387" i="1" s="1"/>
  <c r="R355" i="1"/>
  <c r="S355" i="1" s="1"/>
  <c r="R307" i="1"/>
  <c r="S307" i="1" s="1"/>
  <c r="R291" i="1"/>
  <c r="S291" i="1" s="1"/>
  <c r="R275" i="1"/>
  <c r="S275" i="1" s="1"/>
  <c r="R259" i="1"/>
  <c r="S259" i="1" s="1"/>
  <c r="R243" i="1"/>
  <c r="S243" i="1" s="1"/>
  <c r="R227" i="1"/>
  <c r="S227" i="1" s="1"/>
  <c r="R211" i="1"/>
  <c r="S211" i="1" s="1"/>
  <c r="R195" i="1"/>
  <c r="S195" i="1" s="1"/>
  <c r="R179" i="1"/>
  <c r="S179" i="1" s="1"/>
  <c r="R163" i="1"/>
  <c r="S163" i="1" s="1"/>
  <c r="R147" i="1"/>
  <c r="S147" i="1" s="1"/>
  <c r="R131" i="1"/>
  <c r="S131" i="1" s="1"/>
  <c r="R115" i="1"/>
  <c r="S115" i="1" s="1"/>
  <c r="R99" i="1"/>
  <c r="S99" i="1" s="1"/>
  <c r="R83" i="1"/>
  <c r="S83" i="1" s="1"/>
  <c r="R67" i="1"/>
  <c r="S67" i="1" s="1"/>
  <c r="R51" i="1"/>
  <c r="S51" i="1" s="1"/>
  <c r="R35" i="1"/>
  <c r="S35" i="1" s="1"/>
  <c r="R19" i="1"/>
  <c r="S19" i="1" s="1"/>
</calcChain>
</file>

<file path=xl/sharedStrings.xml><?xml version="1.0" encoding="utf-8"?>
<sst xmlns="http://schemas.openxmlformats.org/spreadsheetml/2006/main" count="6733" uniqueCount="6525">
  <si>
    <t>Compound Position</t>
  </si>
  <si>
    <t>Compound Name</t>
  </si>
  <si>
    <t>Plant cells 1,000/well in 50ul medium into 384 plate, transfer 0.1ul compound (1 mM) using pintool (final concentration is 2 uM). Incubate for 4d, then add CTG 10ul/well to detect cell viability.</t>
  </si>
  <si>
    <t>HOS shNC_1</t>
  </si>
  <si>
    <t>HOS shNC_2</t>
  </si>
  <si>
    <t>HOS shRB1#1_1</t>
  </si>
  <si>
    <t>HOS shRB1#1_2</t>
  </si>
  <si>
    <t>MG63 shNC_1</t>
  </si>
  <si>
    <t>MG63 shNC_2</t>
  </si>
  <si>
    <t>MG63 shNC_mean</t>
  </si>
  <si>
    <t>MG63 shRB1#1_1</t>
  </si>
  <si>
    <t>MG63 shRB1#1_2</t>
  </si>
  <si>
    <t>MG63 shRB1#1_mean</t>
  </si>
  <si>
    <t>SK01A01</t>
  </si>
  <si>
    <t>ABT-263 (Navitoclax)</t>
  </si>
  <si>
    <r>
      <t xml:space="preserve">ABT-263 (Navitoclax) is a potent inhibitor of Bcl-xL, Bcl-2 and Bcl-w with Ki of </t>
    </r>
    <r>
      <rPr>
        <sz val="11"/>
        <color theme="1"/>
        <rFont val="Aptos Narrow"/>
        <family val="2"/>
      </rPr>
      <t>≤</t>
    </r>
    <r>
      <rPr>
        <sz val="11"/>
        <color theme="1"/>
        <rFont val="Arial Narrow"/>
        <family val="2"/>
      </rPr>
      <t xml:space="preserve"> 0.5 nM, </t>
    </r>
    <r>
      <rPr>
        <sz val="11"/>
        <color theme="1"/>
        <rFont val="Aptos Narrow"/>
        <family val="2"/>
      </rPr>
      <t>≤</t>
    </r>
    <r>
      <rPr>
        <sz val="11"/>
        <color theme="1"/>
        <rFont val="Arial Narrow"/>
        <family val="2"/>
      </rPr>
      <t xml:space="preserve">1 nM and </t>
    </r>
    <r>
      <rPr>
        <sz val="11"/>
        <color theme="1"/>
        <rFont val="Aptos Narrow"/>
        <family val="2"/>
      </rPr>
      <t>≤</t>
    </r>
    <r>
      <rPr>
        <sz val="11"/>
        <color theme="1"/>
        <rFont val="Arial Narrow"/>
        <family val="2"/>
      </rPr>
      <t>1 nM, but binds more weakly to Mcl-1 and A1. Phase 1/2.</t>
    </r>
  </si>
  <si>
    <t>SK01A02</t>
  </si>
  <si>
    <t>JNJ-38877605</t>
  </si>
  <si>
    <t>JNJ-38877605 is an ATP-competitive inhibitor of c-Met with IC50 of 4 nM, 600-fold selective for c-Met than 200 other tyrosine and serine-threonine kinases. Phase 1.</t>
  </si>
  <si>
    <t>SK01A03</t>
  </si>
  <si>
    <t>Nintedanib (BIBF 1120)</t>
  </si>
  <si>
    <t>Nintedanib (BIBF 1120) is a potent triple angiokinase inhibitor for VEGFR1/2/3, FGFR1/2/3 and PDGFRα/β with IC50 of 34 nM/13 nM/13 nM, 69 nM/37 nM/108 nM and 59 nM/65 nM. Phase 3.</t>
  </si>
  <si>
    <t>SK01A04</t>
  </si>
  <si>
    <t>SRT1720</t>
  </si>
  <si>
    <t xml:space="preserve">SRT1720 is a selective SIRT1 activator with EC50 of 0.16 μM, but is &gt;230-fold less potent for SIRT2 and SIRT3. </t>
  </si>
  <si>
    <t>SK01A05</t>
  </si>
  <si>
    <t>Dasatinib</t>
  </si>
  <si>
    <r>
      <t xml:space="preserve">Dasatinib is a novel, potent and multi-targeted inhibitor that targets Abl, Src and c-Kit, with IC50 of </t>
    </r>
    <r>
      <rPr>
        <sz val="11"/>
        <color theme="1"/>
        <rFont val="Aptos Narrow"/>
        <family val="2"/>
      </rPr>
      <t>＜</t>
    </r>
    <r>
      <rPr>
        <sz val="11"/>
        <color theme="1"/>
        <rFont val="Arial Narrow"/>
        <family val="2"/>
      </rPr>
      <t>1 nM, 0.8 nM and 79 nM, respectively.</t>
    </r>
  </si>
  <si>
    <t>SK01A06</t>
  </si>
  <si>
    <t>Andarine</t>
  </si>
  <si>
    <t>Andarine is a selective non-steroidal androgen receptor (AR) agonist with Ki of 4 nM, tissue-selective for anabolic organs.</t>
  </si>
  <si>
    <t>SK01A07</t>
  </si>
  <si>
    <t>Motesanib Diphosphate (AMG-706)</t>
  </si>
  <si>
    <t>Motesanib Diphosphate (AMG-706) is a potent ATP-competitive inhibitor of VEGFR1/2/3 with IC50 of 2 nM/3 nM/6 nM, respectively; similar activity against Kit, ~10-fold more selective for VEGFR than PDGFR and Ret. Phase 1/2.</t>
  </si>
  <si>
    <t>SK01A08</t>
  </si>
  <si>
    <t>Paclitaxel</t>
  </si>
  <si>
    <t>Paclitaxel is a microtubule polymer stabilizer with IC50 of 0.1 pM in human endothelial cells.</t>
  </si>
  <si>
    <t>SK01A09</t>
  </si>
  <si>
    <t>STF-62247</t>
  </si>
  <si>
    <t>STF-62247 shows selective toxicity and growth inhibition of renal cells lacking VHL; 25-fold greater sensitivity observed for cells with VHL deficiency compared to wild-type (VHL+).</t>
  </si>
  <si>
    <t>SK01A10</t>
  </si>
  <si>
    <t>Ganetespib (STA-9090)</t>
  </si>
  <si>
    <t>Ganetespib is an HSP90 inhibitor with IC50 of 4 nM in OSA 8 cells, induces apoptosis of OSA cells while normal osteoblasts are not affected; active metabolite of STA-1474.</t>
  </si>
  <si>
    <t>SK01A11</t>
  </si>
  <si>
    <t>Elesclomol (STA-4783)</t>
  </si>
  <si>
    <t>Elesclomol (STA-4783) is a novel potent oxidative stress inducer that elicits pro-apoptosis events among tumor cells.</t>
  </si>
  <si>
    <t>SK01A12</t>
  </si>
  <si>
    <t>WZ3146</t>
  </si>
  <si>
    <t>WZ3146 is a mutant-selective irreversible inhibitor of EGFR(L858R) and EGFR(E746_A750) with IC50 of 2 nM and 2 nM; does not inhibit ERBB2 phosphorylation (T798I).</t>
  </si>
  <si>
    <t>SK01A13</t>
  </si>
  <si>
    <t>GDC-0941</t>
  </si>
  <si>
    <t>GDC-0941 is a potent inhibitor of PI3Kα/δ with IC50 of 3 nM, with modest selectivity against p110β (11-fold) and p110γ (25-fold).</t>
  </si>
  <si>
    <t>SK01A14</t>
  </si>
  <si>
    <t>Regorafenib (BAY 73-4506)</t>
  </si>
  <si>
    <t>Regorafenib (BAY 73-4506) is a multi-target inhibitor for VEGFR1, VEGFR2, VEGFR3, PDGFRβ, Kit, RET and Raf-1 with IC50 of 13 nM/4.2 nM/46 nM, 22 nM, 7 nM, 1.5 nM and 2.5 nM, respectively.</t>
  </si>
  <si>
    <t>SK01A15</t>
  </si>
  <si>
    <t>SB216763</t>
  </si>
  <si>
    <t>SB216763 is a potent and selective GSK-3 inhibitor with IC50 of 34.3 nM for GSK-3α and equally effective at inhibiting human GSK-3β.</t>
  </si>
  <si>
    <t>SK01A16</t>
  </si>
  <si>
    <t>Aprepitant</t>
  </si>
  <si>
    <t>Aprepitant is a potent and selective neurokinin-1 receptor antagonist.</t>
  </si>
  <si>
    <t>SK01A17</t>
  </si>
  <si>
    <t>Iniparib (BSI-201)</t>
  </si>
  <si>
    <t>BSI-201 (Iniparib, SAR240550) is a PARP1 inhibitor with demonstrated effectiveness in triple-negative breast cancer (TNBC). Phase 3.</t>
  </si>
  <si>
    <t>SK01A18</t>
  </si>
  <si>
    <t>Finasteride</t>
  </si>
  <si>
    <t>Finasteride is an inhibitor of steroid Type II 5α-reductase.</t>
  </si>
  <si>
    <t>SK01A19</t>
  </si>
  <si>
    <t>Quisinostat (JNJ-26481585)</t>
  </si>
  <si>
    <t>JNJ-26481585 is a novel second-generation HDAC inhibitor with highest potency for HDAC1 with IC50 of 0.11 nM, modest potent to HDACs 2, 4, 10, and 11; greater than 30-fold selectivity against HDACs 3, 5, 8, and 9 and lowest potency to HDACs 6 and 7. Phase 2.</t>
  </si>
  <si>
    <t>SK01A20</t>
  </si>
  <si>
    <t>Bisoprolol fumarate</t>
  </si>
  <si>
    <t>Bisoprolol fumarate is a selective type β1 adrenergic receptor blocker.</t>
  </si>
  <si>
    <t>SK01A21</t>
  </si>
  <si>
    <t>LY294002</t>
  </si>
  <si>
    <t>LY294002 is the first synthetic molecule known to inhibit PI3Kα/δ/β with IC50 of 0.5 μM/0.57 μM/0.97 μM, respectively; more stable in solution than Wortmannin, and also blocks autophagosome formation.</t>
  </si>
  <si>
    <t>SK01A22</t>
  </si>
  <si>
    <t>PFI-1 (PF-6405761)</t>
  </si>
  <si>
    <t>PFI-1 is a selective BET (bromodomain-containing protein) inhibitor for BRD4 with IC50 of 0.22 μM.</t>
  </si>
  <si>
    <t>SK01A23</t>
  </si>
  <si>
    <t>DMSO</t>
  </si>
  <si>
    <t>SK01A24</t>
  </si>
  <si>
    <t>SK01B01</t>
  </si>
  <si>
    <t>Etoposide</t>
  </si>
  <si>
    <t>Etoposide is a semisynthetic derivative of podophyllotoxin, which inhibits DNA synthesis via topoisomerase II  inhibition activity.</t>
  </si>
  <si>
    <t>SK01B02</t>
  </si>
  <si>
    <t>Drospirenone</t>
  </si>
  <si>
    <t>Drospirenone is a synthetic progestin that is an analog to spironolactone.</t>
  </si>
  <si>
    <t>SK01B03</t>
  </si>
  <si>
    <t>Letrozole</t>
  </si>
  <si>
    <t>Letrozole is a third generation inhibitor of aromatase with IC50 of 0.07-20 nM.</t>
  </si>
  <si>
    <t>SK01B04</t>
  </si>
  <si>
    <t>Naftopidil DiHCl</t>
  </si>
  <si>
    <t xml:space="preserve">Naftopidil DiHCl is a selective 5-HT1A and α1-adrenergic receptor antagonist with IC50 of 0.1 μM and 0.2 μM, respectively. Phase 3. </t>
  </si>
  <si>
    <t>SK01B05</t>
  </si>
  <si>
    <t>Dienogest</t>
  </si>
  <si>
    <t xml:space="preserve">Dienogest is an orally active synthetic progesterone (or progestin). </t>
  </si>
  <si>
    <t>SK01B06</t>
  </si>
  <si>
    <t>Rocuronium Bromide</t>
  </si>
  <si>
    <t>Rocuronium Bromide is an aminosteroid non-depolarizing neuromuscular blocker or muscle relaxant.</t>
  </si>
  <si>
    <t>SK01B07</t>
  </si>
  <si>
    <t>Celecoxib</t>
  </si>
  <si>
    <t>Celecoxib is a selective COX-2 inhibitor with IC50 of 40 nM.</t>
  </si>
  <si>
    <t>SK01B08</t>
  </si>
  <si>
    <t xml:space="preserve">Alfuzosin HCl </t>
  </si>
  <si>
    <t xml:space="preserve">Alfuzosin(Uroxatral) is an alpha1 receptor antagonist used to treat benign prostatic hyperplasia (BPH). </t>
  </si>
  <si>
    <t>SK01B09</t>
  </si>
  <si>
    <t>BX-912</t>
  </si>
  <si>
    <t>BX912 is a potent and specific PDK1 inhibitor with IC50 of 12 nM, 9- and 105- fold greater selectivity for PDK1 than PKA and PKC, respectively. In comparison to GSK3β, selectivity for PDK1 is 600-fold.</t>
  </si>
  <si>
    <t>SK01B10</t>
  </si>
  <si>
    <t>Tianeptine sodium</t>
  </si>
  <si>
    <t>Tianeptine is a selective serotonin reuptake enhancer (SSRE) compound used for treating major depressive episodes.</t>
  </si>
  <si>
    <t>SK01B11</t>
  </si>
  <si>
    <t>Budesonide</t>
  </si>
  <si>
    <t>Budesonide is a glucocorticoid steroid for the treatment of asthma, non-infectious rhinitis.</t>
  </si>
  <si>
    <t>SK01B12</t>
  </si>
  <si>
    <t>Zonisamide</t>
  </si>
  <si>
    <t>Zonisamide is a sulfonamide anticonvulsant approved for use as an adjunctive.</t>
  </si>
  <si>
    <t>SK01B13</t>
  </si>
  <si>
    <t>Floxuridine</t>
  </si>
  <si>
    <t>Floxuridine is a prodrugs of floxuridine and an oncology agent with an GI50 of 5.1 μM for the inhibition of MDCK/PEPT1.</t>
  </si>
  <si>
    <t>SK01B14</t>
  </si>
  <si>
    <t>VX-745</t>
  </si>
  <si>
    <t>VX-745 is a potent and selective inhibitor of p38α with IC50 of 10 nM, 22-fold greater selectivity versus p38β and no inhibition to p38γ.</t>
  </si>
  <si>
    <t>SK01B15</t>
  </si>
  <si>
    <t>Dexamethasone (DHAP)</t>
  </si>
  <si>
    <t>Dexamethasone is an anti-inflammatory and immunosuppressant.</t>
  </si>
  <si>
    <t>SK01B16</t>
  </si>
  <si>
    <t>TSU-68 (SU6668, Orantinib)</t>
  </si>
  <si>
    <t>SU6668 has greatest potency against PDGFR autophosphorylation with Ki of 8 nM, but also strongly inhibits Flk-1 and FGFR1 trans-phosphorylation, little activity against IGF-1R, Met, Src, Lck, Zap70, Abl and CDK2; does not inhibit EGFR. Phase 3.</t>
  </si>
  <si>
    <t>SK01B17</t>
  </si>
  <si>
    <t>Fluoxetine HCl</t>
  </si>
  <si>
    <t>Fluoxetine  HCl is an antidepressant of the selective serotonin reuptake inhibitor (SSRI)class.</t>
  </si>
  <si>
    <t>SK01B18</t>
  </si>
  <si>
    <t>Iloperidone</t>
  </si>
  <si>
    <t>Iloperidone is an atypical antipsychotic for the treatment of schizophrenia.</t>
  </si>
  <si>
    <t>SK01B19</t>
  </si>
  <si>
    <t>Ketoconazole</t>
  </si>
  <si>
    <t>Ketoconazole inhibits cyclosporine oxidase and testosterone 6 beta-hydroxylase with IC50 of 0.19 mM and 0.22 mM, respectively.</t>
  </si>
  <si>
    <t>SK01B20</t>
  </si>
  <si>
    <t>Fludarabine</t>
  </si>
  <si>
    <t>Fludarabine is a &lt;b&gt;STAT1&lt;/b&gt; activation inhibitor and a &lt;b&gt;DNA&lt;/b&gt; synthesis inhibitor in Vascular smooth muscle cells.</t>
  </si>
  <si>
    <t>SK01B21</t>
  </si>
  <si>
    <t>Ki8751</t>
  </si>
  <si>
    <t>Ki8751 is a potent and selective inhibitor of VEGFR2 with IC50 of 0.9 nM, &gt;40-fold selective for VEGFR2 than c-Kit, PDGFRα and FGFR-2, little activity to EGFR, HGFR and InsR.</t>
  </si>
  <si>
    <t>SK01B22</t>
  </si>
  <si>
    <t>Tadalafil</t>
  </si>
  <si>
    <t>Tadalafil is a PDE-5 inhibitor with IC50 of 1.8 nM.</t>
  </si>
  <si>
    <t>SK01B23</t>
  </si>
  <si>
    <t>SK01B24</t>
  </si>
  <si>
    <t>SK01C01</t>
  </si>
  <si>
    <t>ABT-737</t>
  </si>
  <si>
    <t>ABT-737 is a BH3 mimetic inhibitor of Bcl-xL, Bcl-2 and Bcl-w with EC50 of 78.7 nM, 30.3 nM and 197.8 nM, respectively; no inhibition observed against Mcl-1, Bcl-B or Bfl-1. Phase 2.</t>
  </si>
  <si>
    <t>SK01C02</t>
  </si>
  <si>
    <t>Odanacatib (MK-0822)</t>
  </si>
  <si>
    <t>Odanacatib (MK 0822) is a potent, selective, and neutral inhibitor of cathepsin K (human/rabbit) with IC50 of 0.2 nM/1 nM, and demonstrated high selectivity versus off-target cathepsin B, L, S. Phase 3.</t>
  </si>
  <si>
    <t>SK01C03</t>
  </si>
  <si>
    <t>Afatinib (BIBW2992)</t>
  </si>
  <si>
    <t>Afatinib (BIBW2992) irreversibly inhibits EGFR/HER2 including EGFR(wt), EGFR(L858R), EGFR(L858R/T790M) and HER2 with IC50 of 0.5 nM, 0.4 nM, 10 nM and 14 nM, respectively; 100-fold more active against Gefitinib-resistant L858R-T790M EGFR mutant. Phase 3.</t>
  </si>
  <si>
    <t>SK01C04</t>
  </si>
  <si>
    <t>YM155 (Sepantronium Bromide)</t>
  </si>
  <si>
    <t>YM155 is a potent survivin suppressant by inhibiting Survivin promoter activity with IC50 of 0.54 nM; does not significantly inhibit SV40 promoter activity, but is observed to slightly inhibit the interaction of Survivin with XIAP. Phase 1/2.</t>
  </si>
  <si>
    <t>SK01C05</t>
  </si>
  <si>
    <t>Ridaforolimus (Deforolimus, MK-8669)</t>
  </si>
  <si>
    <t>Ridaforolimus (Deforolimus, MK-8669) is a selective mTOR inhibitor with IC50 of 0.2 nM in HT-1080 cell line; while not classified as a prodrug, mTOR inhibition and FKBP12 binding is similar to rapamycin. Phase 3.</t>
  </si>
  <si>
    <t>SK01C06</t>
  </si>
  <si>
    <t>17-AAG (Tanespimycin)</t>
  </si>
  <si>
    <t>17-AAG is a potent HSP90 inhibitor with IC50 of 5 nM, having a 100-fold higher binding affinity for HSP90 derived from tumour cells than HSP90 from normal cells.</t>
  </si>
  <si>
    <t>SK01C07</t>
  </si>
  <si>
    <t>Nilotinib (AMN-107)</t>
  </si>
  <si>
    <t>Nilotinib (AMN-107) is a Bcr-Abl inhibitor with IC50 less than 30 nM.</t>
  </si>
  <si>
    <t>SK01C08</t>
  </si>
  <si>
    <t>PLX-4720</t>
  </si>
  <si>
    <t>PLX4720 is a potent and selective inhibitor of B-RafV600E with IC50 of 13 nM, equally potent to c-Raf-1(Y340D and Y341D mutations), 10-fold selectivity for B-RafV600E than wild-type B-Raf.</t>
  </si>
  <si>
    <t>SK01C09</t>
  </si>
  <si>
    <t>Sunitinib Malate</t>
  </si>
  <si>
    <t>Sunitinib Malate is a multi-targeted RTK inhibitor targeting VEGFR2 (Flk-1) and PDGFRβ with IC50 of 80 nM and 2 nM, and also inhibits c-Kit.</t>
  </si>
  <si>
    <t>SK01C10</t>
  </si>
  <si>
    <t>PA-824</t>
  </si>
  <si>
    <t>PA-824 is an anti-tuberculosis drug for tuberculosis with MIC less than 2.8 μM.</t>
  </si>
  <si>
    <t>SK01C11</t>
  </si>
  <si>
    <t>Entinostat (MS-275)</t>
  </si>
  <si>
    <t>Entinostat (MS-275) strongly inhibits HDAC1 and HDAC3 with IC50 of 0.51 μM and 1.7 μM, compared with HDACs 4, 6, 8, and 10. Phase 1/2.</t>
  </si>
  <si>
    <t>SK01C12</t>
  </si>
  <si>
    <t>CYC116</t>
  </si>
  <si>
    <t>CYC116 is a potent inhibitor of Aurora A/B with Ki of 8.0 nM/9.2 nM, is less potent to VEGFR2 (Ki of 44 nM), with 50-fold greater potency than CDKs, not active against PKA, Akt/PKB, PKC, no effect on GSK-3α/β, CK2, Plk1 and SAPK2A. Phase 1.</t>
  </si>
  <si>
    <t>SK01C13</t>
  </si>
  <si>
    <t>SL-327</t>
  </si>
  <si>
    <t>SL327 is a selective inhibitor for MEK1/2 with IC50 of 0.18 μM/ 0.22 μM, no activity towards Erk1, MKK3, MKK4, c-JUN, PKC, PKA, or CamKII;capable of transport through the blood-brain barrier.</t>
  </si>
  <si>
    <t>SK01C14</t>
  </si>
  <si>
    <t>WZ8040</t>
  </si>
  <si>
    <t>WZ8040 is a novel mutant-selective irreversible EGFRT790M inhibitor, does not inhibit ERBB2 phosphorylation (T798I).</t>
  </si>
  <si>
    <t>SK01C15</t>
  </si>
  <si>
    <t>SB203580</t>
  </si>
  <si>
    <t xml:space="preserve">SB203580 is a p38 MAPK inhibitor with IC50 of 0.3-0.5 μM, 10-fold less sensitive to SAPK3(106T) and SAPK4(106T) and blocks PKB phosphorylation with IC50 of 3-5 μM. </t>
  </si>
  <si>
    <t>SK01C16</t>
  </si>
  <si>
    <t>Bicalutamide</t>
  </si>
  <si>
    <t>Bicalutamide is an androgen receptor (AR) antagonist with IC50 of 0.16 μM.</t>
  </si>
  <si>
    <t>SK01C17</t>
  </si>
  <si>
    <t>Refametinib (RDEA119, Bay 86-9766)</t>
  </si>
  <si>
    <t>Refametinib (RDEA119, Bay 86-9766) is a potent, ATP non-competitive and highly selective inhibitor of MEK1 and MEK2 with IC50 of 19 nM and 47 nM, respectively.</t>
  </si>
  <si>
    <t>SK01C18</t>
  </si>
  <si>
    <t>Irinotecan</t>
  </si>
  <si>
    <t>Irinotecan is a topoisomerase I inhibitor for LoVo cells and HT-29 cells with IC50 of 15.8 μM and 5.17 μM, respectively.</t>
  </si>
  <si>
    <t>SK01C19</t>
  </si>
  <si>
    <t>BTZ043 Racemate</t>
  </si>
  <si>
    <t>BTZ043 racemate is a decaprenylphosphoryl-β-D-ribose 2'-epimerase (DprE1) inhibitor acting as a new antimycobacterial agent that kill Mycobacterium tuberculosis.</t>
  </si>
  <si>
    <t>SK01C20</t>
  </si>
  <si>
    <t>Tivozanib (AV-951)</t>
  </si>
  <si>
    <t>Tivozanib (AV-951) is a potent and selective VEGFR inhibitor for VEGFR1/2/3 with IC50 of 30 nM/6.5 nM/15 nM, and also inhibits PDGFR and c-Kit, low activity observed against FGFR-1, Flt3, c-Met EGFR and IGF-1R. Phase 3.</t>
  </si>
  <si>
    <t>SK01C21</t>
  </si>
  <si>
    <t>OSU-03012 (AR-12)</t>
  </si>
  <si>
    <t>OSU-03012 is a potent inhibitor of recombinant PDK-1 with IC50 of 5 μM and 2-fold increase in potency over OSU-02067.</t>
  </si>
  <si>
    <t>SK01C22</t>
  </si>
  <si>
    <t>Clofarabine</t>
  </si>
  <si>
    <t>Clofarabine inhibits the enzymatic activities of ribonucleotide reductase (IC50 = 65 nM) and DNA polymerase.</t>
  </si>
  <si>
    <t>SK01C23</t>
  </si>
  <si>
    <t>SK01C24</t>
  </si>
  <si>
    <t>SK01D01</t>
  </si>
  <si>
    <t>KU-0063794</t>
  </si>
  <si>
    <t>KU-0063794 is a potent and highly specific dual-mTOR inhibitor of mTORC1 and mTORC2 with IC50 of ~10 nM; no effect on PI3Ks.</t>
  </si>
  <si>
    <t>SK01D02</t>
  </si>
  <si>
    <t>Ruxolitinib (INCB018424)</t>
  </si>
  <si>
    <t>INCB018424 is the first potent, selective, JAK1/2 inhibitor to enter the clinic with IC50 of 3.3 nM/2.8 nM, &gt;130-fold selectivity for JAK1/2 versus JAK3. Phase 3.</t>
  </si>
  <si>
    <t>SK01D03</t>
  </si>
  <si>
    <t>Temozolomide</t>
  </si>
  <si>
    <t>Temozolomide is a DNA damage inducer.</t>
  </si>
  <si>
    <t>SK01D04</t>
  </si>
  <si>
    <t xml:space="preserve">Omeprazole </t>
  </si>
  <si>
    <t>Omeprazole(Prilosec) is a proton pump inhibitor used in the treatment of dyspepsia.</t>
  </si>
  <si>
    <t>SK01D05</t>
  </si>
  <si>
    <t>Entecavir Hydrate</t>
  </si>
  <si>
    <t xml:space="preserve">Entecavir hydrate belongs to the family of medicines called antivirals. </t>
  </si>
  <si>
    <t>SK01D06</t>
  </si>
  <si>
    <t>Stavudine (d4T)</t>
  </si>
  <si>
    <t xml:space="preserve">Stavudine is a nucleoside analog reverse transcriptase inhibitor (NARTI) active against HIV. </t>
  </si>
  <si>
    <t>SK01D07</t>
  </si>
  <si>
    <t>Avagacestat (BMS-708163)</t>
  </si>
  <si>
    <t>Avagacestat (BMS-708163) is a potent, selective, orally bioavailable γ-secretase inhibitor of Aβ40 and Aβ42 with IC50 of 0.3 nM and 0.27 nM, demonstrating a 193-fold selectivity against Notch. Phase 2.</t>
  </si>
  <si>
    <t>SK01D08</t>
  </si>
  <si>
    <t>Clopidogrel</t>
  </si>
  <si>
    <t>Clopidogrel (Plavix) is an oral, thienopyridine class antiplatelet agent.</t>
  </si>
  <si>
    <t>SK01D09</t>
  </si>
  <si>
    <t>Adapalene</t>
  </si>
  <si>
    <t>Adapalene is a third-generation topical retinoid primarily used in the treatment of acne.</t>
  </si>
  <si>
    <t>SK01D10</t>
  </si>
  <si>
    <t>Tizanidine HCl</t>
  </si>
  <si>
    <t>Tizanidine HCl is an α2-adrenergic receptor agonist and inhibits neurotransmitter release from CNS noradrenergic neurons.</t>
  </si>
  <si>
    <t>SK01D11</t>
  </si>
  <si>
    <t>Bumetanide</t>
  </si>
  <si>
    <t>Bumetanide (Bumex) is a loop diuretic of the sulfamyl category to treat heart failure.</t>
  </si>
  <si>
    <t>SK01D12</t>
  </si>
  <si>
    <t>Aurora A Inhibitor I</t>
  </si>
  <si>
    <t>Aurora A Inhibitor I is a novel, potent, and selective inhibitor of Aurora A with IC50 of 3.4 nM. It is 1000-fold more selective for Aurora A than Aurora B.</t>
  </si>
  <si>
    <t>SK01D13</t>
  </si>
  <si>
    <t>FT-207 (NSC 148958)</t>
  </si>
  <si>
    <t>FT-207 (NSC 148958) is a substance being used in the treatment of some types of cancer.</t>
  </si>
  <si>
    <t>SK01D14</t>
  </si>
  <si>
    <t>Thiazovivin</t>
  </si>
  <si>
    <t>Thiazovivin (Tzv) is a novel ROCK inhibitor with IC50 of 0.5 μM, promotes hESC survival after single-cell dissociation.</t>
  </si>
  <si>
    <t>SK01D15</t>
  </si>
  <si>
    <t>Doxazosin Mesylate</t>
  </si>
  <si>
    <t>Doxazosin mesylate is an alpha-1 adrenergic receptor blocker.</t>
  </si>
  <si>
    <t>SK01D16</t>
  </si>
  <si>
    <t>Safinamide Mesylate</t>
  </si>
  <si>
    <t>Safinamide Mesylate is mesylate salt of Safinamide, selectively and reversibly inhibits MAO-B with IC50 of 98 nM, exhibits 5918-fold selectivity against MAO-A. Phase 3.</t>
  </si>
  <si>
    <t>SK01D17</t>
  </si>
  <si>
    <t>Flupirtine maleate</t>
  </si>
  <si>
    <t>Flupirtine maleate is the salt form of Flupirtine, which is a centrally acting non-opioid analgesia, is a selective neuronal potassium channel opener that also has NMDA receptor antagonist properties. Phase 2.</t>
  </si>
  <si>
    <t>SK01D18</t>
  </si>
  <si>
    <t>MC1568</t>
  </si>
  <si>
    <t>MC1568 is a selective HDAC inhibitor for maize HD1-A with IC50 of 100 nM. It is 34-fold more selective for HD1-A than HD1-B.</t>
  </si>
  <si>
    <t>SK01D19</t>
  </si>
  <si>
    <t>Lansoprazole</t>
  </si>
  <si>
    <t>Lansoprazole is a proton-pump inhibitor (PPI) which prevents the stomach from producing gastric acid.</t>
  </si>
  <si>
    <t>SK01D20</t>
  </si>
  <si>
    <t xml:space="preserve">Pralatrexate </t>
  </si>
  <si>
    <t>Pralatrexate(Folotyn) is an antifolate, and structurally a folate analog. Its IC50 is &lt; 300 nM in some cell lines.</t>
  </si>
  <si>
    <t>SK01D21</t>
  </si>
  <si>
    <t>Epothilone B (EPO906, Patupilone)</t>
  </si>
  <si>
    <t>Epothilone B is a Taxol-like microtubule-stabilizing agent with EC0.01 of 1.8 μM. Phase 2.</t>
  </si>
  <si>
    <t>SK01D22</t>
  </si>
  <si>
    <t xml:space="preserve">Cyclosporine </t>
  </si>
  <si>
    <t>Cyclosporine (Neoral) is an immunosuppressant drug.</t>
  </si>
  <si>
    <t>SK01D23</t>
  </si>
  <si>
    <t>SK01D24</t>
  </si>
  <si>
    <t>SK01E01</t>
  </si>
  <si>
    <t>Linifanib (ABT-869)</t>
  </si>
  <si>
    <t xml:space="preserve">Linifanib (ABT-869) is a novel, potent ATP-competitive VEGFR/PDGFR inhibitor for KDR, CSF-1R, Flt-1/3 and PDGFRβ with IC50 of 4 nM, 3 nM, 3 nM/4 nM and 66 nM respectively, mostly effective in mutant kinase-dependent cancer cells (i.e. FLT3). Phase 3. </t>
  </si>
  <si>
    <t>SK01E02</t>
  </si>
  <si>
    <t>Triciribine</t>
  </si>
  <si>
    <t>Triciribine is a DNA synthesis inhibitor, also inhibits Akt and HIV-1 with IC50 of 130 nM and 20 nM, respectively; does not inhibit PI3K/PDK1; 5000-fold less active in cells lacking adenosine kinase. Phase 1/2.</t>
  </si>
  <si>
    <t>SK01E03</t>
  </si>
  <si>
    <t>BMS-536924</t>
  </si>
  <si>
    <t xml:space="preserve">BMS-536924 is an ATP-competitive IGF-1R/IR inhibitor with IC50 of 100 nM/73 nM, modest activity for Mek, Fak, and Lck with very little activity for Akt1, MAPK1/2. </t>
  </si>
  <si>
    <t>SK01E04</t>
  </si>
  <si>
    <t>INO-1001</t>
  </si>
  <si>
    <t>INO-1001 is a potent inhibitor of PARP with IC50 of &lt;50 nM in CHO cells and a mediator of oxidant-induced myocyte dysfunction during reperfusion. Phase 2.</t>
  </si>
  <si>
    <t>SK01E05</t>
  </si>
  <si>
    <t>Erlotinib HCl (OSI-744)</t>
  </si>
  <si>
    <t>Erlotinib HCl (OSI-744) is an EGFR inhibitor with IC50 of 2 nM, &gt;1000-fold more sensitive for EGFR than human c-Src or v-Abl. Phase 3.</t>
  </si>
  <si>
    <t>SK01E06</t>
  </si>
  <si>
    <t>17-DMAG (Alvespimycin) HCl</t>
  </si>
  <si>
    <t>17-DMAG is a potent, water-soluble HSP90 inhibitor with IC50 of 62 nM.</t>
  </si>
  <si>
    <t>SK01E07</t>
  </si>
  <si>
    <t>NVP-AEW541</t>
  </si>
  <si>
    <t>NVP-AEW541 is a potent inhibitor of IGF-1R with IC50 of 86 nM, 27-fold greater selectivity for IGF-1R than InsR.</t>
  </si>
  <si>
    <t>SK01E08</t>
  </si>
  <si>
    <t>Roscovitine (Seliciclib,CYC202)</t>
  </si>
  <si>
    <t>Roscovitine (Seliciclib, CYC202) is a potent and selective CDK inhibitor for Cdc2, CDK2 and CDK5 with IC50 of 0.65 μM, 0.7 μM and 0.16 μM. It shows little effect on CDK4/6. Phase 2.</t>
  </si>
  <si>
    <t>SK01E09</t>
  </si>
  <si>
    <t>Temsirolimus (CCI-779, NSC 683864)</t>
  </si>
  <si>
    <t>Temsirolimus (CCI-779) is a specific mTOR inhibitor with IC50 of 1.76 μM.</t>
  </si>
  <si>
    <t>SK01E10</t>
  </si>
  <si>
    <t>AT13387</t>
  </si>
  <si>
    <t>AT13387 is a selective potent Hsp90 inhibitor with IC50 of 18 nM in A375 cells, displays a long duration of anti-tumor activity.</t>
  </si>
  <si>
    <t>SK01E11</t>
  </si>
  <si>
    <t>Enzastaurin (LY317615)</t>
  </si>
  <si>
    <t>Enzastaurin (LY317615) is a potent PKCβ selective inhibitor with IC50 of 6 nM, 6- to 20-fold selectivity against PKCα, PKCγ and PKCε. Phase 3.</t>
  </si>
  <si>
    <t>SK01E12</t>
  </si>
  <si>
    <t>JNJ-26854165 (Serdemetan)</t>
  </si>
  <si>
    <t>JNJ-26854165 acts as a HDM2 ubiquitin ligase antagonist and also induces early apoptosis in p53 wild-type cells, inhibits cellular proliferation followed by delayed apoptosis in the absence of functional p53. Phase 1.</t>
  </si>
  <si>
    <t>SK01E13</t>
  </si>
  <si>
    <t>SB431542</t>
  </si>
  <si>
    <t>SB431542 is a potent and selective inhibitor of ALK5 with IC50 of 94 nM, 100-fold more selective for ALK5 than p38 MAPK and other kinases.</t>
  </si>
  <si>
    <t>SK01E14</t>
  </si>
  <si>
    <t>XAV-939</t>
  </si>
  <si>
    <t>XAV-939 selectively inhibits Wnt/β-catenin-mediated transcription through tankyrase1/2 inhibition with IC50 of 11 nM/4 nM, regulates axin levels and does not affect CRE, NF-κB or TGF-β.</t>
  </si>
  <si>
    <t>SK01E15</t>
  </si>
  <si>
    <t>SB202190 (FHPI)</t>
  </si>
  <si>
    <t>SB202190 (FHPI) is a potent p38 MAPK inhibitor targeting p38α/β with IC50 of 50 nM/100 nM, sometimes used instead of SB 203580 to investigate potential roles for SAPK2a/p38 in vivo.</t>
  </si>
  <si>
    <t>SK01E16</t>
  </si>
  <si>
    <t>Fulvestrant</t>
  </si>
  <si>
    <t>Fulvestrant is an estrogen receptor (ER) antagonist with IC50 of 0.094 nM.</t>
  </si>
  <si>
    <t>SK01E17</t>
  </si>
  <si>
    <t>PCI-24781 (Abexinostat)</t>
  </si>
  <si>
    <t>PCI-24781 is a novel pan-HDAC inhibitor mostly targeting HDAC1 with Ki of 7 nM, modest potent to HDACs 2, 3, 6, and 10 and greater than 40-fold selectivity against HDAC8. Phase 1/2.</t>
  </si>
  <si>
    <t>SK01E18</t>
  </si>
  <si>
    <t>Cladribine</t>
  </si>
  <si>
    <t>Cladribine is an adenosine deaminase inhibitor for U266, RPMI8226, and MM1.S cells with IC50 of approximately 2.43 μM, 0.75 μM, and 0.18 μM, respectively.</t>
  </si>
  <si>
    <t>SK01E19</t>
  </si>
  <si>
    <t>Rucaparib (AG-014699,PF-01367338)</t>
  </si>
  <si>
    <t>Rucaparib (AG-014699, PF-01367338) is an inhibitor of PARP with Ki of 1.4 nM for PARP1, also showing binding affinity to eight other PARP domains. Phase 1/2.</t>
  </si>
  <si>
    <t>SK01E20</t>
  </si>
  <si>
    <t>Doxorubicin (Adriamycin)</t>
  </si>
  <si>
    <t>Doxorubicin (Adriamycin) is an antibiotic agent that inhibits DNA topoisomerase II and induces DNA damage and apoptosis.</t>
  </si>
  <si>
    <t>SK01E21</t>
  </si>
  <si>
    <t>Danusertib (PHA-739358)</t>
  </si>
  <si>
    <t>Danusertib (PHA-739358) is an Aurora kinase inhibitor for Aurora A/B/C with IC50 of 13 nM/79 nM/61 nM, modestly potent to Abl, TrkA, c-RET and FGFR1, and less potent to Lck, VEGFR2/3, c-Kit, CDK2, etc. Phase 2.</t>
  </si>
  <si>
    <t>SK01E22</t>
  </si>
  <si>
    <t>YM201636</t>
  </si>
  <si>
    <t>YM201636 is a selective PIKfyve inhibitor with IC50 of 33 nM, less potent to p110α and insensitive to Fabl (yeast orthologue).</t>
  </si>
  <si>
    <t>SK01E23</t>
  </si>
  <si>
    <t>SK01E24</t>
  </si>
  <si>
    <t>SK01F01</t>
  </si>
  <si>
    <t>Raloxifene HCl</t>
  </si>
  <si>
    <t>Raloxifene is estrogen antagonists, inhibits human cytosolic aldehyde oxidase-catalyzed phthalazine oxidation activity with IC50 of 5.7 nM.</t>
  </si>
  <si>
    <t>SK01F02</t>
  </si>
  <si>
    <t>Isotretinoin</t>
  </si>
  <si>
    <t>It was developed to be used as a chemotherapy medication for the treatment of brain cancer, pancreatic cancer and more.</t>
  </si>
  <si>
    <t>SK01F03</t>
  </si>
  <si>
    <t>Vincristine</t>
  </si>
  <si>
    <t>Vincristine is an inhibitor of polymerization of microtubules by binding to tubulin with IC50 of 32 μM.</t>
  </si>
  <si>
    <t>SK01F04</t>
  </si>
  <si>
    <t>Ondansetron HCl</t>
  </si>
  <si>
    <t xml:space="preserve">Ondansetron HCl is a serotonin 5-HT3 receptor antagonist. </t>
  </si>
  <si>
    <t>SK01F05</t>
  </si>
  <si>
    <t>Nepafenac</t>
  </si>
  <si>
    <t>Nepafenac is a non-steroidal anti-inflammatory agent.</t>
  </si>
  <si>
    <t>SK01F06</t>
  </si>
  <si>
    <t>Tenofovir Disoproxil Fumarate</t>
  </si>
  <si>
    <t>Tenofovir Disoproxil Fumarate belongs to a class of antiretroviral drugs, it inhibits the activity of &lt;b&gt;HIV reverse transcriptase&lt;/b&gt; by competing with the natural substrate deoxyadenosine 5’-triphosphate and, after incorporation into DNA, by DNA chain termination.</t>
  </si>
  <si>
    <t>SK01F07</t>
  </si>
  <si>
    <t>CHIR-99021 (CT99021)</t>
  </si>
  <si>
    <t>CHIR-99021 (CT99021) is a &lt;b&gt;GSK-3α&lt;/b&gt; and &lt;b&gt;GSK-3β&lt;/b&gt; inhibitor with &lt;b&gt;IC50&lt;/b&gt; of 10 nM and 6.7 nM, respectively.</t>
  </si>
  <si>
    <t>SK01F08</t>
  </si>
  <si>
    <t>Droxinostat</t>
  </si>
  <si>
    <t>Droxinostat (CMH, 5809354) is a selective inhibitor of HDAC, mostly for HDACs 6 and 8 with IC50 of 2.47μM and 1.46 μM, greater than 8-fold selective against HDAC3 and no inhibition to HDAC1, 2, 4, 5, 7, 9, and 10.</t>
  </si>
  <si>
    <t>SK01F09</t>
  </si>
  <si>
    <t>Altretamine</t>
  </si>
  <si>
    <t>Altretamine is an anti-neoplastic agent.</t>
  </si>
  <si>
    <t>SK01F10</t>
  </si>
  <si>
    <t>Topiramate</t>
  </si>
  <si>
    <t>Topiramate is an anticonvulsant compound.</t>
  </si>
  <si>
    <t>SK01F11</t>
  </si>
  <si>
    <t>Carmofur</t>
  </si>
  <si>
    <t>Carmofur is a pyrimidine analogue used as an antineoplastic agent.</t>
  </si>
  <si>
    <t>SK01F12</t>
  </si>
  <si>
    <t>Ispinesib (SB-715992)</t>
  </si>
  <si>
    <t>Ispinesib (SB-715992, CK0238273) is a potent, specific and reversible inhibitor of kinesin spindle protein (KSP) with Ki app of 1.7 nM, no inhibition to CENP-E, RabK6, MCAK, MKLP1, KHC or Kif1A. Phase 1/2.</t>
  </si>
  <si>
    <t>SK01F13</t>
  </si>
  <si>
    <t>Ifosfamide</t>
  </si>
  <si>
    <t>Ifosfamide is a nitrogen mustard alkylating agent used in the treatment of cancer.</t>
  </si>
  <si>
    <t>SK01F14</t>
  </si>
  <si>
    <t>SP600125</t>
  </si>
  <si>
    <t>SP600125 is a broad-spectrum JNK inhibitor for JNK1, JNK2 and JNK3 with IC50 of 40 nM, 40 nM and 90 nM, respectively; 10-fold greater selectivity against MKK4, 25-fold greater selectivity against MKK3, MKK6, PKB, and PKCα, and 100-fold selectivity against ERK2, p38, Chk1, EGFR etc.</t>
  </si>
  <si>
    <t>SK01F15</t>
  </si>
  <si>
    <t>Edaravone</t>
  </si>
  <si>
    <t>Edaravone, a strong novel free radical scavenger, is used for treatment of patients with acute brain infarction.</t>
  </si>
  <si>
    <t>SK01F16</t>
  </si>
  <si>
    <t>GSK429286A</t>
  </si>
  <si>
    <t>GSK429286A is a selective inhibitor of ROCK1 and ROCK2 with IC50 of 14 nM and 63 nM, respectively.</t>
  </si>
  <si>
    <t>SK01F17</t>
  </si>
  <si>
    <t>Fluvoxamine maleate</t>
  </si>
  <si>
    <t>Fluvoxamine maleate is a selective serotonin (5-HT) reuptake inhibitor (SSRI).</t>
  </si>
  <si>
    <t>SK01F18</t>
  </si>
  <si>
    <t>HMN-214</t>
  </si>
  <si>
    <t>HMN-214 is a prodrug of HMN-176, which alters the cellular spatial orientation of Plk1.</t>
  </si>
  <si>
    <t>SK01F19</t>
  </si>
  <si>
    <t>Levetiracetam</t>
  </si>
  <si>
    <t>Levetiracetam is an antiepileptic compound.</t>
  </si>
  <si>
    <t>SK01F20</t>
  </si>
  <si>
    <t xml:space="preserve">Betamethasone </t>
  </si>
  <si>
    <t>Betamethasone is a glucocorticoid steroid with anti-inflammatory and immunosuppressive properties.</t>
  </si>
  <si>
    <t>SK01F21</t>
  </si>
  <si>
    <t>BMS-707035</t>
  </si>
  <si>
    <t>BMS-707035 is a specific HIV-I integrase (IN) inhibitor with IC50 of 15 nM. Phase 2.</t>
  </si>
  <si>
    <t>SK01F22</t>
  </si>
  <si>
    <t>Pracinostat (SB939)</t>
  </si>
  <si>
    <t>SB939 is a potent pan-HDAC inhibitor with IC50 of 40-140 nM with exception for HDAC6. It has no activity against the class III isoenzyme SIRT I. Phase 2.</t>
  </si>
  <si>
    <t>SK01F23</t>
  </si>
  <si>
    <t>SK01F24</t>
  </si>
  <si>
    <t>SK01G01</t>
  </si>
  <si>
    <t>Veliparib (ABT-888)</t>
  </si>
  <si>
    <t>Veliparib (ABT-888) is a potent inhibitor of PARP1 and PARP2 with Ki of 5.2 nM and 2.9 nM, respectively. It is inactive to SIRT2. Phase 1/2.</t>
  </si>
  <si>
    <t>SK01G02</t>
  </si>
  <si>
    <t>Cabozantinib (XL184, BMS-907351)</t>
  </si>
  <si>
    <t>Cabozantinib (XL184, BMS-907351) is a potent VEGFR2 inhibitor with IC50 of 0.035 nM and also inhibits c-Met, Ret, Kit, Flt-1/3/4, Tie2, and AXL with IC50 of 1.3 nM, 4 nM, 4.6 nM, 12 nM/11.3 nM/6 nM, 14.3 nM and 7 nM, respectively.</t>
  </si>
  <si>
    <t>SK01G03</t>
  </si>
  <si>
    <t>Bortezomib (PS-341)</t>
  </si>
  <si>
    <t>Bortezomib (PS-341) is a potent 20S proteasome inhibitor with Ki of 0.6 nM.</t>
  </si>
  <si>
    <t>SK01G04</t>
  </si>
  <si>
    <t>Alisertib (MLN8237)</t>
  </si>
  <si>
    <t>Alisertib (MLN8237) is a selective Aurora A inhibitor with IC50 of 1.2 nM. It has &gt;200-fold higher selectivity for Aurora A than Aurora B. Phase 3.</t>
  </si>
  <si>
    <t>SK01G05</t>
  </si>
  <si>
    <t>Gefitinib (ZD1839)</t>
  </si>
  <si>
    <t>Gefitinib (ZD-1839) is an EGFR inhibitor for Tyr1173, Tyr992, Tyr1173 and Tyr992 in the NR6wtEGFR and NR6W cells with IC50 of 37 nM, 37nM, 26 nM and 57 nM, respectively.</t>
  </si>
  <si>
    <t>SK01G06</t>
  </si>
  <si>
    <t>AG-490 (Tyrphostin B42)</t>
  </si>
  <si>
    <t>AG-490 (Tyrphostin B42) is an inhibitor of EGFR with IC50 of 0.1 μM, 135-fold more selective for EGFR versus ErbB2, also inhibits JAK2 with no activity to Lck, Lyn, Btk, Syk and Src.</t>
  </si>
  <si>
    <t>SK01G07</t>
  </si>
  <si>
    <t>Pazopanib HCl</t>
  </si>
  <si>
    <t>Pazopanib (GW786034) is a novel multi-target inhibitor of VEGFR1, VEGFR2, VEGFR3, PDGFR, FGFR, c-Kit and c-Fms with IC50 of 10 nM, 30 nM, 47 nM, 84 nM, 74 nM, 140 nM and 146 nM, respectively.</t>
  </si>
  <si>
    <t>SK01G08</t>
  </si>
  <si>
    <t>SNS-314 Mesylate</t>
  </si>
  <si>
    <t>SNS-314 Mesylate is a potent and selective inhibitor of Aurora A, Aurora B and Aurora C with IC50 of 9 nM, 31 nM, and 3 nM, respectively. It is less potent to Trk A/B, Flt4, Fms, Axl, c-Raf and DDR2. Phase 1.</t>
  </si>
  <si>
    <t>SK01G09</t>
  </si>
  <si>
    <t>Trichostatin A (TSA)</t>
  </si>
  <si>
    <t>Trichostatin A (TSA) is an HDAC inhibitor with IC50 of ~1.8 nM – HDAC8 is the only known member of the HDAC-family that is not affected by TSA. Phase 3.</t>
  </si>
  <si>
    <t>SK01G10</t>
  </si>
  <si>
    <t>Lenvatinib (E7080)</t>
  </si>
  <si>
    <t>E7080 (Lenvatinib) is a multi-target inhibitor, mostly for VEGFR2(KDR)/VEGFR3(Flt-4) with IC50 of 4 nM/5.2 nM, less potent against VEGFR1/Flt-1, ~10-fold more selective for VEGFR2/3 against FGFR1, PDGFRα/β. Phase 3.</t>
  </si>
  <si>
    <t>SK01G11</t>
  </si>
  <si>
    <t>AC480 (BMS-599626)</t>
  </si>
  <si>
    <t>AC480 (BMS-599626) is a selective and efficacious inhibitor of HER1 and HER2 with IC50 of 20 nM and 30 nM, ~8-fold less potent to HER4, &gt;100-fold to VEGFR2, c-Kit, Lck, MET etc. Phase 1.</t>
  </si>
  <si>
    <t>SK01G12</t>
  </si>
  <si>
    <t>WZ4002</t>
  </si>
  <si>
    <t>WZ4002 is a novel, mutant-selective EGFR inhibitor for EGFR(L858R)/(T790M) with IC50 of 2 nM/8 nM; does not inhibit ERBB2 phosphorylation (T798I).</t>
  </si>
  <si>
    <t>SK01G13</t>
  </si>
  <si>
    <t>Crizotinib (PF-02341066)</t>
  </si>
  <si>
    <t>PF-2341066 (Crizotinib) is a potent inhibitor of c-Met and ALK with IC50 of 11 nM and 24 nM, respectivley.</t>
  </si>
  <si>
    <t>SK01G14</t>
  </si>
  <si>
    <t>ENMD-2076</t>
  </si>
  <si>
    <t>ENMD-2076 has selective activity against Aurora A and Flt3 with IC50 of 14 nM and 1.86 nM, 25-fold selective for Aurora A than over Aurora B and less potent to VEGFR2/KDR and VEGFR3, FGFR1 and FGFR2 and PDGFRα. Phase 2.</t>
  </si>
  <si>
    <t>SK01G15</t>
  </si>
  <si>
    <t>MK-2206 2HCl</t>
  </si>
  <si>
    <t>MK-2206 2HCl is a highly selective inhibitor of Akt1/2/3 with IC50 of 8 nM/12 nM/65 nM, respectively; no inhibitory activities against 250 other protein kinases observed. Phase 2.</t>
  </si>
  <si>
    <t>SK01G16</t>
  </si>
  <si>
    <t>Raltitrexed</t>
  </si>
  <si>
    <t>Raltitrexed is a thymidylate synthase inhibitor with an IC50 of 9 nM for the inhibition of L1210 cell growth.</t>
  </si>
  <si>
    <t>SK01G17</t>
  </si>
  <si>
    <t>OSI-906 (Linsitinib)</t>
  </si>
  <si>
    <t>OSI-906 (Linsitinib) is a selective inhibitor of IGF-1R with IC50 of 35 nM; modestly potent to InsR with IC50 of 75 nM, and no activity towards Abl, ALK, BTK, EGFR, FGFR1/2, PKA etc. Phase 3.</t>
  </si>
  <si>
    <t>SK01G18</t>
  </si>
  <si>
    <t>Decitabine</t>
  </si>
  <si>
    <t>Decitabine is a potent inhibitor of DNA methylation with IC50 of 438 nM and 4.38 nM in HL-60 and KG1a cells, respectively.</t>
  </si>
  <si>
    <t>SK01G19</t>
  </si>
  <si>
    <t>MLN8054</t>
  </si>
  <si>
    <t>MLN8054 is a potent and selective inhibitor of Aurora A with IC50 of 4 nM. It is more than 40-fold selective for Aurora A than Aurora B. Phase 1.</t>
  </si>
  <si>
    <t>SK01G20</t>
  </si>
  <si>
    <t>Fluorouracil (5-Fluoracil, 5-FU)</t>
  </si>
  <si>
    <t>Fluorouracil (5-Fluoracil, 5-FU) is an DNA/RNA synthesis inhibitor, which interrupts nucleotide synthetic by inhibiting thymidylate synthase (TS).</t>
  </si>
  <si>
    <t>SK01G21</t>
  </si>
  <si>
    <t>BI 2536</t>
  </si>
  <si>
    <t>BI2536 is a potent Plk1 inhibitor with IC50 of 0.83 nM. It shows 4- and 11-fold greater selectivity against Plk2 and Plk3. Phase 2.</t>
  </si>
  <si>
    <t>SK01G22</t>
  </si>
  <si>
    <t>OSI-930</t>
  </si>
  <si>
    <t>OSI-930 is a potent inhibitor of Kit, KDR and CSF-1R with IC50 of 80 nM, 9 nM and 15 nM, respectively; also potent to Flt-1, c-Raf and Lck and low activity against PDGFRα/β, Flt-3 and Abl. Phase 1.</t>
  </si>
  <si>
    <t>SK01G23</t>
  </si>
  <si>
    <t>SK01G24</t>
  </si>
  <si>
    <t>SK01H01</t>
  </si>
  <si>
    <t>Fludarabine Phosphate</t>
  </si>
  <si>
    <t>Fludarabine Phosphate is an analogue of adenosine and deoxyadenosine, which is able to compete with dATP for incorporation into DNA and inhibit DNA synthesis.</t>
  </si>
  <si>
    <t>SK01H02</t>
  </si>
  <si>
    <t>Lopinavir</t>
  </si>
  <si>
    <t>Lopinavir is a potent HIV protease inhibitor with Ki of 1.3 pM.</t>
  </si>
  <si>
    <t>SK01H03</t>
  </si>
  <si>
    <t>Agomelatine</t>
  </si>
  <si>
    <t>Agomelatine is classified as a norepinephrine-dopamine disinhibitor (NDDI) due to its antagonism of the 5-HT2C receptor.</t>
  </si>
  <si>
    <t>SK01H04</t>
  </si>
  <si>
    <t>Oxcarbazepine</t>
  </si>
  <si>
    <t>Oxcarbazepine inhibits the binding of [3H]BTX to sodium channels with IC50 of 160 μM and also inhibits the influx of 22Na+ into rat brain synaptosomes with IC50 about 100 μM.</t>
  </si>
  <si>
    <t>SK01H05</t>
  </si>
  <si>
    <t>Rufinamide</t>
  </si>
  <si>
    <t>Rufinamide, a triazole derivative, is an anticonvulsant medication.</t>
  </si>
  <si>
    <t>SK01H06</t>
  </si>
  <si>
    <t>Tigecycline</t>
  </si>
  <si>
    <t>Tigecycline is bacteriostatic and is a protein synthesis inhibitor by binding to the 30S ribosomal subunit of bacteria and thereby blocking entry of Aminoacyl-tRNA into the A site of the ribosome during prokaryotic translation.</t>
  </si>
  <si>
    <t>SK01H07</t>
  </si>
  <si>
    <t>PD173074</t>
  </si>
  <si>
    <t>PD173074 is a potent FGFR1 inhibitor with IC50 of ~25 nM and also inhibits VEGFR2 with IC50 of 100-200 nM, ~1000-fold selective for FGFR1 than PDGFR and c-Src.</t>
  </si>
  <si>
    <t>SK01H08</t>
  </si>
  <si>
    <t>Ranolazine 2HCl</t>
  </si>
  <si>
    <t>Ranolazine 2HCl, is an antianginal medication.</t>
  </si>
  <si>
    <t>SK01H09</t>
  </si>
  <si>
    <t>Amisulpride</t>
  </si>
  <si>
    <t>Amisulpride is an atypical antipsychotic used to treat psychosis in schizophrenia and episodes of mania in bipolar disorder.</t>
  </si>
  <si>
    <t>SK01H10</t>
  </si>
  <si>
    <t>Tranilast</t>
  </si>
  <si>
    <t>Tranilast is an antiallergic compound.</t>
  </si>
  <si>
    <t>SK01H11</t>
  </si>
  <si>
    <t>Celastrol</t>
  </si>
  <si>
    <t xml:space="preserve">Celastrol is a potent &lt;b&gt;proteasome&lt;/b&gt; inhibitor for the chymotrypsin-like activity of a purified 20S proteasome with &lt;b&gt;IC50&lt;/b&gt; of 2.5 μM. </t>
  </si>
  <si>
    <t>SK01H12</t>
  </si>
  <si>
    <t xml:space="preserve">Tipifarnib </t>
  </si>
  <si>
    <t xml:space="preserve">Tipifarnib (R115777) is a potent and specific farnesyltransferase (FTase) inhibitor with IC50 of 0.6 nM, its anti-proliferative effects are most prominent in H-ras or N-ras mutant cells. Phase 3. </t>
  </si>
  <si>
    <t>SK01H13</t>
  </si>
  <si>
    <t>Megestrol Acetate</t>
  </si>
  <si>
    <t>Megestrol Acetate is a synthetic progesteronal agent with an IC50 of 260 μM for the inhibition of HegG2.</t>
  </si>
  <si>
    <t>SK01H14</t>
  </si>
  <si>
    <t>AZD6482</t>
  </si>
  <si>
    <t>AZD6482 is a PI3Kβ inhibitor with IC50 of 10 nM, 8-, 87- and 109-fold more selective to PI3Kβ than PI3Kδ, PI3Kα and PI3Kγ. Phase 1.</t>
  </si>
  <si>
    <t>SK01H15</t>
  </si>
  <si>
    <t xml:space="preserve">Etodolac </t>
  </si>
  <si>
    <t>Etodolac (Lodine) is a COX inhibitor with an IC50 of 53.5 nM.</t>
  </si>
  <si>
    <t>SK01H16</t>
  </si>
  <si>
    <t>Pimasertib (AS-703026)</t>
  </si>
  <si>
    <t>AS-703026 is a highly selective, potent, ATP non-competitive allosteric inhibitor of MEK1/2 with IC50 of 5 nM-2 μM in MM cell lines. Phase 1/2.</t>
  </si>
  <si>
    <t>SK01H17</t>
  </si>
  <si>
    <t>Genistein</t>
  </si>
  <si>
    <t xml:space="preserve">Genistein, a phytoestrogen found in soy products, is a highly specific inhibitor of protein tyrosine kinase (PTK)  which blocks the mitogenic effect mediated by EGF on NIH-3T3 cells with IC50 of 12μM or by insulin with IC50 of 19 μM. </t>
  </si>
  <si>
    <t>SK01H18</t>
  </si>
  <si>
    <t>AEE788 (NVP-AEE788)</t>
  </si>
  <si>
    <t>AEE788 is a potent inhibitor of EGFR and HER2/ErbB2 with IC50 of 2 nM and 6 nM, less potent to VEGFR2/KDR, c-Abl, c-Src, and Flt-1, does not inhibit Ins-R, IGF-1R, PKCα and CDK1. Phase 1/2.</t>
  </si>
  <si>
    <t>SK01H19</t>
  </si>
  <si>
    <t>Lidocaine</t>
  </si>
  <si>
    <t>Lidocaine is a selective inverse peripheral histamine H1-receptor agonist with an IC50 of &gt;32 μM.</t>
  </si>
  <si>
    <t>SK01H20</t>
  </si>
  <si>
    <t>Mycophenolate Mofetil</t>
  </si>
  <si>
    <t>Mycophenolate Mofetil is a non-competitive, selective and reversible inhibitor of inosine monophosphate dehydrogenase I/II with IC50 of 39 nM and 27 nM, respectively.</t>
  </si>
  <si>
    <t>SK01H21</t>
  </si>
  <si>
    <t>Amonafide</t>
  </si>
  <si>
    <t>Amonafide produces protein-associated DNA-strand breaks through a topoisomerase II-mediated reaction, but does not produce topoisomerase I-mediated DNA cleavage. Phase 3.</t>
  </si>
  <si>
    <t>SK01H22</t>
  </si>
  <si>
    <t xml:space="preserve">Natamycin </t>
  </si>
  <si>
    <t>Natamycin  is a naturally occurring antifungal agent.</t>
  </si>
  <si>
    <t>SK01H23</t>
  </si>
  <si>
    <t>SK01H24</t>
  </si>
  <si>
    <t>SK01I01</t>
  </si>
  <si>
    <t>Axitinib</t>
  </si>
  <si>
    <t>Axitinib is a multi-target inhibitor of VEGFR1, VEGFR2, VEGFR3, PDGFRβ and c-Kit with IC50 of 0.1 nM, 0.2 nM, 0.1-0.3 nM, 1.6 nM and 1.7 nM, respectively.</t>
  </si>
  <si>
    <t>SK01I02</t>
  </si>
  <si>
    <t>Everolimus (RAD001)</t>
  </si>
  <si>
    <t>Everolimus (RAD001) is an mTOR inhibitor of FKBP12 with IC50 of 1.6-2.4 nM.</t>
  </si>
  <si>
    <t>SK01I03</t>
  </si>
  <si>
    <t>Bosutinib (SKI-606)</t>
  </si>
  <si>
    <t>Bosutinib (SKI-606) is a novel, dual Src/Abl inhibitor with IC50 of 1.2 nM and 1 nM, respectively.</t>
  </si>
  <si>
    <t>SK01I04</t>
  </si>
  <si>
    <t>AT9283</t>
  </si>
  <si>
    <t>AT9283 is a potent JAK2/3 inhibitor with IC50 of 1.2 nM/1.1 nM; also potent to Aurora A/B, Abl(T315I). Phase 1/2.</t>
  </si>
  <si>
    <t>SK01I05</t>
  </si>
  <si>
    <t>Imatinib Mesylate (STI571)</t>
  </si>
  <si>
    <t>Imatinib Mesylate (STI571) is an orally bioavailability mesylate salt of Imatinib, which is a multi-target inhibitor of v-Abl, c-Kit and PDGFR with IC50 of 0.6 μM, 0.1 μM and 0.1 μM, respectively.</t>
  </si>
  <si>
    <t>SK01I06</t>
  </si>
  <si>
    <t>Ivacaftor (VX-770)</t>
  </si>
  <si>
    <t>Ivacaftor (VX-770) is a potentiator of CFTR targeting G551D-CFTR and F508del-CFTR with EC50 of 100 nM and 25 nM, respectively.</t>
  </si>
  <si>
    <t>SK01I07</t>
  </si>
  <si>
    <t>PD0325901</t>
  </si>
  <si>
    <t>PD0325901 (PD325901) is selective and non ATP-competitive MEK inhibitor with IC50 of 0.33 nM, roughly 500-fold more potent than CI-1040 on phosphorylation of ERK1 and ERK2. Phase 1/2.</t>
  </si>
  <si>
    <t>SK01I08</t>
  </si>
  <si>
    <t>S3I-201</t>
  </si>
  <si>
    <t>S3I-201 shows potent inhibition of STAT3 DNA-binding activity with IC50 of 86 μM, and low activity towards STAT1 and STAT5.</t>
  </si>
  <si>
    <t>SK01I09</t>
  </si>
  <si>
    <t>Vandetanib (ZD6474)</t>
  </si>
  <si>
    <t>Vandetanib (ZD6474) is a potent inhibitor of VEGFR2 with IC50 of 40 nM.</t>
  </si>
  <si>
    <t>SK01I10</t>
  </si>
  <si>
    <t>ABT-751 (E7010)</t>
  </si>
  <si>
    <t>ABT-751 (E7010) binds to the colchicine site on β-tubulin and inhibits polymerization of microtubules, not a substrate for the MDR transporter and is active against cell lines resistant to vincristine, doxorubicin, and cisplatin. Phase 1/2.</t>
  </si>
  <si>
    <t>SK01I11</t>
  </si>
  <si>
    <t>Obatoclax Mesylate (GX15-070)</t>
  </si>
  <si>
    <t>Obatoclax (GX15-070) is an antagonist of Bcl-2 with Ki of 0.22 μM, can assist in overcoming MCL-1 mediated resistance to apoptosis. Phase 1/2.</t>
  </si>
  <si>
    <t>SK01I12</t>
  </si>
  <si>
    <t>MK-2866 (GTx-024)</t>
  </si>
  <si>
    <t>MK-2866 (GTx-024) is a selective androgen receptor modulator (SARM) with Ki of 3.8 nM, and is tissue-selective for anabolic organs. Phase 3.</t>
  </si>
  <si>
    <t>SK01I13</t>
  </si>
  <si>
    <t>AUY922 (NVP-AUY922)</t>
  </si>
  <si>
    <t>AUY922 (NVP-AUY922) is a highly potent HSP90 inhibitor for HSP90α/β with IC50 of 13 nM /21 nM, weaker potency against the HSP90 family members GRP94 and TRAP-1, exhibits the tightest binding of any small-molecule HSP90 ligand. Phase 1/2.</t>
  </si>
  <si>
    <t>SK01I14</t>
  </si>
  <si>
    <t>Danoprevir (ITMN-191)</t>
  </si>
  <si>
    <t>Danoprevir(ITMN-191) is a peptidomimetic inhibitor of the NS3/4A protease of hepatitis C virus (HCV) with IC50 of 0.2-3.5 nM, inhibition effect for HCV genotypes 1A/1B/4/5/6 is ~10-fold higher than 2B/3A. Phase 2.</t>
  </si>
  <si>
    <t>SK01I15</t>
  </si>
  <si>
    <t>SU11274</t>
  </si>
  <si>
    <t>SU11274 is a selective Met inhibitor with IC50 of 10 nM, no effects on PGDFRβ, EGFR or Tie2.</t>
  </si>
  <si>
    <t>SK01I16</t>
  </si>
  <si>
    <t>Thalidomide</t>
  </si>
  <si>
    <t>Thalidomide was introduced as a sedative drug, immunomodulatory agent and also is investigated for treating symptoms of many cancers. Thalidomide inhibits an E3 ubiquitin ligase, which is a CRBN-DDB1-Cul4A complex.Phase 3.</t>
  </si>
  <si>
    <t>SK01I17</t>
  </si>
  <si>
    <t>KU-55933 (ATM Kinase Inhibitor)</t>
  </si>
  <si>
    <t>KU-55933 is a potent and specific ATM inhibitor with IC50/Ki of 12.9 nM/2.2 nM, and is highly selective for ATM as compared to DNA-PK, PI3K/PI4K, ATR and mTOR.</t>
  </si>
  <si>
    <t>SK01I18</t>
  </si>
  <si>
    <t>Dimesna</t>
  </si>
  <si>
    <t>Dimesna is an uroprotective agent used to decrease urotoxicity.</t>
  </si>
  <si>
    <t>SK01I19</t>
  </si>
  <si>
    <t>Vatalanib (PTK787) 2HCl</t>
  </si>
  <si>
    <t>Vatalanib (PTK787) is an inhibitor of VEGFR2/KDR with IC50 of 37 nM, less potent against VEGFR1/Flt-1, 18-fold against VEGFR3/Flt-4. Phase 1/2.</t>
  </si>
  <si>
    <t>SK01I20</t>
  </si>
  <si>
    <t>Methotrexate</t>
  </si>
  <si>
    <t>Methotrexate is an antimetabolite and antifolate drug, which acts by inhibiting the metabolism of folic acid.</t>
  </si>
  <si>
    <t>SK01I21</t>
  </si>
  <si>
    <t>Varespladib (LY315920)</t>
  </si>
  <si>
    <t>LY315920 (Varespladib) is a potent and selective human non-pancreatic secretory phospholipase A2 (hnsPLA) inhibitor with IC50 of 7 nM,. Phase 3.</t>
  </si>
  <si>
    <t>SK01I22</t>
  </si>
  <si>
    <t>Dacarbazine</t>
  </si>
  <si>
    <t>Dacarbazine is an antineoplastic chemotherapy drug used in the treatment of various cancers.</t>
  </si>
  <si>
    <t>SK01I23</t>
  </si>
  <si>
    <t>SK01I24</t>
  </si>
  <si>
    <t>SK01J01</t>
  </si>
  <si>
    <t>Flavopiridol (Alvocidib)</t>
  </si>
  <si>
    <t>Flavopiridol (Alvocidib) competes with ATP to inhibit CDKs including &lt;b&gt;CDK1&lt;/b&gt;, &lt;b&gt;CDK2&lt;/b&gt;, &lt;b&gt;CDK4&lt;/b&gt; and &lt;b&gt;CDK6&lt;/b&gt; with &lt;b&gt;IC50&lt;/b&gt; of ~ 40 nM. It is 7.5-fold more selective for CDK1, 2, 4, 6 versus CDK7. Flavopiridol is initially found to inhibit EGFR and PKA. Phase 1/2.</t>
  </si>
  <si>
    <t>SK01J02</t>
  </si>
  <si>
    <t>Meropenem</t>
  </si>
  <si>
    <t>Meropenem is an ultra-broad spectrum injectable antibiotic.</t>
  </si>
  <si>
    <t>SK01J03</t>
  </si>
  <si>
    <t>Amuvatinib (MP-470)</t>
  </si>
  <si>
    <t>Amuvatinib (MP-470) is a potent and multi-targeted inhibitor of c-Kit, PDGFRα and Flt3 with IC50 of 10 nM, 40 nM and 81 nM, respectively. Phase 2.</t>
  </si>
  <si>
    <t>SK01J04</t>
  </si>
  <si>
    <t>Pelitinib (EKB-569)</t>
  </si>
  <si>
    <t>Pelitinib (EKB-569) is a potent irreversible EGFR inhibitor with IC50 of 38.5 nM. Phase2.</t>
  </si>
  <si>
    <t>SK01J05</t>
  </si>
  <si>
    <t>Posaconazole</t>
  </si>
  <si>
    <r>
      <t>Posaconazole is a sterol C14</t>
    </r>
    <r>
      <rPr>
        <sz val="11"/>
        <color theme="1"/>
        <rFont val="Aptos Narrow"/>
        <family val="2"/>
      </rPr>
      <t>ɑ</t>
    </r>
    <r>
      <rPr>
        <sz val="11"/>
        <color theme="1"/>
        <rFont val="Arial Narrow"/>
        <family val="2"/>
      </rPr>
      <t xml:space="preserve"> demethylase inhibitor with an IC50 of 0.25 nM.</t>
    </r>
  </si>
  <si>
    <t>SK01J06</t>
  </si>
  <si>
    <t>Trilostane</t>
  </si>
  <si>
    <t>Trilostane is an inhibitor of 3 β-hydroxysteroid dehydrogenase used in the treatment of Cushing’s syndrome.</t>
  </si>
  <si>
    <t>SK01J07</t>
  </si>
  <si>
    <t>WYE-354</t>
  </si>
  <si>
    <t xml:space="preserve">WYE-354 is a potent, specific and ATP-competitive inhibitor of mTOR with IC50 of 5 nM, blocks mTORC1/P-S6K(T389) and mTORC2/P-AKT(S473) not P-AKT(T308), selective for mTOR than PI3Kα (&gt;100-fold) and PI3Kγ (&gt;500-fold). </t>
  </si>
  <si>
    <t>SK01J08</t>
  </si>
  <si>
    <t>Repaglinide</t>
  </si>
  <si>
    <t>Repaglinide is for the treatment of type II diabetes.</t>
  </si>
  <si>
    <t>SK01J09</t>
  </si>
  <si>
    <t>Aniracetam</t>
  </si>
  <si>
    <t>Aniracetam is a nootropics and neuroprotective drug.</t>
  </si>
  <si>
    <t>SK01J10</t>
  </si>
  <si>
    <t>Venlafaxine</t>
  </si>
  <si>
    <t>Venlafaxine is an arylalkanolamine serotonin-norepinephrine reuptake inhibitor (SNRI).</t>
  </si>
  <si>
    <t>SK01J11</t>
  </si>
  <si>
    <t>Cetirizine DiHCl</t>
  </si>
  <si>
    <t>Cetirizine DiHCl is an antihistamine.</t>
  </si>
  <si>
    <t>SK01J12</t>
  </si>
  <si>
    <t>PHA-680632</t>
  </si>
  <si>
    <t xml:space="preserve">PHA-680632 is potent inhibitor of Aurora A, Aurora B and Aurora C with IC50 of 27 nM, 135 nM and 120 nM, respectively. It has 10- to 200-fold higher IC50 for FGFR1, FLT3, LCK, PLK1, STLK2, and VEGFR2/3. </t>
  </si>
  <si>
    <t>SK01J13</t>
  </si>
  <si>
    <t>Mercaptopurine (6-MP)</t>
  </si>
  <si>
    <t>Mercaptopurine is a widely used antileukemic agent and immunosuppressive drug that inhibits de novo purine synthesis through incorporation of thiopurine methyltransferase metabolites into DNA and RNA.</t>
  </si>
  <si>
    <t>SK01J14</t>
  </si>
  <si>
    <t>Moxifloxacin HCl</t>
  </si>
  <si>
    <t>Moxifloxacin is a fourth-generation synthetic fluoroquinolone antibacterial agent.</t>
  </si>
  <si>
    <t>SK01J15</t>
  </si>
  <si>
    <t>Etomidate</t>
  </si>
  <si>
    <t>Etomidate is a GABAA receptors agonist at GABAA receptors.</t>
  </si>
  <si>
    <t>SK01J16</t>
  </si>
  <si>
    <t>SB525334</t>
  </si>
  <si>
    <t>SB525334 is a potent and selective inhibitor of TGFβ receptor I (ALK5) with IC50 of 14.3 nM, is 4-fold less potent to ALK4 than ALK5 and inactive to ALK2, 3, and 6.</t>
  </si>
  <si>
    <t>SK01J17</t>
  </si>
  <si>
    <t>Ginkgolide B</t>
  </si>
  <si>
    <t>Ginkgolide B is a PAFR antagonist with IC50 of 3.6 μM.</t>
  </si>
  <si>
    <t>SK01J18</t>
  </si>
  <si>
    <t>PHA-793887</t>
  </si>
  <si>
    <t>PHA-793887 is a novel and potent inhibitor of CDK2, CDK5 and CDK7 with IC50 of 8 nM, 5 nM and 10 nM. It is greater than 6-fold more selective for CDK2, 5, and 7 than CDK1, 4, and 9. Phase 1.</t>
  </si>
  <si>
    <t>SK01J19</t>
  </si>
  <si>
    <t>Loratadine</t>
  </si>
  <si>
    <t>Loratadine is a selective inverse peripheral histamine H1-receptor agonist with an IC50 of &gt;32 μM.</t>
  </si>
  <si>
    <t>SK01J20</t>
  </si>
  <si>
    <t>Dyphylline</t>
  </si>
  <si>
    <t>Dyphylline is a xanthine derivative with bronchodilator and vasodilator effects.</t>
  </si>
  <si>
    <t>SK01J21</t>
  </si>
  <si>
    <t>Acitretin</t>
  </si>
  <si>
    <t>Acitretin is a second generation retinoid used for psoriasis.</t>
  </si>
  <si>
    <t>SK01J22</t>
  </si>
  <si>
    <t>SAR245409 (XL765)</t>
  </si>
  <si>
    <t>SAR245409 (XL765) is a dual inhibitor of mTOR/PI3K, mostly for p110γ with IC50 of 9 nM; also inhibits DNA-PK and mTOR. Phase 1/2.</t>
  </si>
  <si>
    <t>SK01J23</t>
  </si>
  <si>
    <t>SK01J24</t>
  </si>
  <si>
    <t>SK01K01</t>
  </si>
  <si>
    <t>Saracatinib (AZD0530)</t>
  </si>
  <si>
    <t>Saracatinib (AZD0530) is a potent Src inhibitor with IC50 of 2.7 nM, and potent to c-Yes, Fyn, Lyn, Blk, Fgr and Lck; less active for Abl and EGFR (L858R and L861Q). Phase 1/2.</t>
  </si>
  <si>
    <t>SK01K02</t>
  </si>
  <si>
    <t>TW-37</t>
  </si>
  <si>
    <t>TW-37 is a novel nonpeptide inhibitor to recombinant Bcl-2, Bcl-xL and Mcl-1 with Ki of 0.29 μM, 1.11 μM and 0.26 μM, respectively.</t>
  </si>
  <si>
    <t>SK01K03</t>
  </si>
  <si>
    <t>Cediranib (AZD2171)</t>
  </si>
  <si>
    <r>
      <t>Cediranib (AZD2171) is a highly potent VEGFR(KDR) inhibitor with IC50 of &lt;1 nM, also inhibits Flt1/4 with IC50 of 5 nM/</t>
    </r>
    <r>
      <rPr>
        <sz val="11"/>
        <color theme="1"/>
        <rFont val="Aptos Narrow"/>
        <family val="2"/>
      </rPr>
      <t>≤</t>
    </r>
    <r>
      <rPr>
        <sz val="11"/>
        <color theme="1"/>
        <rFont val="Arial Narrow"/>
        <family val="2"/>
      </rPr>
      <t>3 nM, similar activity against c-Kit and PDGFRβ, 36-, 110-fold and &gt;1000-fold selective more for VEGFR than PDGFR-α, CSF-1R and Flt3, Phase 2/3.</t>
    </r>
  </si>
  <si>
    <t>SK01K04</t>
  </si>
  <si>
    <t>Malotilate</t>
  </si>
  <si>
    <t>Malotilate is a liver protein metabolism improved compound.</t>
  </si>
  <si>
    <t>SK01K05</t>
  </si>
  <si>
    <t>Lapatinib (GW-572016) Ditosylate</t>
  </si>
  <si>
    <t>Lapatinib Ditosylate (GW572016, GW2016) is a potent EGFR and ErbB2 inhibitor with IC50 of 10.8 and 9.2 nM, respectively.</t>
  </si>
  <si>
    <t>SK01K06</t>
  </si>
  <si>
    <t>SNS-032 (BMS-387032)</t>
  </si>
  <si>
    <t>SNS-032 has firstly been described as a selective inhibitor of CDK2 with IC50 of 48 nM and is 10- and 20-fold selective over CDK1/CDK4. It is also found to be sensitive to CDK7/9 with IC50 of 62 nM/4 nM, with little effect on CDK6. Phase 1.</t>
  </si>
  <si>
    <t>SK01K07</t>
  </si>
  <si>
    <t>PI-103</t>
  </si>
  <si>
    <t>PI-103 is a multi-targeted PI3K inhibitor for p110α/β/δ/γ with IC50 of 2 nM/3 nM/3 nM/15 nM, less potent to mTOR/DNA-PK with IC50 of 30 nM/23 nM.</t>
  </si>
  <si>
    <t>SK01K08</t>
  </si>
  <si>
    <t xml:space="preserve">Capecitabine </t>
  </si>
  <si>
    <t>Capecitabine is a tumor-selective fluoropyrimidine carbamate which achieves higher intratumoral 5-FU level with lower toxicity than 5-FU.</t>
  </si>
  <si>
    <t>SK01K09</t>
  </si>
  <si>
    <t>Vorinostat (SAHA, MK0683)</t>
  </si>
  <si>
    <t>Vorinostat (suberoylanilide hydroxamic acid, SAHA) is an HDAC inhibitor with IC50 of ~10 nM.</t>
  </si>
  <si>
    <t>SK01K10</t>
  </si>
  <si>
    <t>CP-724714</t>
  </si>
  <si>
    <t>CP-724,714 is a potent, selective inhibitor of HER2/ErbB2 with IC50 of 10 nM, &gt;640-fold selectivity against EGFR, InsR, IRG-1R, PDGFR, VEGFR2, Abl, Src, c-Met etc. Phase 2.</t>
  </si>
  <si>
    <t>SK01K11</t>
  </si>
  <si>
    <t>Olaparib (AZD2281, Ku-0059436)</t>
  </si>
  <si>
    <t>Olaparib (AZD2281, KU0059436) is a selective inhibitor of PARP1/2 with IC50 of 5 nM/1 nM, 300-times less effective against tankyrase-1. Phase 1/2.</t>
  </si>
  <si>
    <t>SK01K12</t>
  </si>
  <si>
    <t>BIIB021</t>
  </si>
  <si>
    <t>BIIB021 is an orally available, fully synthetic small-molecule inhibitor of HSP90 with Ki and EC50 of 1.7 nM and 38 nM, respectively.</t>
  </si>
  <si>
    <t>SK01K13</t>
  </si>
  <si>
    <t>PHA-665752</t>
  </si>
  <si>
    <t>PHA-665752 is a potent, selective and ATP-competitive c-Met inhibitor with IC50 of 9 nM,  &gt;50-fold selectivity for c-Met than RTKs or STKs.</t>
  </si>
  <si>
    <t>SK01K14</t>
  </si>
  <si>
    <t>Ritonavir</t>
  </si>
  <si>
    <t>Ritonavir is an antiretroviral drug which inhibits a particular liver enzyme that normally metabolizes protease inhibitors, cytochrome P450-3A4 (CYP3A4).</t>
  </si>
  <si>
    <t>SK01K15</t>
  </si>
  <si>
    <t>Vismodegib (GDC-0449)</t>
  </si>
  <si>
    <t>Vismodegib (GDC-0449) is a potent, novel and specific hedgehog inhibitor with IC50 of 3 nM and also inhibits P-gp with IC50 of 3.0 μM.</t>
  </si>
  <si>
    <t>SK01K16</t>
  </si>
  <si>
    <t>CUDC-101</t>
  </si>
  <si>
    <t>CUDC-101 is a potent multi-targeted inhibitor against HDAC, EGFR and HER2 with IC50 of 4.4 nM, 2.4 nM, and 15.7 nM, and inhibits class I/II HDACs, but not class III, Sir-type HDACs. Phase 1.</t>
  </si>
  <si>
    <t>SK01K17</t>
  </si>
  <si>
    <t>GSK1904529A</t>
  </si>
  <si>
    <t>GSK1904529A is a selective inhibitor of IGF-1R and IR with IC50 of 27 nM and 25 nM, &gt;100-fold more selective for IGF-1R/InsR than Akt1/2, Aurora A/B,B-Raf, CDK2, EGFR etc.</t>
  </si>
  <si>
    <t>SK01K18</t>
  </si>
  <si>
    <t>Dutasteride</t>
  </si>
  <si>
    <t>Dutasteride is a dual 5-α reductase inhibitor that inhibits conversion of testosterone to dihydrotestosterone (DHT).</t>
  </si>
  <si>
    <t>SK01K19</t>
  </si>
  <si>
    <t>U0126-EtOH</t>
  </si>
  <si>
    <t>U0126-EtOH is a highly selective inhibitor of MEK1/2 with IC50 of 0.07 μM/0.06 μM, 100-fold higher affinity for ΔN3-S218E/S222D MEK than PD098059.</t>
  </si>
  <si>
    <t>SK01K20</t>
  </si>
  <si>
    <t>Bendamustine HCl</t>
  </si>
  <si>
    <t>Bendamustine HCL is a DNA-damaging agent with IC50 of 50 μM.</t>
  </si>
  <si>
    <t>SK01K21</t>
  </si>
  <si>
    <t>Foretinib (GSK1363089)</t>
  </si>
  <si>
    <t>Foretinib (GSK1363089) is an ATP-competitive inhibitor of HGFR and VEGFR, mostly for Met and KDR with IC50 of 0.4 nM and 0.9 nM. Less potent against Ron, Flt-1/3/4, Kit, PDGFRα/β and Tie-2, and little activity to FGFR1 and EGFR. Phase 2.</t>
  </si>
  <si>
    <t>SK01K22</t>
  </si>
  <si>
    <t>Dexrazoxane HCl (ICRF-187, ADR-529)</t>
  </si>
  <si>
    <t>A cardioprotective agent</t>
  </si>
  <si>
    <t>SK01K23</t>
  </si>
  <si>
    <t>SK01K24</t>
  </si>
  <si>
    <t>SK01L01</t>
  </si>
  <si>
    <t>Topotecan HCl</t>
  </si>
  <si>
    <t>Topotecan (NSC 609699) is a topoisomerase I inhibitor for MCF-7 Luc cells and DU-145 Luc cells with IC50 of 13 nM and 2 nM, respectively.</t>
  </si>
  <si>
    <t>SK01L02</t>
  </si>
  <si>
    <t>Mianserin HCl</t>
  </si>
  <si>
    <t>Mianserin HCl is a psychoactive agent of the tetracyclic antidepressant.</t>
  </si>
  <si>
    <t>SK01L03</t>
  </si>
  <si>
    <t>Leflunomide</t>
  </si>
  <si>
    <t>Leflunomide is an immunosuppressant agent. Its active metabolite is Teriflunomide.</t>
  </si>
  <si>
    <t>SK01L04</t>
  </si>
  <si>
    <t>Pirarubicin</t>
  </si>
  <si>
    <t>Pirarubicin is an anthracycline antibiotic, and also a DNA/RNA synthesis inhibitor by intercalating into DNA and interacts with topoisomerase II, used as an antineoplastic agent.</t>
  </si>
  <si>
    <t>SK01L05</t>
  </si>
  <si>
    <t>Prasugrel</t>
  </si>
  <si>
    <t xml:space="preserve">A novel platelet inhibitor </t>
  </si>
  <si>
    <t>SK01L06</t>
  </si>
  <si>
    <t>Vecuronium Bromide</t>
  </si>
  <si>
    <t>Vecuronium Bromide is a muscle relaxant in the category of non-depolarizing blocking agents.</t>
  </si>
  <si>
    <t>SK01L07</t>
  </si>
  <si>
    <t>Vemurafenib (PLX4032, RG7204)</t>
  </si>
  <si>
    <t>Vemurafenib (PLX4032, RG7204) is a novel and potent inhibitor of B-RafV600E with IC50 of 31 nM.</t>
  </si>
  <si>
    <t>SK01L08</t>
  </si>
  <si>
    <t>Rolipram</t>
  </si>
  <si>
    <t>Rolipram is a PDE4-inhibitor and an anti-inflammatory agent.Phase 1.</t>
  </si>
  <si>
    <t>SK01L09</t>
  </si>
  <si>
    <t>Artemisinin</t>
  </si>
  <si>
    <t>Artemisinin is a drug used to treat multi-drug resistant strains of falciparum malaria.</t>
  </si>
  <si>
    <t>SK01L10</t>
  </si>
  <si>
    <t>Voriconazole</t>
  </si>
  <si>
    <t>Voriconazole is a new triazole derivative similar to fluconazole and itraconazole that acts by inhibiting fungal cytochrome P-450-dependent, 14-alpha-sterol demethylase-mediated synthesis of ergosterol.</t>
  </si>
  <si>
    <t>SK01L11</t>
  </si>
  <si>
    <t>Cilnidipine</t>
  </si>
  <si>
    <t>Cilnidipine is a calcium channel blocker.</t>
  </si>
  <si>
    <t>SK01L12</t>
  </si>
  <si>
    <t>Cilomilast</t>
  </si>
  <si>
    <t>Cilomilast is a potent PDE4 inhibitor with IC50 of about 110 nM, has anti-inflammatory activity and low central nervous system activity.</t>
  </si>
  <si>
    <t>SK01L13</t>
  </si>
  <si>
    <t>Streptozotocin (STZ)</t>
  </si>
  <si>
    <t>Streptozotocin is a glucosamine-nitrosourea derivative, which is a methylating, carcinogenic, antibiotic and diabetes inducing agent.</t>
  </si>
  <si>
    <t>SK01L14</t>
  </si>
  <si>
    <t>Doxercalciferol</t>
  </si>
  <si>
    <t>Doxercalciferol is a synthetic analog of vitamin D.</t>
  </si>
  <si>
    <t>SK01L15</t>
  </si>
  <si>
    <t>Felbamate</t>
  </si>
  <si>
    <t>Felbamate (Felbatol) is an anticonvulsant drug used in the treatment of epilepsy.</t>
  </si>
  <si>
    <t>SK01L16</t>
  </si>
  <si>
    <t>VX-222 (VCH-222, Lomibuvir)</t>
  </si>
  <si>
    <t>VX-222 (VCH-222) is a novel, potent and selective inhibitor of HCV polymerase with IC50 of 0.94-1.2 μM, 15.3-fold less effective for mutant M423T, and 108-fold less effective for mutant I482L. Phase 2.</t>
  </si>
  <si>
    <t>SK01L17</t>
  </si>
  <si>
    <t>Glimepiride</t>
  </si>
  <si>
    <t>Glimepiride is a medium-to-long acting sulfonylurea anti-diabetic compound with an ED50 of 182 μg/kg.</t>
  </si>
  <si>
    <t>SK01L18</t>
  </si>
  <si>
    <t xml:space="preserve">Naratriptan </t>
  </si>
  <si>
    <t>Naratriptan (Amerge) is a triptan agent that is used for the treatment of migraine headaches.</t>
  </si>
  <si>
    <t>SK01L19</t>
  </si>
  <si>
    <t>Losartan Potassium (DuP 753)</t>
  </si>
  <si>
    <t>Losartan is an angiotensin II receptor antagonist, competes with the binding of angiotensin II to AT1 receptors with IC50 of 20 nM.</t>
  </si>
  <si>
    <t>SK01L20</t>
  </si>
  <si>
    <t>Aztreonam</t>
  </si>
  <si>
    <t>Aztreonam is a synthetic monocyclic beta-lactam antibiotic.</t>
  </si>
  <si>
    <t>SK01L21</t>
  </si>
  <si>
    <t>Bafetinib (INNO-406)</t>
  </si>
  <si>
    <t xml:space="preserve">Bafetinib (INNO-406) is a potent and selective dual &lt;b&gt;Bcr-Abl/Lyn&lt;/b&gt; inhibitor with &lt;b&gt;IC50&lt;/b&gt; of 5.8 nM/19 nM in cell-free assays, does not inhibit the phosphorylation of the T315I mutant and is less potent to PDGFR and c-Kit. Phase 2. </t>
  </si>
  <si>
    <t>SK01L22</t>
  </si>
  <si>
    <t>AT7519</t>
  </si>
  <si>
    <t>AT7519 is a multi-CDK inhibitor for CDK1, 2, 4, 6 and 9 with IC50 of 10-210 nM. It is less potent to CDK3 and little active to CDK7. Phase 1.</t>
  </si>
  <si>
    <t>SK01L23</t>
  </si>
  <si>
    <t>SK01L24</t>
  </si>
  <si>
    <t>SK01M01</t>
  </si>
  <si>
    <t>FG-4592</t>
  </si>
  <si>
    <t>FG-4592 is an HIF α prolyl hydroxylase inhibitor, stabilizes HIF-2 and induces EPO production. Phase 2/3.</t>
  </si>
  <si>
    <t>SK01M02</t>
  </si>
  <si>
    <t>Mocetinostat (MGCD0103)</t>
  </si>
  <si>
    <t>Mocetinostat (MGCD0103) is a potent HDAC inhibitor with most potency for HDAC1 with IC50 of 0.15 μM, 2- to 10- fold selectivity against HDAC2, 3, and 11, and no activity to HDAC4, 5, 6, 7, and 8. Phase 1/2.</t>
  </si>
  <si>
    <t>SK01M03</t>
  </si>
  <si>
    <t>Dovitinib (TKI-258, CHIR-258)</t>
  </si>
  <si>
    <t>Dovitinib (TKI258, CHIR258) is a multitargeted RTK inhibitor, mostly for class III (FLT3/c-Kit) with IC50 of 1 nM/2 nM, also potent to class IV (FGFR1/3) and class V (VEGFR1-4) RTKs with IC50 of 8-13 nM, less potent to InsR, EGFR, c-Met, EphA2, Tie2, IGF-1R and HER2. Phase 4.</t>
  </si>
  <si>
    <t>SK01M04</t>
  </si>
  <si>
    <t>Brivanib Alaninate (BMS-582664)</t>
  </si>
  <si>
    <t>Brivanib alaninate (BMS-582664) is the prodrug of BMS-540215, an ATP-competitive inhibitor against VEGFR2 with IC50 of 25 nM.</t>
  </si>
  <si>
    <t>SK01M05</t>
  </si>
  <si>
    <t>Lenalidomide (CC-5013)</t>
  </si>
  <si>
    <t>Lenalidomide (CC-5013) is a TNF-α secretion inhibitor with IC50 of 13 nM.</t>
  </si>
  <si>
    <t>SK01M06</t>
  </si>
  <si>
    <t>Barasertib (AZD1152-HQPA)</t>
  </si>
  <si>
    <t>AZD1152-HQPA (Barasertib) is a highly selective Aurora B inhibitor with IC50 of 0.37 nM, ~100 fold more selective for Aurora B over Aurora A.</t>
  </si>
  <si>
    <t>SK01M07</t>
  </si>
  <si>
    <t>Rapamycin (Sirolimus)</t>
  </si>
  <si>
    <t>Rapamycin (Sirolimus, AY-22989, WY-090217) is a specific mTOR inhibitor with IC50 of ~0.1 nM.</t>
  </si>
  <si>
    <t>SK01M08</t>
  </si>
  <si>
    <t>CEP-18770 (Delanzomib)</t>
  </si>
  <si>
    <t>CEP-18770 is an orally active inhibitor of the chymotrypsin-like activity of proteasome with IC50 of 3.8 nM, with only marginal inhibition of the tryptic and peptidylglutamyl activities of the proteosome. Phase 1/2.</t>
  </si>
  <si>
    <t>SK01M09</t>
  </si>
  <si>
    <t>VX-680 (Tozasertib, MK-0457)</t>
  </si>
  <si>
    <t>VX-680 (Tozasertib, MK-0457) is a pan-Aurora inhibitor, mostly against Aurora A with Kiapp of 0.6 nM, less potent towards Aurora B/Aurora C and 100-fold more selective for Aurora A than 55 other kinases. Phase 2.</t>
  </si>
  <si>
    <t>SK01M10</t>
  </si>
  <si>
    <t>Valproic acid sodium salt (Sodium valproate)</t>
  </si>
  <si>
    <t>Valproic acid sodium salt (Sodium valproate) is a HDAC inhibitor with IC50 of 0.4 mM and also inhibits GABA-transaminase or succinic
semialdehyde dehydrogenase.</t>
  </si>
  <si>
    <t>SK01M11</t>
  </si>
  <si>
    <t>Nutlin-3</t>
  </si>
  <si>
    <t>Nutlin-3 is a potent and selective Mdm2 (RING finger-dependent ubiquitin protein ligase for itself and p53) antagonist with IC50 of 90 nM; stabilizes p73 in p53-deficient cells.</t>
  </si>
  <si>
    <t>SK01M12</t>
  </si>
  <si>
    <t>Plinabulin (NPI-2358)</t>
  </si>
  <si>
    <t>Plinabulin (NPI-2358) is a &lt;b&gt;vascular disrupting agent (VDA)&lt;/b&gt; against tubulin-depolymerizing with &lt;b&gt;IC50&lt;/b&gt; of 9.8~18 nM in tumor cells. Phase 1/2.</t>
  </si>
  <si>
    <t>SK01M13</t>
  </si>
  <si>
    <t>HA14-1</t>
  </si>
  <si>
    <t>HA14-1 is a non-peptidic ligand of a Bcl-2 surface pocket with IC50 of ~9 μM.</t>
  </si>
  <si>
    <t>SK01M14</t>
  </si>
  <si>
    <t>BIBR 1532</t>
  </si>
  <si>
    <t>BIBR 1532 is a potent, selective, non-competitive telomerase inhibitor with IC50 of 100 nM.</t>
  </si>
  <si>
    <t>SK01M15</t>
  </si>
  <si>
    <t>Brivanib (BMS-540215)</t>
  </si>
  <si>
    <t>Brivanib is an ATP-competitive inhibitor against VEGFR2 with IC50 of 25 nM, moderate potency against VEGFR-1 and FGFR-1, but &gt;240-fold against PDGFR-β. Phase 3.</t>
  </si>
  <si>
    <t>SK01M16</t>
  </si>
  <si>
    <t>TAK-700 (Orteronel)</t>
  </si>
  <si>
    <t>TAK-700 (Orteronel) is a potent and highly selective human 17,20-lyase inhibitor with IC50 of 38 nM, exhibits &gt;1000-fold selectivity over other CYPs (e.g. 11-hydroxylase and CYP3A4). Phase 3.</t>
  </si>
  <si>
    <t>SK01M17</t>
  </si>
  <si>
    <t>PF-04217903</t>
  </si>
  <si>
    <t>PF-04217903 is a selective ATP-competitive c-Met inhibitor with IC50 of 4.8 nM, susceptible to oncogenic mutations (no activity to Y1230C mutant). Phase 1.</t>
  </si>
  <si>
    <t>SK01M18</t>
  </si>
  <si>
    <t>Melatonin</t>
  </si>
  <si>
    <t xml:space="preserve">Melatonin is a hormone produced in the brain by the pineal gland from the amino acid tryptophan. </t>
  </si>
  <si>
    <t>SK01M19</t>
  </si>
  <si>
    <t>ZM 447439</t>
  </si>
  <si>
    <t>ZM 447439 is a selective and ATP-competitive inhibitor for Aurora A and Aurora B with IC50 of 110 nM and 130 nM, respectively. It is more than 8-fold selective for Aurora A/B than MEK1, Src, Lck and has little effect againstCDK1/2/4, Plk1, Chk1, etc.</t>
  </si>
  <si>
    <t>SK01M20</t>
  </si>
  <si>
    <t xml:space="preserve">Nelarabine </t>
  </si>
  <si>
    <t>Nelarabine is a purine nucleoside analog and DNA synthesis inhibitor with IC50 from 0.067-2.15 μM in tumor cells.</t>
  </si>
  <si>
    <t>SK01M21</t>
  </si>
  <si>
    <t>SGX-523</t>
  </si>
  <si>
    <t>SGX-523 is a selective Met inhibitor with IC50 of 4 nM, no activity to BRAFV599E, c-Raf, Abl and p38α. Phase 1.</t>
  </si>
  <si>
    <t>SK01M22</t>
  </si>
  <si>
    <t>Epirubicin HCl</t>
  </si>
  <si>
    <t>Epirubicin HCl, a semisynthetic L-arabino derivative of doxorubicin, is an antineoplastic agent by inhibiting Topoisomerase.</t>
  </si>
  <si>
    <t>SK01M23</t>
  </si>
  <si>
    <t>SK01M24</t>
  </si>
  <si>
    <t>SK01N01</t>
  </si>
  <si>
    <t>2-Methoxyestradiol (2-MeOE2)</t>
  </si>
  <si>
    <t>2-Methoxyestradiol depolymerizes microtubules and blocks HIF-1α nuclear accumulation and HIF-transcriptional activity. Phase 2.</t>
  </si>
  <si>
    <t>SK01N02</t>
  </si>
  <si>
    <t>Mosapride Citrate</t>
  </si>
  <si>
    <t>Mosapride Citrate is a gastroprokinetic agent that acts as a selective 5HT4 agonist.</t>
  </si>
  <si>
    <t>SK01N03</t>
  </si>
  <si>
    <t>JNJ-7706621</t>
  </si>
  <si>
    <t>JNJ-7706621 is pan-CDK inhibitor with the highest potency on CDK1/2 with IC50 of 9 nM/4 nM and showing &gt;6-fold selectivity for CDK1/2 than CDK3/4/6. It also potently inhibits Aurora A/B and has no activity on Plk1 and Wee1.</t>
  </si>
  <si>
    <t>SK01N04</t>
  </si>
  <si>
    <t>Pizotifen Malate</t>
  </si>
  <si>
    <t>Pizotifen Malate is a benzocycloheptane based agent used for recurrent migraine headaches.</t>
  </si>
  <si>
    <t>SK01N05</t>
  </si>
  <si>
    <t>Ramelteon</t>
  </si>
  <si>
    <t>Ramelteon is a novel melatonin receptor agonist for human MT1 and MT2 receptors and chick forebrain melatonin receptors with Ki of 14 pM, 112 pM and 23.1 pM, respectively.</t>
  </si>
  <si>
    <t>SK01N06</t>
  </si>
  <si>
    <t>Bimatoprost</t>
  </si>
  <si>
    <t>Bimatoprost is a prostaglandin analog used topically (as eye drops) to control the progression of glaucoma and in the management of ocular hypertension.</t>
  </si>
  <si>
    <t>SK01N07</t>
  </si>
  <si>
    <t>Acarbose</t>
  </si>
  <si>
    <t>Acarbose is an anti-diabetic drug used to treat type 2 diabetes mellitus and, in some countries, prediabetes.</t>
  </si>
  <si>
    <t>SK01N08</t>
  </si>
  <si>
    <t>Sildenafil Citrate</t>
  </si>
  <si>
    <t>Sildenafil, a selective inhibitor of cyclic guanosine monophosphate (cGMP)-specific phosphodiesterase type 5 (PDE5), is a well-tolerated and highly effective treatment for erectile dysfunction.</t>
  </si>
  <si>
    <t>SK01N09</t>
  </si>
  <si>
    <t>Asenapine</t>
  </si>
  <si>
    <t xml:space="preserve">Asenapine inhibits adrenergic receptor (α1, α2A, α2B, α2C) with Ki of 0.25-1.2 nM and also inhibits 5-HT receptor (1A, 1B, 2A, 2B, 2C, 5A, 6, 7) with Ki of 0.03-4.0 nM. </t>
  </si>
  <si>
    <t>SK01N10</t>
  </si>
  <si>
    <t>Zileuton</t>
  </si>
  <si>
    <t>Zileuton is an orally active inhibitor of 5-lipoxygenase, and thus inhibits leukotrienes (LTB4, LTC4, LTD4, and LTE4) formation.</t>
  </si>
  <si>
    <t>SK01N11</t>
  </si>
  <si>
    <t>Cilostazol</t>
  </si>
  <si>
    <t>Cilostazol is a potent cyclic nucleotide phosphodiesterase type 3 (PDE3) inhibitor with IC50 of 0.2 μM and inhibitor of adenosine uptake.</t>
  </si>
  <si>
    <t>SK01N12</t>
  </si>
  <si>
    <t>Zibotentan (ZD4054)</t>
  </si>
  <si>
    <t>Zibotentan (ZD4054) is a specific Endothelin (ET)A antagonist with IC50 of 21 nM, exhibiting no activity at ETB. Phase 3.</t>
  </si>
  <si>
    <t>SK01N13</t>
  </si>
  <si>
    <t>Ki16425</t>
  </si>
  <si>
    <t>Ki16425 is a competitive, potent and reversible antagonist to LPA1, LPA2 and LPA3 with Ki of 0.34 μM, 6.5 μM and 0.93 μM, respectively, shows no activity at LPA4, LPA5, LPA6.</t>
  </si>
  <si>
    <t>SK01N14</t>
  </si>
  <si>
    <t>Alfacalcidol</t>
  </si>
  <si>
    <t>Alfacalcidol is a non-selective VDR activator medication.</t>
  </si>
  <si>
    <t>SK01N15</t>
  </si>
  <si>
    <t>Fluconazole</t>
  </si>
  <si>
    <t>Fluconazole is a triazole antifungal drug used in the treatment and prevention of superficial and systemic fungal infections.</t>
  </si>
  <si>
    <t>SK01N16</t>
  </si>
  <si>
    <t>Zosuquidar (LY335979) 3HCl</t>
  </si>
  <si>
    <t>Zosuquidar (LY335979) is a potent modulator of P-glycoprotein-mediated multi-drug resistance with Ki of 60 nM. Phase 3.</t>
  </si>
  <si>
    <t>SK01N17</t>
  </si>
  <si>
    <t>Ivermectin</t>
  </si>
  <si>
    <t>Ivermectin is a broad-spectrum antiparasitic medication.</t>
  </si>
  <si>
    <t>SK01N18</t>
  </si>
  <si>
    <t>PIK-93</t>
  </si>
  <si>
    <t>PIK-93 is the first potent, synthetic PI4K (PI4KIIIβ) inhibitor with IC50 of 19 nM; shown to inhibit PI3Kα with IC50 of 39 nM.</t>
  </si>
  <si>
    <t>SK01N19</t>
  </si>
  <si>
    <t>MGCD-265</t>
  </si>
  <si>
    <t>MGCD-265 is a potent, multi-target and ATP-competitive inhibitor of c-Met and VEGFR1/2/3 with IC50 of 1 nM, 3 nM/3 nM/4 nM, respectively; also inhibits Ron and Tie2. Phase 1/2.</t>
  </si>
  <si>
    <t>SK01N20</t>
  </si>
  <si>
    <t>Alprostadil</t>
  </si>
  <si>
    <t>Alprostadil is used as a drug in the treatment of erectile dysfunction and has vasodilatory properties.</t>
  </si>
  <si>
    <t>SK01N21</t>
  </si>
  <si>
    <t>Doripenem Hydrate</t>
  </si>
  <si>
    <t>Doripenem Hydrate is an ultra-broad spectrum injectable antibiotic.</t>
  </si>
  <si>
    <t>SK01N22</t>
  </si>
  <si>
    <t>MK-1775</t>
  </si>
  <si>
    <t>MK-1775 is a potent and selective Wee1 inhibitor with IC50 of 5.2 nM; hinders G2 DNA damage checkpoint. Phase 2.</t>
  </si>
  <si>
    <t>SK01N23</t>
  </si>
  <si>
    <t>SK01N24</t>
  </si>
  <si>
    <t>SK01O01</t>
  </si>
  <si>
    <t>Selumetinib (AZD6244)</t>
  </si>
  <si>
    <t>Selumetinib (AZD6244) is a potent, highly selective MEK1 inhibitor with IC50 of 14 nM, also inhibits ERK1/2 phosphorylation with IC50 of 10 nM, no inhibition to p38α, MKK6, EGFR, ErbB2, ERK2, B-Raf, etc. Phase 1/2.</t>
  </si>
  <si>
    <t>SK01O02</t>
  </si>
  <si>
    <t>BMS-754807</t>
  </si>
  <si>
    <t>BMS-754807 is a potent and reversible inhibitor of IGF-1R/InsR with IC50 of 1.8 nM/1.7 nM, less potent to Met, Aurora A/B, TrkA/B and Ron, and shows little activity to Flt3, Lck, MK2, PKA, PKC etc. Phase 1/2.</t>
  </si>
  <si>
    <t>SK01O03</t>
  </si>
  <si>
    <t>PD184352 (CI-1040)</t>
  </si>
  <si>
    <t>CI-1040 (PD 184352) is an ATP non-competitive MEK1/2 inhibitor with IC50 of 17 nM, 100-fold more selective for MEK1/2 than MEK5. Phase 2.</t>
  </si>
  <si>
    <t>SK01O04</t>
  </si>
  <si>
    <t>ADL5859 HCl</t>
  </si>
  <si>
    <t>ADL5859 HCl is a δ-opioid receptor agonist with Ki of 0.8 nM, selectivity against opioid receptor κ, μ, and weak inhibitory activity at the hERG channel. Phase 2.</t>
  </si>
  <si>
    <t>SK01O05</t>
  </si>
  <si>
    <t>Panobinostat (LBH589)</t>
  </si>
  <si>
    <t>Panobinostat (LBH589) is a novel broad-spectrum HDAC inhibitor with IC50 of 5 nM. Phase 3.</t>
  </si>
  <si>
    <t>SK01O06</t>
  </si>
  <si>
    <t>Docetaxel</t>
  </si>
  <si>
    <t>Docetaxel, an analog of taxol, is an inhibitor of depolymerisation of microtubules by binding to stabilized microtubules.</t>
  </si>
  <si>
    <t>SK01O07</t>
  </si>
  <si>
    <t>Sorafenib Tosylate</t>
  </si>
  <si>
    <t>Sorafenib Tosylate (Bay 43-9006) is a multikinase inhibitor of Raf-1, B-Raf and VEGFR-2 with IC50 of 6 nM, 22 nM and 90 nM, respectively.</t>
  </si>
  <si>
    <t>SK01O08</t>
  </si>
  <si>
    <t>MK-8245</t>
  </si>
  <si>
    <t>MK-8245 is an liver-targeting inhibitor of stearoyl-CoA desaturase (SCD) with IC50 of 1 nM for human SCD1 and 3 nM for both rat SCD1 and mouse SCD1, with anti-diabetic and anti-dyslipidemic efficacy. Phase 2.</t>
  </si>
  <si>
    <t>SK01O09</t>
  </si>
  <si>
    <t>Y-27632 2HCl</t>
  </si>
  <si>
    <t>Y-27632 2HCl is a selective ROCK1 (p160ROCK) inhibitor with Ki of 140 nM, exhibits &gt;200-fold selectivity over other kinases, including PKC, cAMP-dependent protein kinase, MLCK and PAK.</t>
  </si>
  <si>
    <t>SK01O10</t>
  </si>
  <si>
    <t>TGX-221</t>
  </si>
  <si>
    <t xml:space="preserve">TGX-221 is a p110β-specific inhibitor with IC50 of 5 nM, 1000-fold more selective for p110β than p110α.  </t>
  </si>
  <si>
    <t>SK01O11</t>
  </si>
  <si>
    <t>Masitinib (AB1010)</t>
  </si>
  <si>
    <t>Masitinib is a novel inhibitor for Kit and PDGFRα/β with IC50 of 200 nM and 540 nM/800 nM, weak inhibition to ABL and c-Fms. Phase 2/3.</t>
  </si>
  <si>
    <t>SK01O12</t>
  </si>
  <si>
    <t>PD98059</t>
  </si>
  <si>
    <t>PD98059 is a non-ATP competitive MEK inhibitor with IC50 of 2 μM, specifically inhibits MEK-1-mediated activation of MAPK; does not directly inhibit ERK1 or ERK2.</t>
  </si>
  <si>
    <t>SK01O13</t>
  </si>
  <si>
    <t>ZSTK474</t>
  </si>
  <si>
    <t xml:space="preserve">ZSTK474 inhibits class I PI3Kisoforms with IC50 of 37 nM, mostly PI3Kδ. </t>
  </si>
  <si>
    <t>SK01O14</t>
  </si>
  <si>
    <t>Anastrozole</t>
  </si>
  <si>
    <t>Anastrozole is a third-generation nonsteroidal selective aromatase inhibitor.</t>
  </si>
  <si>
    <t>SK01O15</t>
  </si>
  <si>
    <t>Belinostat (PXD101)</t>
  </si>
  <si>
    <t>Belinostat (PXD101) is a novel HDAC inhibitor with IC50 of 27 nM, with activity demonstrated in cisplatin-resistant tumors. Phase 1/2.</t>
  </si>
  <si>
    <t>SK01O16</t>
  </si>
  <si>
    <t>Exemestane</t>
  </si>
  <si>
    <t>Exemestane is an aromatase inhibitor, inhibits human placental and rat ovarian aromatase with IC50 of 30 nM and 40 nM, respectively.</t>
  </si>
  <si>
    <t>SK01O17</t>
  </si>
  <si>
    <t>LAQ824 (Dacinostat)</t>
  </si>
  <si>
    <t>LAQ824 (Dacinostat) is a novel HDAC inhibitor with IC50 of 32 nM and is known to activate the p21 promoter.</t>
  </si>
  <si>
    <t>SK01O18</t>
  </si>
  <si>
    <t>PIK-75</t>
  </si>
  <si>
    <t>PIK-75 is a p110α inhibitor with IC50 of 5.8 nM (200-fold more potently than p110β), isoform-specific mutants at Ser773, and also potently inhibits DNA-PK with IC50 of 2 nM.</t>
  </si>
  <si>
    <t>SK01O19</t>
  </si>
  <si>
    <t>GDC-0879</t>
  </si>
  <si>
    <t>GDC-0879 is a novel, potent, and selective B-Raf inhibitor with IC50 of 0.13 nM with activity against c-Raf as well; no inhibition known to other protein kinases.</t>
  </si>
  <si>
    <t>SK01O20</t>
  </si>
  <si>
    <t>Bleomycin Sulfate</t>
  </si>
  <si>
    <t>Bleomycin Sulfate is a glycopeptide antibiotic and an anticancer agent for squamous cell carcinomas (SCC) with IC50 of 4 nM in UT-SCC-19A cells.</t>
  </si>
  <si>
    <t>SK01O21</t>
  </si>
  <si>
    <t>GSK690693</t>
  </si>
  <si>
    <t>GSK690693 is a pan-Akt inhibitor targeting Akt1/2/3 with IC50 of 2 nM/13 nM/9 nM, also sensitive to the AGC kinase family: PKA, PrkX and PKC isozymes. Phase 1.</t>
  </si>
  <si>
    <t>SK01O22</t>
  </si>
  <si>
    <t>Oxaliplatin</t>
  </si>
  <si>
    <t>Oxaliplatin inhibits DNA synthesis by conforming DNA adducts.</t>
  </si>
  <si>
    <t>SK01O23</t>
  </si>
  <si>
    <t>SK01O24</t>
  </si>
  <si>
    <t>SK01P01</t>
  </si>
  <si>
    <t xml:space="preserve">AG-1024 </t>
  </si>
  <si>
    <t>AG-1024 (Tyrphostin) inhibits IGF-1R autophosphorylation with IC50 of 7 μM, is less potent to IR with IC50 of 57 μM and specifically distinguishes between InsR and IGF-1R (as compared to other tyrphostins).</t>
  </si>
  <si>
    <t>SK01P02</t>
  </si>
  <si>
    <t>Nafamostat Mesylate</t>
  </si>
  <si>
    <t>Nafamostat Mesylate is an anticoagulant.Phase 4.</t>
  </si>
  <si>
    <t>SK01P03</t>
  </si>
  <si>
    <t>Enzalutamide (MDV3100)</t>
  </si>
  <si>
    <t>Enzalutamide (MDV3100) is an androgen-receptor (AR) antagonist with IC50 of 36 nM.</t>
  </si>
  <si>
    <t>SK01P04</t>
  </si>
  <si>
    <t>Resveratrol</t>
  </si>
  <si>
    <t>Resveratrol is a phytoalexin produced naturally by several plants with anti-cancer, anti-inflammatory, blood-sugar-lowering and other beneficial cardiovascular effects.</t>
  </si>
  <si>
    <t>SK01P05</t>
  </si>
  <si>
    <t>Cinacalcet HCl</t>
  </si>
  <si>
    <t>AMG-073 represents a new class of compounds for the treatment of hyperparathyroidism.</t>
  </si>
  <si>
    <t>SK01P06</t>
  </si>
  <si>
    <t>Linezolid</t>
  </si>
  <si>
    <t xml:space="preserve">Linezolid is a synthetic antibiotic used for the treatment of serious infections. </t>
  </si>
  <si>
    <t>SK01P07</t>
  </si>
  <si>
    <t>BX-795</t>
  </si>
  <si>
    <t>BX795 is a potent and specific PDK1 inhibitor with IC50 of 6 nM, 140- and 1600-fold more selective for PDK1 than PKA and PKC, respectively. Meanwhile, in comparison to GSK3β more than 100-fold selectivity observed for PDK1.</t>
  </si>
  <si>
    <t>SK01P08</t>
  </si>
  <si>
    <t>Sumatriptan Succinate</t>
  </si>
  <si>
    <t>Sumatriptan Succinate is a triptan sulfa drug containing a sulfonamide group for the treatment of migraine headaches.</t>
  </si>
  <si>
    <t>SK01P09</t>
  </si>
  <si>
    <t>Benazepril HCl</t>
  </si>
  <si>
    <t>Benazepril is a medication used to treat high blood pressure.</t>
  </si>
  <si>
    <t>SK01P10</t>
  </si>
  <si>
    <t>Ziprasidone HCl</t>
  </si>
  <si>
    <t>Ziprasidone HCl was the fifth atypical antipsychotic.</t>
  </si>
  <si>
    <t>SK01P11</t>
  </si>
  <si>
    <t>Epothilone A</t>
  </si>
  <si>
    <t>Epothilone A is a Taxol-like microtubule-stabilizing agent with EC0.01 of 2 μM.</t>
  </si>
  <si>
    <t>SK01P12</t>
  </si>
  <si>
    <t>Atazanavir Sulfate</t>
  </si>
  <si>
    <t>Atazanavir is a HIV protease inhibitor with Ki of 2.66 nM.</t>
  </si>
  <si>
    <t>SK01P13</t>
  </si>
  <si>
    <t>Costunolide</t>
  </si>
  <si>
    <t>Costunolide, a natural sesquiterpene compound with multiple biological activities; inhibits FPTase with IC50 of 20 μM, also inhibits telomerase with IC50 of 65-90 μM.</t>
  </si>
  <si>
    <t>SK01P14</t>
  </si>
  <si>
    <t>Calcifediol</t>
  </si>
  <si>
    <t>Calcifediol is a major circulating metabolite of vitamin D3 and acts as a competitive inhibitor with an apparent Ki of 3.9 μM. It also suppresses PTH secretion and mRNA (ED50=2 nM).</t>
  </si>
  <si>
    <t>SK01P15</t>
  </si>
  <si>
    <t>Flumazenil</t>
  </si>
  <si>
    <t>Flumazenil is a benzodiazepine antagonist.</t>
  </si>
  <si>
    <t>SK01P16</t>
  </si>
  <si>
    <t>Daclatasvir (BMS-790052)</t>
  </si>
  <si>
    <t>BMS-790052 is a highly selective inhibitor of HCV NS5A with EC50 of 9-50 pM, for a broad range of HCV replicon genotypes and the JFH-1 genotype 2a infectious virus in cell culture. Phase 3.</t>
  </si>
  <si>
    <t>SK01P17</t>
  </si>
  <si>
    <t>TG100-115</t>
  </si>
  <si>
    <t>TG100115 is a PI3Kγ/δ inhibitor with IC50 of 83 nM/235 nM, with little effect on PI3Kα/β. Phase 1/2.</t>
  </si>
  <si>
    <t>SK01P18</t>
  </si>
  <si>
    <t>Ponatinib (AP24534)</t>
  </si>
  <si>
    <t>Ponatinib (AP24534) is a novel, potent multi-target inhibitor of Abl, PDGFRα, VEGFR2, FGFR1 and Src with IC50 of 0.37 nM, 1.1 nM, 1.5 nM, 2.2 nM and 5.4 nM, respectively.</t>
  </si>
  <si>
    <t>SK01P19</t>
  </si>
  <si>
    <t>Rigosertib (ON-01910)</t>
  </si>
  <si>
    <t>Rigosertib (ON-01910) is a non-ATP-competitive inhibitor of PLK1 with IC50 of 9 nM. It shows 30-fold greater selectivity against Plk2 and no activity to Plk3. Phase 3.</t>
  </si>
  <si>
    <t>SK01P20</t>
  </si>
  <si>
    <t xml:space="preserve">Lactulose </t>
  </si>
  <si>
    <t xml:space="preserve">Lactulose, a disaccharide composed of galactose and fructose, is a stimulator of health-promoting bacterium growth in the gastrointestinal tract, used to treat chronic constipation and hepatic encephalopathy.
</t>
  </si>
  <si>
    <t>SK01P21</t>
  </si>
  <si>
    <t>Gestodene</t>
  </si>
  <si>
    <t>Gestodene is a progestogen hormonal contraceptive.</t>
  </si>
  <si>
    <t>SK01P22</t>
  </si>
  <si>
    <t>Quizartinib (AC220)</t>
  </si>
  <si>
    <t>Quizartinib (AC220) is a second-generation FLT3 inhibitor for Flt3(ITD/WT) with IC50 of 1.1 nM/4.2 nM, 10-fold more selective for Flt3 than KIT, PDGFRα, PDGFRβ, RET, and CSF-1R. Phase 1/2.</t>
  </si>
  <si>
    <t>SK01P23</t>
  </si>
  <si>
    <t>SK01P24</t>
  </si>
  <si>
    <t>SK02A01</t>
  </si>
  <si>
    <t>LY2811376</t>
  </si>
  <si>
    <t>LY2811376 is the first orally available non-peptidic β-secretase(BACE1) inhibitor with IC50 of 239 nM-249 nM, that act to decrease Aβ secretion with EC50 of 300 nM, demonstrated to have 10-fold selectivity towards BACE1 over BACE2, and more than 50-fold inhibition over other aspartic proteases including cathepsin D, pepsin, or renin. Phase 1.</t>
  </si>
  <si>
    <t>SK02A02</t>
  </si>
  <si>
    <t>Loteprednol etabonate</t>
  </si>
  <si>
    <t>Loteprednol etabonate is a potent &lt;b&gt;glucocorticoid receptor&lt;/b&gt; agonist, used in treatment of inflammation of the eye due to allergies.</t>
  </si>
  <si>
    <t>SK02A03</t>
  </si>
  <si>
    <t>DMXAA (Vadimezan)</t>
  </si>
  <si>
    <t>DMXAA (Vadimezan) is a vascular disrupting agents (VDA) and competitive inhibitor of DT-diaphorase with Ki of 20 μM and IC50 of 62.5 μM, respectively. Phase 3.</t>
  </si>
  <si>
    <t>SK02A04</t>
  </si>
  <si>
    <t>Mesalamine</t>
  </si>
  <si>
    <t>Mesalamine is an anti-inflammatory compound.</t>
  </si>
  <si>
    <t>SK02A05</t>
  </si>
  <si>
    <t xml:space="preserve">Nebivolol </t>
  </si>
  <si>
    <t>Nebivolol selectively inhibits β1-adrenoceptor with IC50 of 0.8 nM.</t>
  </si>
  <si>
    <t>SK02A06</t>
  </si>
  <si>
    <t xml:space="preserve">Carbamazepine </t>
  </si>
  <si>
    <t>Carbamazepine (Carbatrol) is a sodium channel blocker with IC50 of 131 μM in rat brain synaptosomes.</t>
  </si>
  <si>
    <t>SK02A07</t>
  </si>
  <si>
    <t>Pomalidomide</t>
  </si>
  <si>
    <t>Pomalidomide inhibits LPS-induced TNF-α release with IC50 of 13 nM.</t>
  </si>
  <si>
    <t>SK02A08</t>
  </si>
  <si>
    <t>Hydrochlorothiazide</t>
  </si>
  <si>
    <t>Hydrochlorothiazide is a first line diuretic compound of the thiazide class.</t>
  </si>
  <si>
    <t>SK02A09</t>
  </si>
  <si>
    <t>Sulfasalazine</t>
  </si>
  <si>
    <t>Sulfasalazine is a sulfa agent and a derivative of mesalazine used primarily as an anti-inflammatory agent.</t>
  </si>
  <si>
    <t>SK02A10</t>
  </si>
  <si>
    <t>Zalcitabine</t>
  </si>
  <si>
    <t>Zalcitabine is a nucleoside analog HIV reverse transcriptase inhibitor (NARTI).</t>
  </si>
  <si>
    <t>SK02A11</t>
  </si>
  <si>
    <t xml:space="preserve">Furosemide </t>
  </si>
  <si>
    <t>Furosemide(Lasix) is a loop diuretic used in the treatment of congestive heart failure and edema.</t>
  </si>
  <si>
    <t>SK02A12</t>
  </si>
  <si>
    <t>Methylprednisolone</t>
  </si>
  <si>
    <t>Methylprednisolone is a synthetic corticosteroid with anti-inflammatory and immunomodulating properties.</t>
  </si>
  <si>
    <t>SK02A13</t>
  </si>
  <si>
    <t xml:space="preserve">Cefoperazone </t>
  </si>
  <si>
    <t>Cefoperazone is a cephalosporin antibiotic for inhibition of rMrp2-mediated [3H]E217βG uptake with IC50 of 199 μM.</t>
  </si>
  <si>
    <t>SK02A14</t>
  </si>
  <si>
    <t xml:space="preserve">Rifabutin </t>
  </si>
  <si>
    <t>Rifabutin(Mycobutin) is a semisynthetic ansamycin antibiotic with potent antimycobacterial properties.</t>
  </si>
  <si>
    <t>SK02A15</t>
  </si>
  <si>
    <t>Acetylcysteine</t>
  </si>
  <si>
    <t xml:space="preserve">Acetylcysteine is a pharmaceutical drug and nutritional supplement used primarily as a mucolytic agent and in the management of paracetamol (acetaminophen) overdose. </t>
  </si>
  <si>
    <t>SK02A16</t>
  </si>
  <si>
    <t xml:space="preserve">Pitavastatin Calcium </t>
  </si>
  <si>
    <t>Pitavastatin calcium is a novel member of the medication class of statins.</t>
  </si>
  <si>
    <t>SK02A17</t>
  </si>
  <si>
    <t xml:space="preserve">Zafirlukast </t>
  </si>
  <si>
    <t>Zafirlukast is a leukotriene receptor antagonist (LTRA). (IC50=0.6μM, IC50=7.0 µM for CYP2C9)</t>
  </si>
  <si>
    <t>SK02A18</t>
  </si>
  <si>
    <t>Chlorprothixene</t>
  </si>
  <si>
    <t>Chlorprothixene has strong binding affinities to dopamine and histamine receptors, such as D1, D2, D3, D5, H1, 5-HT2, 5-HT6 and 5-HT7, with Ki of 18 nM, 2.96 nM, 4.56 nM, 9 nM, 3.75 nM, 9.4 nM, 3 nM and 5.6 nM, respectively.</t>
  </si>
  <si>
    <t>SK02A19</t>
  </si>
  <si>
    <t>Nitrofural</t>
  </si>
  <si>
    <t>Nitrofural is a topical anti-infective agent with an IC50 of 22.83 ± 1.2 μM. (Rat LD50 = 590 mg/kg)</t>
  </si>
  <si>
    <t>SK02A20</t>
  </si>
  <si>
    <t xml:space="preserve">Rifaximin </t>
  </si>
  <si>
    <t>Rifaximin(Xifaxan), an orally administered, semi-synthetic, nonsystemic antibiotic derived from rifamycin SV with antibacterial activity.</t>
  </si>
  <si>
    <t>SK02A21</t>
  </si>
  <si>
    <t xml:space="preserve">Phenylbutazone </t>
  </si>
  <si>
    <t>Phenylbutazone(Butazolidin, Butatron) is used as a non-steroidal anti-inflammatory agent for the treatment of chronic pain, including the symptoms of arthritis.</t>
  </si>
  <si>
    <t>SK02A22</t>
  </si>
  <si>
    <t>Acipimox</t>
  </si>
  <si>
    <t>Acipimox is a niacin derivative used as a hypolipidemic agent.</t>
  </si>
  <si>
    <t>SK02A23</t>
  </si>
  <si>
    <t>SK02A24</t>
  </si>
  <si>
    <t>SK02B01</t>
  </si>
  <si>
    <t>Betaxolol hydrochloride (Betoptic)</t>
  </si>
  <si>
    <t>Betaxolol is a β1 adrenergic receptor blocker with IC50 of 6 μM.</t>
  </si>
  <si>
    <t>SK02B02</t>
  </si>
  <si>
    <t>Pyrimethamine</t>
  </si>
  <si>
    <t>Pyrimethamine is a dihydrofolate reductase(DHFR) inhibitor with an IC50 of 15.4 nM.</t>
  </si>
  <si>
    <t>SK02B03</t>
  </si>
  <si>
    <t>Albendazole Oxide</t>
  </si>
  <si>
    <t>Albendazole Oxide is a tubulin polymerization or assembly inhibitor.</t>
  </si>
  <si>
    <t>SK02B04</t>
  </si>
  <si>
    <t>Benidipine HCl</t>
  </si>
  <si>
    <t>Benidipine HCl is a hydrochloride salt form of benidipine which is a dihydropyridine calcium channel blocker.</t>
  </si>
  <si>
    <t>SK02B05</t>
  </si>
  <si>
    <t>Bifonazole</t>
  </si>
  <si>
    <t>Bifonazole is an antifungal agent and a prostatic aromatase activity inhibitor with IC50 of 1.6 μM.</t>
  </si>
  <si>
    <t>SK02B06</t>
  </si>
  <si>
    <t>Uridine</t>
  </si>
  <si>
    <t>Uridine is a nucleoside, contains a uracil attached to a ribose ring via a β-N1-glycosidic bond.</t>
  </si>
  <si>
    <t>SK02B07</t>
  </si>
  <si>
    <t>Ganciclovir</t>
  </si>
  <si>
    <t>Ganciclovir is an antiviral drug for feline herpesvirus type-1 with IC50 of 5.2 μM.</t>
  </si>
  <si>
    <t>SK02B08</t>
  </si>
  <si>
    <t>Nimesulide</t>
  </si>
  <si>
    <t>Nimesulide is a relatively COX-2 selective inhibitor with IC50 of 26 μM.</t>
  </si>
  <si>
    <t>SK02B09</t>
  </si>
  <si>
    <t>Nizatidine</t>
  </si>
  <si>
    <t>Nizatidine is a histamine H2 receptor antagonist with IC50 of 6.7 nM for AChE.</t>
  </si>
  <si>
    <t>SK02B10</t>
  </si>
  <si>
    <t>Captopril</t>
  </si>
  <si>
    <t>Captopril is an angiotensin-converting enzyme (ACE) inhibitor with IC50 of 6 nM.</t>
  </si>
  <si>
    <t>SK02B11</t>
  </si>
  <si>
    <t>Vitamin B12</t>
  </si>
  <si>
    <t>Vitamin B12 is a water soluble vitamin with a key role in the normal functioning of the brain and nervous system, and for the formation of blood.</t>
  </si>
  <si>
    <t>SK02B12</t>
  </si>
  <si>
    <t>Bromhexine HCl</t>
  </si>
  <si>
    <t>Bromhexine hydrochloride is a medication prescribed for coughs which works by dissolving hard phlegm.</t>
  </si>
  <si>
    <t>SK02B13</t>
  </si>
  <si>
    <t>Tropicamide</t>
  </si>
  <si>
    <t>Tropicamide is an anticholinergic and a muscarinic receptor subtype M4-preferring antagonist with IC50 of 8.0 nM.</t>
  </si>
  <si>
    <t>SK02B14</t>
  </si>
  <si>
    <t>Mecarbinate</t>
  </si>
  <si>
    <t>Mecarbinate is a chemical intermediate of arbidol hydrochloride.</t>
  </si>
  <si>
    <t>SK02B15</t>
  </si>
  <si>
    <t>Irsogladine</t>
  </si>
  <si>
    <t>Irsogladine is an anti-gastric ulcer agent that facilitates gap-junctional intercellular communication through M1 muscarininc acetylcholine receptor binding.</t>
  </si>
  <si>
    <t>SK02B16</t>
  </si>
  <si>
    <t>Duloxetine HCl</t>
  </si>
  <si>
    <t>Duloxetine is a serotonin-norepinephrine reuptake inhibitor with Ki of 4.6 nM, used for treatment of major depressive disorder and generalized anxiety disorder (GAD).</t>
  </si>
  <si>
    <t>SK02B17</t>
  </si>
  <si>
    <t>Miconazole Nitrate</t>
  </si>
  <si>
    <t>Miconazole is an imidazole antifungal agent that is used topically and by intravenous infusion.</t>
  </si>
  <si>
    <t>SK02B18</t>
  </si>
  <si>
    <t>Ambrisentan</t>
  </si>
  <si>
    <t>Ambrisentan, a highly selective antagonist of the endothelin-1 type A receptor with IC50 of 18 nM, is indicated for the treatment of pulmonary arterial hypertension (PAH).</t>
  </si>
  <si>
    <t>SK02B19</t>
  </si>
  <si>
    <t>Nefiracetam</t>
  </si>
  <si>
    <t>Nefiracetam is a GABAergic, cholinergic, and monoaminergic neuronal systems enhancer for Ro 5-4864-induced convulsions. Phase 2.</t>
  </si>
  <si>
    <t>SK02B20</t>
  </si>
  <si>
    <t>Imidapril HCl</t>
  </si>
  <si>
    <t>Imidapril HCl is a angiotensin-converting enzyme (ACE) inhibitor with IC50 of 2.6 nM, used for the treatment of hypertension.</t>
  </si>
  <si>
    <t>SK02B21</t>
  </si>
  <si>
    <t>Adenine HCl</t>
  </si>
  <si>
    <t>Adenine hydrochloride is a hydrochloride salt form of adenine which is a purine derivative and a nucleobase with a variety of roles in biochemistry.</t>
  </si>
  <si>
    <t>SK02B22</t>
  </si>
  <si>
    <t>Licofelone</t>
  </si>
  <si>
    <t>Licofelone is a dual COX/LOX inhibitor being considered as a treatment for osteoarthritis.</t>
  </si>
  <si>
    <t>SK02B23</t>
  </si>
  <si>
    <t>SK02B24</t>
  </si>
  <si>
    <t>SK02C01</t>
  </si>
  <si>
    <t>Hesperadin</t>
  </si>
  <si>
    <t>Hesperadin potently inhibits Aurora B with IC50 of 250 nM. It markedly reduces the activity of AMPK, Lck, MKK1, MAPKAP-K1, CHK1 and PHK while it does not inhibit MKK1 activity in vivo.</t>
  </si>
  <si>
    <t>SK02C02</t>
  </si>
  <si>
    <r>
      <rPr>
        <sz val="11"/>
        <rFont val="宋体"/>
        <family val="3"/>
        <charset val="134"/>
      </rPr>
      <t>（</t>
    </r>
    <r>
      <rPr>
        <sz val="11"/>
        <rFont val="Arial Narrow"/>
        <family val="2"/>
      </rPr>
      <t>6-</t>
    </r>
    <r>
      <rPr>
        <sz val="11"/>
        <rFont val="宋体"/>
        <family val="3"/>
        <charset val="134"/>
      </rPr>
      <t>）</t>
    </r>
    <r>
      <rPr>
        <sz val="11"/>
        <rFont val="Arial Narrow"/>
        <family val="2"/>
      </rPr>
      <t>ε-​Aminocaproic acid</t>
    </r>
  </si>
  <si>
    <r>
      <rPr>
        <sz val="11"/>
        <color theme="1"/>
        <rFont val="Aptos Narrow"/>
        <family val="2"/>
      </rPr>
      <t>（</t>
    </r>
    <r>
      <rPr>
        <sz val="11"/>
        <color theme="1"/>
        <rFont val="Arial Narrow"/>
        <family val="2"/>
      </rPr>
      <t>6-</t>
    </r>
    <r>
      <rPr>
        <sz val="11"/>
        <color theme="1"/>
        <rFont val="Aptos Narrow"/>
        <family val="2"/>
      </rPr>
      <t>）</t>
    </r>
    <r>
      <rPr>
        <sz val="11"/>
        <color theme="1"/>
        <rFont val="Arial Narrow"/>
        <family val="2"/>
      </rPr>
      <t>ε-​Aminocaproic acid is a derivative and analogue of the amino acid lysine.</t>
    </r>
  </si>
  <si>
    <t>SK02C03</t>
  </si>
  <si>
    <t>Telaprevir (VX-950)</t>
  </si>
  <si>
    <t>Telaprevir (VX-950) is an HCV NS3-4A serine protease inhibitor with IC50 of 0.35 μM.</t>
  </si>
  <si>
    <t>SK02C04</t>
  </si>
  <si>
    <t>Ipratropium Bromide</t>
  </si>
  <si>
    <t>Ipratropium bromide is a muscarinic antagonist, bronchodilator, N-Isopropyl salt of atropine.</t>
  </si>
  <si>
    <t>SK02C05</t>
  </si>
  <si>
    <t>Pimobendan</t>
  </si>
  <si>
    <t>Pimobendan is a selective inhibitor of PDE3 with IC50 of 0.32 μM.</t>
  </si>
  <si>
    <t>SK02C06</t>
  </si>
  <si>
    <t xml:space="preserve">Hydrocortisone </t>
  </si>
  <si>
    <t>Hydrocortisone is a steroid hormone or glucocorticoid produced by the adrenal gland.</t>
  </si>
  <si>
    <t>SK02C07</t>
  </si>
  <si>
    <t>PD318088</t>
  </si>
  <si>
    <t>PD318088 is a non-ATP competitive allosteric MEK1/2 inhibitor, binds simultaneously with ATP in a region of the MEK1 active site that is adjacent to the ATP-binding site.</t>
  </si>
  <si>
    <t>SK02C08</t>
  </si>
  <si>
    <t>Estradiol</t>
  </si>
  <si>
    <t>Estradiol is the predominant sex hormone.</t>
  </si>
  <si>
    <t>SK02C09</t>
  </si>
  <si>
    <t>Tie2 kinase inhibitor</t>
  </si>
  <si>
    <t>Tie2 kinase inhibitor is an optimized compound of SB-203580, selective to Tie2 with IC50 of 0.25 μM, 200-fold more potent than p38.</t>
  </si>
  <si>
    <t>SK02C10</t>
  </si>
  <si>
    <t>Azathioprine</t>
  </si>
  <si>
    <t xml:space="preserve">Azathioprine(Azasan, Imuran) is a drug that suppresses the immune system and is used in organ transplantation and autoimmune disease. </t>
  </si>
  <si>
    <t>SK02C11</t>
  </si>
  <si>
    <t>Olmesartan Medoxomil</t>
  </si>
  <si>
    <t>Olmesartan medoxomil is a compound which is hydrolyzed to olmesartan that is a selective AT1 subtype angiotensin II receptor antagonist.</t>
  </si>
  <si>
    <t>SK02C12</t>
  </si>
  <si>
    <t>Meloxicam</t>
  </si>
  <si>
    <t>Meloxicam (Mobic) is a nonsteroidal anti-inflammatory agent with analgesic and fever reducer effects.</t>
  </si>
  <si>
    <t>SK02C13</t>
  </si>
  <si>
    <t>Silodosin</t>
  </si>
  <si>
    <t>Silodosin(Rapaflo) is an α1-adrenoceptor antagonist with high uroselectivity.</t>
  </si>
  <si>
    <t>SK02C14</t>
  </si>
  <si>
    <t xml:space="preserve">Nevirapine </t>
  </si>
  <si>
    <t>Nevirapine(Viramune) is a non-nucleoside reverse transcriptase inhibitor (NNRTI) used to treat HIV-1 infection and AIDS.</t>
  </si>
  <si>
    <t>SK02C15</t>
  </si>
  <si>
    <t>Ethinyl Estradiol</t>
  </si>
  <si>
    <t xml:space="preserve">Ethynyl estradiol is an orally bio-active estrogen used in almost all modern formulations of combined oral contraceptive pills. </t>
  </si>
  <si>
    <t>SK02C16</t>
  </si>
  <si>
    <t xml:space="preserve">Rifapentine </t>
  </si>
  <si>
    <t>Rifapentine (Priftin) is an antibiotic compound used in the treatment of tuberculosis.</t>
  </si>
  <si>
    <t>SK02C17</t>
  </si>
  <si>
    <t>Erythromycin</t>
  </si>
  <si>
    <t>Erythromycin is a macrolide antibiotic that has an antimicrobial spectrum similar to or slightly wider than that of penicillin (IC50=1.5 μg/ml).</t>
  </si>
  <si>
    <t>SK02C18</t>
  </si>
  <si>
    <t>Oxytetracycline (Terramycin)</t>
  </si>
  <si>
    <t>Oxytetracycline(Terramycin) was the second of the broad-spectrum tetracycline group of antibiotics to be discovered.</t>
  </si>
  <si>
    <t>SK02C19</t>
  </si>
  <si>
    <t xml:space="preserve">Ketoprofen </t>
  </si>
  <si>
    <t>Ketoprofen (Actron) is a non-selective NSAID with IC50 of 0.5 μM and 2.33 μM for human recombinant COX-1 and COX-2, respectively.</t>
  </si>
  <si>
    <t>SK02C20</t>
  </si>
  <si>
    <t xml:space="preserve">Simvastatin </t>
  </si>
  <si>
    <t>Simvastatin is a competitive inhibitor of HMG-CoA reductase with Ki of 0.1-0.2 nM .</t>
  </si>
  <si>
    <t>SK02C21</t>
  </si>
  <si>
    <t xml:space="preserve">Ezetimibe </t>
  </si>
  <si>
    <t>Ezetimibe (Zetia) is a compound that lowers cholesterol.</t>
  </si>
  <si>
    <t>SK02C22</t>
  </si>
  <si>
    <t>Aciclovir</t>
  </si>
  <si>
    <t>Acyclovir is a synthetic nucleoside analogue active against herpesviruses.</t>
  </si>
  <si>
    <t>SK02C23</t>
  </si>
  <si>
    <t>SK02C24</t>
  </si>
  <si>
    <t>SK02D01</t>
  </si>
  <si>
    <t>Proparacaine HCl</t>
  </si>
  <si>
    <t>Proparacaine HCl is a voltage-gated sodium channels antagonist with ED50 of 3.4 mM.</t>
  </si>
  <si>
    <t>SK02D02</t>
  </si>
  <si>
    <t xml:space="preserve">Sulindac </t>
  </si>
  <si>
    <t>Sulindac (Clinoril) is a non-steroidal anti-inflammatory agent of the arylalkanoic acid class.</t>
  </si>
  <si>
    <t>SK02D03</t>
  </si>
  <si>
    <t>Chloroxine</t>
  </si>
  <si>
    <t>Chloroxine is a synthetic antibacterial compound that is effective in the treatment of dandruff and seborrheic dermatitis when incorporated in a shampoo.</t>
  </si>
  <si>
    <t>SK02D04</t>
  </si>
  <si>
    <t xml:space="preserve">ENMD-2076 L-(+)-Tartaric acid </t>
  </si>
  <si>
    <t>ENMD-2076 L-(+)-Tartaric acid is the tartaric acid of ENMD-2076, selective activity against Aurora A and Flt3 with IC50 of 14 nM and 1.86 nM, 25-fold more selective for Aurora A than Aurora B and less potent to VEGFR2/KDR and VEGFR3, FGFR1 and FGFR2 and PDGFRα. Phase 2.</t>
  </si>
  <si>
    <t>SK02D05</t>
  </si>
  <si>
    <t>Pefloxacin Mesylate</t>
  </si>
  <si>
    <t>Pefloxacin mesylate is a synthetic chemotherapeutic agent and an antibacterial agent with IC50 of 6.7 nM.</t>
  </si>
  <si>
    <t>SK02D06</t>
  </si>
  <si>
    <t>Flunarizine 2HCl</t>
  </si>
  <si>
    <t>Flunarizine dihydrochloride is a dihydrochloride salt form which is a calcium channel blocker with a Ki of 68 nM.</t>
  </si>
  <si>
    <t>SK02D07</t>
  </si>
  <si>
    <t>Roxatidine Acetate HCl</t>
  </si>
  <si>
    <t>Roxatidine Acetate HCl is a specific and competitive histamin H2-receptor antagonist, with IC50 of 3.2 μM, inhibits gastric acid secretion and ulcer formation.</t>
  </si>
  <si>
    <t>SK02D08</t>
  </si>
  <si>
    <t>Dyclonine HCl</t>
  </si>
  <si>
    <t>Dyclonine hydrochloride is a hydrochloride salt form of dyclonine which is an oral anaesthetic.</t>
  </si>
  <si>
    <t>SK02D09</t>
  </si>
  <si>
    <t>Carbidopa</t>
  </si>
  <si>
    <t>Carbidopa is an aromatic-L-amino-acid decarboxylase inhibitor with an IC50 of 29 ± 2 μM.</t>
  </si>
  <si>
    <t>SK02D10</t>
  </si>
  <si>
    <t>Oxytetracycline Dihydrate</t>
  </si>
  <si>
    <t>Oxytetracycline Dihydrate is a prescription antibiotic, interfering with the ability of bacteria to produce essential proteins.</t>
  </si>
  <si>
    <t>SK02D11</t>
  </si>
  <si>
    <t>Diclofenac Sodium</t>
  </si>
  <si>
    <t>Diclofenac Sodium is a non-selective COX inhibitor with IC50 of 60 and 220 nM for ovine COX-1 and -2, respectively.</t>
  </si>
  <si>
    <t>SK02D12</t>
  </si>
  <si>
    <t>Lovastatin</t>
  </si>
  <si>
    <t>Lovastatin is an inhibitor of HMG-CoA reductase with IC50 of 3.4 nM, used for lowering cholesterol (hypolipidemic agent).</t>
  </si>
  <si>
    <t>SK02D13</t>
  </si>
  <si>
    <t>Pregnenolone</t>
  </si>
  <si>
    <t>Pregnenolone is an endogenous steroid hormone for inhibition of M1 receptor- and M3 receptor-mediated currents with IC50 of 11.4 µM and 6.0 µM, respectively.</t>
  </si>
  <si>
    <t>SK02D14</t>
  </si>
  <si>
    <t>Rosiglitazone HCl</t>
  </si>
  <si>
    <t>Rosiglitazone HCl is a blood glucose-lowering drugs, stimulating insulin secretion by binding to the PPAR receptors in fat cells.</t>
  </si>
  <si>
    <t>SK02D15</t>
  </si>
  <si>
    <t>Triamcinolone</t>
  </si>
  <si>
    <t>Triamcinolone is a glucocorticoid given, as the free alcohol or in esterified form, orally, intramuscularly, by local injection, by inhalation, or applied topically in the management of various disorders in which corticosteroids are indicated.</t>
  </si>
  <si>
    <t>SK02D16</t>
  </si>
  <si>
    <t>Trimebutine</t>
  </si>
  <si>
    <t>Trimebutine is an agonist of peripheral mu, kappa and delta opiate receptors, used as spasmolytic agent for treatment of both acute and chronic abdominal pain.</t>
  </si>
  <si>
    <t>SK02D17</t>
  </si>
  <si>
    <t xml:space="preserve">Sulfamethizole </t>
  </si>
  <si>
    <t>Sulfamethizole(Proklar) is a sulfathiazole antibacterial agent.</t>
  </si>
  <si>
    <t>SK02D18</t>
  </si>
  <si>
    <t>Bexarotene</t>
  </si>
  <si>
    <t>Bexarotene is a retinoid specifically selective for retinoid X receptors, used as an oral antineoplastic agent in the treatment of cutaneous T-cell lymphoma.</t>
  </si>
  <si>
    <t>SK02D19</t>
  </si>
  <si>
    <t>Nicorandil</t>
  </si>
  <si>
    <t>Nicorandil is potassium channel activator.</t>
  </si>
  <si>
    <t>SK02D20</t>
  </si>
  <si>
    <t>Lapatinib</t>
  </si>
  <si>
    <t>Lapatinib, used in the form of Lapatinib Ditosylate, is a potent EGFR and ErbB2 inhibitor with IC50 of 10.8 and 9.2 nM, respectively.</t>
  </si>
  <si>
    <t>SK02D21</t>
  </si>
  <si>
    <t>Mometasone furoate</t>
  </si>
  <si>
    <t>Mometasone furoate is a glucocorticosteroid used topically to reduce inflammation of the skin or in the airways.</t>
  </si>
  <si>
    <t>SK02D22</t>
  </si>
  <si>
    <t>Dextrose</t>
  </si>
  <si>
    <t>Dextrose, a simple sugar (monosaccharide), is an important carbohydrate in biology.</t>
  </si>
  <si>
    <t>SK02D23</t>
  </si>
  <si>
    <t>SK02D24</t>
  </si>
  <si>
    <t>SK02E01</t>
  </si>
  <si>
    <t>BIX 02188</t>
  </si>
  <si>
    <t>BIX02188 is a selective inhibitor of MEK5 with IC50 of 4.3 nM, also inhibits ERK5 catalytic activity with IC50 of 810 nM, and does not inhibit closely related kinases MEK1, MEK2, ERK2, and JNK2.</t>
  </si>
  <si>
    <t>SK02E02</t>
  </si>
  <si>
    <t xml:space="preserve">Aminoglutethimide </t>
  </si>
  <si>
    <t>Aminoglutethimide is an aromatase inhibitor with IC50 of 10 μM.</t>
  </si>
  <si>
    <t>SK02E03</t>
  </si>
  <si>
    <t>Saxagliptin</t>
  </si>
  <si>
    <t>Saxagliptin is a selective and reversible DPP4 inhibitor with IC50 of 26 nM.</t>
  </si>
  <si>
    <t>SK02E04</t>
  </si>
  <si>
    <t>Sulfanilamide</t>
  </si>
  <si>
    <t>Sulfanilamide (Sulphanilamide) is a competitive inhibitor for bacterial enzyme dihydropteroate synthetase with IC50 of 320 μM.</t>
  </si>
  <si>
    <t>SK02E05</t>
  </si>
  <si>
    <t>AZD8055</t>
  </si>
  <si>
    <r>
      <t>AZD8055 is a novel ATP-competitive mTOR inhibitor with IC50 of 0.8 nM with excellent selectivity (</t>
    </r>
    <r>
      <rPr>
        <sz val="11"/>
        <color theme="1"/>
        <rFont val="Aptos Narrow"/>
        <family val="2"/>
      </rPr>
      <t>∼</t>
    </r>
    <r>
      <rPr>
        <sz val="11"/>
        <color theme="1"/>
        <rFont val="Arial Narrow"/>
        <family val="2"/>
      </rPr>
      <t>1,000-fold) against PI3K isoforms and ATM/DNA-PK. Phase 1.</t>
    </r>
  </si>
  <si>
    <t>SK02E06</t>
  </si>
  <si>
    <t>Desonide</t>
  </si>
  <si>
    <t>Desonide is a low potency topical corticosteroid.</t>
  </si>
  <si>
    <t>SK02E07</t>
  </si>
  <si>
    <t xml:space="preserve">Tazarotene </t>
  </si>
  <si>
    <t>Tazarotene is a prescription topical retinoid sold as a cream or gel.</t>
  </si>
  <si>
    <t>SK02E08</t>
  </si>
  <si>
    <t xml:space="preserve">Deferasirox </t>
  </si>
  <si>
    <t>Deferasirox(Exjade) is a rationally-designed oral iron chelator.</t>
  </si>
  <si>
    <t>SK02E09</t>
  </si>
  <si>
    <t xml:space="preserve">Candesartan </t>
  </si>
  <si>
    <t>Candesartan is an angiotensin II receptor antagonist with IC50 of 0.26 nM.</t>
  </si>
  <si>
    <t>SK02E10</t>
  </si>
  <si>
    <t xml:space="preserve">Indomethacin </t>
  </si>
  <si>
    <t>Indomethacin(Indocid, Indocin) is a non-steroidal anti-inflammatory compound commonly used to reduce fever, pain, stiffness, and swelling.</t>
  </si>
  <si>
    <t>SK02E11</t>
  </si>
  <si>
    <t xml:space="preserve">Cefdinir </t>
  </si>
  <si>
    <t>Cefdinir(Omnicef) is a bacteriocidal antibiotic.</t>
  </si>
  <si>
    <t>SK02E12</t>
  </si>
  <si>
    <t xml:space="preserve">Mesna </t>
  </si>
  <si>
    <t>Mesna(Uromitexan, Mesnex), a sulfhydryl compound that is used to reduce the incidence of hemorrhagic cystitis associated with certain chemotherapeutic agents.</t>
  </si>
  <si>
    <t>SK02E13</t>
  </si>
  <si>
    <t>Riluzole</t>
  </si>
  <si>
    <t xml:space="preserve">Riluzole is a drug used to treat amyotrophic lateral sclerosis. </t>
  </si>
  <si>
    <t>SK02E14</t>
  </si>
  <si>
    <t>Esomeprazole Magnesium</t>
  </si>
  <si>
    <t>Esomeprazole Magnesium is a &lt;b&gt;proton pump&lt;/b&gt; inhibitor to reduce gastric acid secretion.</t>
  </si>
  <si>
    <t>SK02E15</t>
  </si>
  <si>
    <t xml:space="preserve">Naproxen </t>
  </si>
  <si>
    <t>Naproxen is a COX inhibitor for COX-1 and COX-2 with IC50 of 8.7 μM and 5.2 μM, respectively.</t>
  </si>
  <si>
    <t>SK02E16</t>
  </si>
  <si>
    <t xml:space="preserve">Suprofen </t>
  </si>
  <si>
    <t>Suprofen(Profenal) is an NSAID.</t>
  </si>
  <si>
    <t>SK02E17</t>
  </si>
  <si>
    <t xml:space="preserve">Amphotericin B </t>
  </si>
  <si>
    <t>Amphotericin B (AmB) is an amphipathic polyene antibiotic which permeabilizes ergosterol-containing membranes.</t>
  </si>
  <si>
    <t>SK02E18</t>
  </si>
  <si>
    <t>Toremifene Citrate</t>
  </si>
  <si>
    <t>Toremifene Citrate is an oral selective estrogen receptor modulator (SERM) which helps oppose the actions of estrogen in the body.</t>
  </si>
  <si>
    <t>SK02E19</t>
  </si>
  <si>
    <t>Ketorolac</t>
  </si>
  <si>
    <t>Ketorolac (Ketorolac tromethamine) is a non-selective COX inhibitor of COX-1 and COX-2 with IC50 of 1.23 μM and 3.50 μM, respectively.</t>
  </si>
  <si>
    <t>SK02E20</t>
  </si>
  <si>
    <t xml:space="preserve">Ramipril </t>
  </si>
  <si>
    <t>Ramipril is an angiotensin-converting enzyme (ACE) inhibitor with IC50 of 5 nM.</t>
  </si>
  <si>
    <t>SK02E21</t>
  </si>
  <si>
    <t>Enalaprilat Dihydrate</t>
  </si>
  <si>
    <t>Enalaprilat is an angiotensin-converting enzyme (ACE) inhibitor with IC50 of 1.94 nM.</t>
  </si>
  <si>
    <t>SK02E22</t>
  </si>
  <si>
    <t>Nifedipine</t>
  </si>
  <si>
    <t>Nifedipine(Adalat), a potent vasodilator agent with calcium antagonistic action.</t>
  </si>
  <si>
    <t>SK02E23</t>
  </si>
  <si>
    <t>SK02E24</t>
  </si>
  <si>
    <t>SK02F01</t>
  </si>
  <si>
    <t>Pranlukast</t>
  </si>
  <si>
    <t>Pranlukast is a selective cysteinyl leukotriene receptor antagonist.</t>
  </si>
  <si>
    <t>SK02F02</t>
  </si>
  <si>
    <t>Pramipexole dihydrochloride monohydrate</t>
  </si>
  <si>
    <t>Pramipexole is a partial/full D2S, D2L, D3, D4, receptor agonist with a Ki of 3.9, 2.2, 0.5, 5.1 nM.</t>
  </si>
  <si>
    <t>SK02F03</t>
  </si>
  <si>
    <t xml:space="preserve">Lomustine </t>
  </si>
  <si>
    <t>Lomustine inhibits cancer cells by damaging the DNA and stops cells from dividing.</t>
  </si>
  <si>
    <t>SK02F04</t>
  </si>
  <si>
    <t>Formoterol Hemifumarate</t>
  </si>
  <si>
    <t>Formoterol hemifumarate is a potent, selective and long-acting β2-adrenoceptor agonist to β2 and β1 receptors with pKd of 8.12 and 5.58, respectively.</t>
  </si>
  <si>
    <t>SK02F05</t>
  </si>
  <si>
    <t>Metoprolol Tartrate</t>
  </si>
  <si>
    <t>Metoprolol tartrate is a cardioselective β-adrenergic receptor blocker with IC50 of 42 ng/mL.</t>
  </si>
  <si>
    <t>SK02F06</t>
  </si>
  <si>
    <t>Fenticonazole Nitrate</t>
  </si>
  <si>
    <t>Fenticonazole nitrate is an azole antifungal agent.</t>
  </si>
  <si>
    <t>SK02F07</t>
  </si>
  <si>
    <t>Protionamide</t>
  </si>
  <si>
    <t>Protionamide is a drug used in the treatment of tuberculosis.</t>
  </si>
  <si>
    <t>SK02F08</t>
  </si>
  <si>
    <t>Cyproterone Acetate</t>
  </si>
  <si>
    <t xml:space="preserve">Cyproterone acetate is an androgen receptor (AR) antagonist with IC50 of 7.1 nM, as well as a weak progesterone receptor agonist with weak pro-gestational and glucocorticoid activity. </t>
  </si>
  <si>
    <t>SK02F09</t>
  </si>
  <si>
    <t>Valsartan</t>
  </si>
  <si>
    <t>Valsartan (Diovan) is an angiotensin II receptor antagonist with IC50 of ranging from 39.5 to 116 μM</t>
  </si>
  <si>
    <t>SK02F10</t>
  </si>
  <si>
    <t>Cytidine</t>
  </si>
  <si>
    <t>Cytidine is a nucleoside molecule that is formed when cytosine is attached to a ribose ring, cytidine is a component of RNA.</t>
  </si>
  <si>
    <t>SK02F11</t>
  </si>
  <si>
    <t>Avobenzone</t>
  </si>
  <si>
    <t>Avobenzone is an oil soluble ingredient used in sunscreen products to absorb the full spectrum of UVA rays and a dibenzoylmethane derivative.</t>
  </si>
  <si>
    <t>SK02F12</t>
  </si>
  <si>
    <t xml:space="preserve">Tiopronin </t>
  </si>
  <si>
    <t>Tiopronin is a US Food and Drug Administration (FDA)-approved drug for the treatment of cystinuria by controlling the rate of cystine precipitation and excretion.</t>
  </si>
  <si>
    <t>SK02F13</t>
  </si>
  <si>
    <t>Sulfamethoxazole</t>
  </si>
  <si>
    <t>Sulfamethoxazole is a sulfonamide bacteriostatic antibiotic with an IC50 of 2.7 μM.</t>
  </si>
  <si>
    <t>SK02F14</t>
  </si>
  <si>
    <t xml:space="preserve">Atorvastatin Calcium </t>
  </si>
  <si>
    <t>Atorvastatin (Lipitor) is an inhibitor of HMG-CoA reductase used as a cholesterol-lowering medication that blocks the production of cholesterol.</t>
  </si>
  <si>
    <t>SK02F15</t>
  </si>
  <si>
    <t>Nystatin (Fungicidin)</t>
  </si>
  <si>
    <t>Nystatin (Mycostatin) is a polyene antifungal agent to which many molds and yeasts are sensitive, including Candida spp.</t>
  </si>
  <si>
    <t>SK02F16</t>
  </si>
  <si>
    <t>Ivabradine HCl</t>
  </si>
  <si>
    <t>Ivabradine HCl, a new If inhibitor with IC 50 of 2.9 μM which acts specifically on the pacemaker activity of the sinoatrial node, is a pure heart rate lowering agent.</t>
  </si>
  <si>
    <t>SK02F17</t>
  </si>
  <si>
    <t xml:space="preserve">Sulbactam </t>
  </si>
  <si>
    <t>Sulbactam is a beta-lactamase inhibitor with an average IC50 of 0.8 μM.</t>
  </si>
  <si>
    <t>SK02F18</t>
  </si>
  <si>
    <t xml:space="preserve">Temocapril HCl </t>
  </si>
  <si>
    <t>Temocapril HCl is the hydrochloride of Temocapril, which is a long-acting angiotensin-converting enzyme (ACE) inhibitor, used for the treatment of hypertension.</t>
  </si>
  <si>
    <t>SK02F19</t>
  </si>
  <si>
    <t>Tamoxifen Citrate</t>
  </si>
  <si>
    <t>Tamoxifen Citrate is an antagonist of the estrogen receptor by competitive inhibition of estrogen binding.</t>
  </si>
  <si>
    <t>SK02F20</t>
  </si>
  <si>
    <t>Cisatracurium Besylate</t>
  </si>
  <si>
    <t>Cisatracurium Besylate is a nondepolarizing neuromuscular blocking agent, antagonizing the action of acetylcholine by inhibiting neuromuscular transmission.</t>
  </si>
  <si>
    <t>SK02F21</t>
  </si>
  <si>
    <t>Propylthiouracil</t>
  </si>
  <si>
    <t xml:space="preserve">Propylthiouracil is a thyroperoxidase and 5'-deiodinase inhibitor. </t>
  </si>
  <si>
    <t>SK02F22</t>
  </si>
  <si>
    <t>Xylose</t>
  </si>
  <si>
    <t xml:space="preserve">Xylose is a sugar first isolated from wood. </t>
  </si>
  <si>
    <t>SK02F23</t>
  </si>
  <si>
    <t>SK02F24</t>
  </si>
  <si>
    <t>SK02G01</t>
  </si>
  <si>
    <t>BIX 02189</t>
  </si>
  <si>
    <t>BIX02189 is a selective inhibitor of MEK5 with IC50 of 1.5 nM, also inhibits ERK5 catalytic activity with IC50 of 810 nM, and does not inhibit closely related kinases MEK1, MEK2, ERK2, and JNK2.</t>
  </si>
  <si>
    <t>SK02G02</t>
  </si>
  <si>
    <t>Aminophylline</t>
  </si>
  <si>
    <t>Aminophylline is a competitive nonselective phosphodiesterase inhibitor with an IC50 of 0.12 mM and also a nonselective adenosine receptor antagonist.</t>
  </si>
  <si>
    <t>SK02G03</t>
  </si>
  <si>
    <t>EX 527 (Selisistat)</t>
  </si>
  <si>
    <t>EX 527 is a potent and selective SIRT1 inhibitor with IC50 of 38 nM, exhibits &gt;200-fold selectivity against SIRT2 and SIRT3.</t>
  </si>
  <si>
    <t>SK02G04</t>
  </si>
  <si>
    <t>Betamethasone Dipropionate</t>
  </si>
  <si>
    <t>Betamethasone Dipropionate is a glucocorticoid steroid with anti-inflammatory and immunosuppressive abilities.</t>
  </si>
  <si>
    <t>SK02G05</t>
  </si>
  <si>
    <t>PHT-427</t>
  </si>
  <si>
    <t>PHT-427 is a dual Akt and PDPK1 inhibitor (high affinity binding for the PH domains of Akt and PDPK1) with Ki of 2.7 μM and 5.2 μM, respectively.</t>
  </si>
  <si>
    <t>SK02G06</t>
  </si>
  <si>
    <t>Didanosine</t>
  </si>
  <si>
    <t>Didanosine(Videx, Videx EC) is a reverse transcriptase inhibitor with an IC50 of 0.49 μM.</t>
  </si>
  <si>
    <t>SK02G07</t>
  </si>
  <si>
    <t>KU-60019</t>
  </si>
  <si>
    <t>KU-60019 is an improved analogue of KU-55933, with IC50 of 6.3 nM for ATM, 270- and 1600-fold more selective for ATM than DNA-PK and ATR,and is a highly effective radiosensitizer.</t>
  </si>
  <si>
    <t>SK02G08</t>
  </si>
  <si>
    <t xml:space="preserve">Piroxicam </t>
  </si>
  <si>
    <t>Piroxicam (Feldene) is a non-selective COX inhibitor with an IC50 of 6 mM.</t>
  </si>
  <si>
    <t>SK02G09</t>
  </si>
  <si>
    <t>H 89 2HCl</t>
  </si>
  <si>
    <t>H 89 2HCl is a potent PKA inhibitor with Ki of 48 nM, 10-fold selective for PKA than PKG, greater than 500-fold selectivity than PKC, MLCK, calmodulin kinase II and casein kinase I/II.</t>
  </si>
  <si>
    <t>SK02G10</t>
  </si>
  <si>
    <t xml:space="preserve">Terbinafine </t>
  </si>
  <si>
    <t>Terbinafine(Lamisil, Terbinex) is used to treat infections caused by a fungus. It works by killing the fungus or preventing its growth.</t>
  </si>
  <si>
    <t>SK02G11</t>
  </si>
  <si>
    <t>Clotrimazole</t>
  </si>
  <si>
    <t>Clotrimazole is a synthetic, antifungal and broad-spectrum derivate of imidazole.</t>
  </si>
  <si>
    <t>SK02G12</t>
  </si>
  <si>
    <t xml:space="preserve">Methocarbamol </t>
  </si>
  <si>
    <t>Methocarbamol(Robaxin) is a central muscle relaxant used to treat skeletal muscle spasms.</t>
  </si>
  <si>
    <t>SK02G13</t>
  </si>
  <si>
    <t xml:space="preserve">Risperidone </t>
  </si>
  <si>
    <t>Risperidone(Risperdal) is an atypical antipsychotic used to treat schizophrenia.</t>
  </si>
  <si>
    <t>SK02G14</t>
  </si>
  <si>
    <t>Nicotinic Acid</t>
  </si>
  <si>
    <t>Nicotinic Acid is a water-soluble vitamin belonging to the vitamin B family.</t>
  </si>
  <si>
    <t>SK02G15</t>
  </si>
  <si>
    <t>Nitazoxanide</t>
  </si>
  <si>
    <t>Nitazoxanide is a synthetic nitrothiazolyl-salicylamide derivative and an antiprotozoal agent. (IC50 for canine influenza virus ranges from 0.17 to 0.21 μM)</t>
  </si>
  <si>
    <t>SK02G16</t>
  </si>
  <si>
    <t>Pyrazinamide</t>
  </si>
  <si>
    <t>Pyrazinamide is an agent used to treat tuberculosis.</t>
  </si>
  <si>
    <t>SK02G17</t>
  </si>
  <si>
    <t xml:space="preserve">Ibuprofen </t>
  </si>
  <si>
    <t>Ibuprofen (Dolgesic) is an anti-inflammatory inhibitor targeting COX-1 and COX-2 with IC50 of 13 μM and 370 μM, respectively.</t>
  </si>
  <si>
    <t>SK02G18</t>
  </si>
  <si>
    <t>Ethionamide</t>
  </si>
  <si>
    <t>Ethionamide(2-ethylthioisonicotinamide) is an antibiotic used in the treatment of tuberculosis.</t>
  </si>
  <si>
    <t>SK02G19</t>
  </si>
  <si>
    <t>Adenosine</t>
  </si>
  <si>
    <t>Adenosine is a nucleoside composed of a molecule of adenine attached to a ribose sugar molecule (ribofuranose) moiety via a β-N9-glycosidic bond.</t>
  </si>
  <si>
    <t>SK02G20</t>
  </si>
  <si>
    <t xml:space="preserve">Fenofibrate </t>
  </si>
  <si>
    <t>Fenofibrate (Tricor, Trilipix) is a compound of the fibrate class and fibric acid derivative.</t>
  </si>
  <si>
    <t>SK02G21</t>
  </si>
  <si>
    <t xml:space="preserve">Dofetilide </t>
  </si>
  <si>
    <t>Dofetilide(Tikosyn) is a class III antiarrhythmic agent.</t>
  </si>
  <si>
    <t>SK02G22</t>
  </si>
  <si>
    <t xml:space="preserve">Amiloride HCl </t>
  </si>
  <si>
    <t>Amiloride hydrochloride(Midamor), a pyrazine compound inhibiting sodium reabsorption through sodium channels in renal epithelial cells.</t>
  </si>
  <si>
    <t>SK02G23</t>
  </si>
  <si>
    <t>SK02G24</t>
  </si>
  <si>
    <t>SK02H01</t>
  </si>
  <si>
    <t>Oxfendazole</t>
  </si>
  <si>
    <t xml:space="preserve">Oxfendazole is the sulfoxide form of fenbendazole which is  a broad spectrum benzimidazole anthelmintic. </t>
  </si>
  <si>
    <t>SK02H02</t>
  </si>
  <si>
    <t>PCI-34051</t>
  </si>
  <si>
    <t>PCI-34051 is a potent and specific HDAC8 inhibitor with IC50 of 10 nM. It has greater than 200-fold selectivity over HDAC1 and 6, more than 1000-fold selectivity over HDAC2, 3, and 10.</t>
  </si>
  <si>
    <t>SK02H03</t>
  </si>
  <si>
    <t>Chenodeoxycholic Acid</t>
  </si>
  <si>
    <t>Chenodeoxycholic acid is a naturally occurring human bile acid.</t>
  </si>
  <si>
    <t>SK02H04</t>
  </si>
  <si>
    <t xml:space="preserve">Chlormezanone </t>
  </si>
  <si>
    <r>
      <t>Chlormezanone(Trancopal)</t>
    </r>
    <r>
      <rPr>
        <sz val="11"/>
        <color theme="1"/>
        <rFont val="Aptos Narrow"/>
        <family val="2"/>
      </rPr>
      <t>，</t>
    </r>
    <r>
      <rPr>
        <sz val="11"/>
        <color theme="1"/>
        <rFont val="Arial Narrow"/>
        <family val="2"/>
      </rPr>
      <t>a non-benzodiazepine that is used in the management of anxiety. It has been suggested for use in the treatment of muscle spasm.</t>
    </r>
  </si>
  <si>
    <t>SK02H05</t>
  </si>
  <si>
    <t>Diethylstilbestrol</t>
  </si>
  <si>
    <t>Diethylstilbestrol, a synthetic nonsteroidal estrogen used in the treatment of menopausal and postmenopausal disorders.</t>
  </si>
  <si>
    <t>SK02H06</t>
  </si>
  <si>
    <t>Rebamipide</t>
  </si>
  <si>
    <t>Rebamipide is a cholecystokinin type 1 (CCK1) receptor inhibitor for inhibiting [125I]BH-CCK-8S with IC50 of 37.7 μM.</t>
  </si>
  <si>
    <t>SK02H07</t>
  </si>
  <si>
    <t>Idoxuridine</t>
  </si>
  <si>
    <t>Idoxuridine is an antiviral agent for feline herpesvirus type-1 with IC50 of 4.3 µM.</t>
  </si>
  <si>
    <t>SK02H08</t>
  </si>
  <si>
    <t>Memantine HCl</t>
  </si>
  <si>
    <t>Memantine hydrochloride (Namenda) is a CYP2B6 and CYP2D6 inhibitor for recombinant CYP2B6 and CYP2D6 with Ki of 0.51 nM and 94.9 μM, respectively.</t>
  </si>
  <si>
    <t>SK02H09</t>
  </si>
  <si>
    <t>Dipyridamole</t>
  </si>
  <si>
    <t>Dipyridamole (Persantine) is a phosphodiesterase inhibitor that blocks uptake and metabolism of adenosine by erythrocytes and vascular endothelial cells.</t>
  </si>
  <si>
    <t>SK02H10</t>
  </si>
  <si>
    <t xml:space="preserve">Orphenadrine Citrate </t>
  </si>
  <si>
    <t>Orphenadrine citrate is a skeletal muscle relaxant, it acts in the central nervous system to produce its muscle relaxant effects.</t>
  </si>
  <si>
    <t>SK02H11</t>
  </si>
  <si>
    <t xml:space="preserve">Amlodipine </t>
  </si>
  <si>
    <t>Amlodipine(Norvasc) is a long-acting calcium channel blocker with an IC50 of 1.9 nM.</t>
  </si>
  <si>
    <t>SK02H12</t>
  </si>
  <si>
    <t>Balofloxacin</t>
  </si>
  <si>
    <t>Balofloxacin is quinolone antibiotic, inhibiting the synthesis of bacterial DNA by interference with the enqyme DNA gyrase.</t>
  </si>
  <si>
    <t>SK02H13</t>
  </si>
  <si>
    <t>Sulfisoxazole</t>
  </si>
  <si>
    <t>Sulfisoxazole is a sulfonamide antibacterial with an oxazole substituent.</t>
  </si>
  <si>
    <t>SK02H14</t>
  </si>
  <si>
    <t xml:space="preserve">Famotidine </t>
  </si>
  <si>
    <t>Famotidine is a histamine H2–receptor antagonist with IC50 of 0.6 mM, commonly used to treat heartburn, GERD, ulcers, and other digestive conditions.</t>
  </si>
  <si>
    <t>SK02H15</t>
  </si>
  <si>
    <t>Isoniazid</t>
  </si>
  <si>
    <t>Isoniazid is a prodrug and must be activated by bacterial catalase.</t>
  </si>
  <si>
    <t>SK02H16</t>
  </si>
  <si>
    <t>Rivastigmine Tartrate</t>
  </si>
  <si>
    <t>Rivastigmine Tartrate, a cholinesterase inhibitor with IC50 of 5.5 μM, ues as a parasympathomimetic or cholinergic agent for the treatment of mild to moderate Alzheimer disease.</t>
  </si>
  <si>
    <t>SK02H17</t>
  </si>
  <si>
    <t>Tolfenamic Acid</t>
  </si>
  <si>
    <t>Tolfenamic acid is a COX-2 inhibitor with IC50 of 0.2 μM.</t>
  </si>
  <si>
    <t>SK02H18</t>
  </si>
  <si>
    <t>Gabexate Mesylate</t>
  </si>
  <si>
    <t>Gabexate is a serine protease inhibitor with IC50 of 0.19 μM which is used therapeutically in the treatment of pancreatitis and disseminated intravascular coagulation.</t>
  </si>
  <si>
    <t>SK02H19</t>
  </si>
  <si>
    <t>Cyclocytidine HCl</t>
  </si>
  <si>
    <t>Cyclocytidine is the prodrug of cytarabine, which is a pyrimidine nucleoside analog that inhibits the DNA synthesis and used mainly in the treatment of leukemia.</t>
  </si>
  <si>
    <t>SK02H20</t>
  </si>
  <si>
    <t>Dronedarone HCl</t>
  </si>
  <si>
    <t>Dronedarone HCl is a therapy for the treatment of patients with paroxysmal and persistent atrial fibrillation or atrial flutter.</t>
  </si>
  <si>
    <t>SK02H21</t>
  </si>
  <si>
    <t xml:space="preserve">Fluticasone propionate </t>
  </si>
  <si>
    <t>Fluticasone propionate (Flonase, Veramyst) is a synthetic corticosteroid which is derived from fluticasone used to treat asthma and allergic rhinitis (hay fever).</t>
  </si>
  <si>
    <t>SK02H22</t>
  </si>
  <si>
    <t>Mestranol</t>
  </si>
  <si>
    <t>Mestranol is the 3-methyl ether of ethinylestradiol. It was the estrogen used in many of the first oral contraceptives.</t>
  </si>
  <si>
    <t>SK02H23</t>
  </si>
  <si>
    <t>SK02H24</t>
  </si>
  <si>
    <t>SK02I01</t>
  </si>
  <si>
    <t>AZD7762</t>
  </si>
  <si>
    <t>AZD7762 is a potent and selective inhibitor of Chk1 with IC50 of 5 nM. It is equally potent against Chk2 and less potent against CAM, Yes, Fyn, Lyn, Hck and Lck. Phase 1.</t>
  </si>
  <si>
    <t>SK02I02</t>
  </si>
  <si>
    <t>Amorolfine HCl</t>
  </si>
  <si>
    <t>Amorolfine hydrochloride is a antifungal reagent.</t>
  </si>
  <si>
    <t>SK02I03</t>
  </si>
  <si>
    <t>AM1241</t>
  </si>
  <si>
    <t>AM-1241 is a selective cannabinoid CB2 receptor agonist with Ki of 3.4 nM, exhibits 82-fold selectivity over CB1 receptor.</t>
  </si>
  <si>
    <t>SK02I04</t>
  </si>
  <si>
    <t>Meprednisone</t>
  </si>
  <si>
    <t>Meprednisone is a glucocorticoid and a methylated derivative of prednisone.</t>
  </si>
  <si>
    <t>SK02I05</t>
  </si>
  <si>
    <t>KRN 633</t>
  </si>
  <si>
    <t>KRN 633 is an ATP-competitive inhibitor of VEGFR1/2/3 with IC50 of 170 nM/160 nM/125 nM, weakly inhibits PDGFR-α/β and c-Kit, does not block the phosphorylation of FGFR-1, EGFR or c-Met in cell.</t>
  </si>
  <si>
    <t>SK02I06</t>
  </si>
  <si>
    <t>Divalproex Sodium</t>
  </si>
  <si>
    <t>Divalproex sodium consists of a compound of sodium valproate and valproic acid in a 1:1 molar relationship in an enteric coated form.</t>
  </si>
  <si>
    <t>SK02I07</t>
  </si>
  <si>
    <t>BS-181 HCl</t>
  </si>
  <si>
    <t>BS-181 is a highly selective CDK7 inhibitor with IC50 of 21 nM. It is more than 40-fold selective for CDK7 than CDK1, 2, 4, 5, 6, or 9.</t>
  </si>
  <si>
    <t>SK02I08</t>
  </si>
  <si>
    <t xml:space="preserve">Gemcitabine </t>
  </si>
  <si>
    <t>Gemcitabine(Gemzar) belongs to the group of medicines called antimetabolites.Phase 3.</t>
  </si>
  <si>
    <t>SK02I09</t>
  </si>
  <si>
    <t>TWS119</t>
  </si>
  <si>
    <t>TWS119 is a GSK-3β inhibitor with IC50 of 30 nM; capable of inducing neuronal differentiation and may be useful to stem cell biology.</t>
  </si>
  <si>
    <t>SK02I10</t>
  </si>
  <si>
    <t xml:space="preserve">Levonorgestrel </t>
  </si>
  <si>
    <t>Levonorgestrel(Levonelle) is a synthetic progestogen used as an active ingredient in some hormonal contraceptives.</t>
  </si>
  <si>
    <t>SK02I11</t>
  </si>
  <si>
    <t xml:space="preserve">Rizatriptan Benzoate </t>
  </si>
  <si>
    <t>Rizatriptan Benzoate is an agonist at serotonin &lt;b&gt;5-HT1B&lt;/b&gt; and &lt;b&gt;5-HT1D&lt;/b&gt; receptors, used to treat acute migraine attacks.</t>
  </si>
  <si>
    <t>SK02I12</t>
  </si>
  <si>
    <t xml:space="preserve">Prednisolone </t>
  </si>
  <si>
    <t>Prednisolone(Hydroretrocortine) is a synthetic glucocorticoid with anti-inflammatory and immunomodulating properties.</t>
  </si>
  <si>
    <t>SK02I13</t>
  </si>
  <si>
    <t xml:space="preserve">Sulfameter </t>
  </si>
  <si>
    <t>Sulfameter(Bayrena) is a long-acting sulfonamide antibacterial.</t>
  </si>
  <si>
    <t>SK02I14</t>
  </si>
  <si>
    <t>Nimodipine</t>
  </si>
  <si>
    <t>Nimodipine(Nimotop) is a dihydropyridine derivative and an analogue of the calcium channel blocker nifedipine, with antihypertensive activity.Nimodipine decreases intracellular free Ca2+,Beclin-1 and autophagy.</t>
  </si>
  <si>
    <t>SK02I15</t>
  </si>
  <si>
    <t>Triamcinolone Acetonide</t>
  </si>
  <si>
    <t xml:space="preserve">Triamcinolone Acetonide is a more potent type of triamcinolone, being about 8 times as effective as prednisone.  </t>
  </si>
  <si>
    <t>SK02I16</t>
  </si>
  <si>
    <t>Quetiapine Fumarate</t>
  </si>
  <si>
    <t>Quetiapine fumarate(Seroquel) is an atypical antipsychotic used in the treatment of schizophrenia, bipolar I mania, bipolar II depression, bipolar I depression.</t>
  </si>
  <si>
    <t>SK02I17</t>
  </si>
  <si>
    <t xml:space="preserve">Amprenavir </t>
  </si>
  <si>
    <t>Amprenavir is an HIV protease inhibitor with IC50 of 14.6 ng/mL in wild-type HIV isolates.</t>
  </si>
  <si>
    <t>SK02I18</t>
  </si>
  <si>
    <t xml:space="preserve">Trifluridine </t>
  </si>
  <si>
    <t>Trifluridine (Viroptic) is an anti-herpesvirus antiviral agent used primarily on the eye.</t>
  </si>
  <si>
    <t>SK02I19</t>
  </si>
  <si>
    <t xml:space="preserve">Zolmitriptan </t>
  </si>
  <si>
    <t>Zolmitriptan(Zomig) is a selective serotonin receptor agonist.</t>
  </si>
  <si>
    <t>SK02I20</t>
  </si>
  <si>
    <t xml:space="preserve">Ranolazine </t>
  </si>
  <si>
    <t>Ranolazine(Ranexa) is an antianginal medication.</t>
  </si>
  <si>
    <t>SK02I21</t>
  </si>
  <si>
    <t>Isradipine</t>
  </si>
  <si>
    <t>Isradipine(Dynacirc) is a calcium channel blocker with an IC50 of 34±8 μM.</t>
  </si>
  <si>
    <t>SK02I22</t>
  </si>
  <si>
    <t>Amlodipine besylate (Norvasc)</t>
  </si>
  <si>
    <t>Amlodipine (Norvasc) is a long-acting calcium channel blocker with an IC50 of 1.9 nM.</t>
  </si>
  <si>
    <t>SK02I23</t>
  </si>
  <si>
    <t>SK02I24</t>
  </si>
  <si>
    <t>SK02J01</t>
  </si>
  <si>
    <t>Carvedilol</t>
  </si>
  <si>
    <t>Carvedilol is a non-selective beta blocker/alpha-1 blocker with an IC50 of 3.8 μM for inhibition of LDL oxidation.</t>
  </si>
  <si>
    <t>SK02J02</t>
  </si>
  <si>
    <t>PF-573228</t>
  </si>
  <si>
    <t>PF-573228 is an ATP-competitive inhibitor of FAK with IC50 of 4 nM, ~50- to 250-fold selective for FAK than Pyk2, CDK1/7 and GSK-3β.</t>
  </si>
  <si>
    <t>SK02J03</t>
  </si>
  <si>
    <t xml:space="preserve">Cimetidine </t>
  </si>
  <si>
    <t>Cimetidine(Tagamet), a histamine congener, competitively inhibits histamine binding to histamine H2 receptors.</t>
  </si>
  <si>
    <t>SK02J04</t>
  </si>
  <si>
    <t xml:space="preserve">Ketotifen Fumarate </t>
  </si>
  <si>
    <t>Ketotifen fumarate (Zaditor) is a fumaric acid salt of ketotifen which is a H1-antihistamine and mast cell stabilizer.</t>
  </si>
  <si>
    <t>SK02J05</t>
  </si>
  <si>
    <t xml:space="preserve">Diltiazem HCl </t>
  </si>
  <si>
    <t>Diltiazem HCl (Tiazac) is a benzothiazepine derivative with vasodilating action due to its antagonism of the actions of the calcium ion in membrane functions.</t>
  </si>
  <si>
    <t>SK02J06</t>
  </si>
  <si>
    <t>Epalrestat</t>
  </si>
  <si>
    <t>Epalrestat is an aldose reductase inhibitor with IC50 of 72 nM.</t>
  </si>
  <si>
    <t>SK02J07</t>
  </si>
  <si>
    <t>Sparfloxacin</t>
  </si>
  <si>
    <t>Sparfloxacin is a fluoroquinolone antibiotic, shows broad and potent antibacterial activity.</t>
  </si>
  <si>
    <t>SK02J08</t>
  </si>
  <si>
    <t xml:space="preserve">Cyproheptadine HCl </t>
  </si>
  <si>
    <t>Cyproheptadine hydrochloride (Periactin) is a hydrochloride salt form of cyproheptadine which is a histamine receptor antagonist for 5-HT2 receptor with IC50 of 0.6 nM.</t>
  </si>
  <si>
    <t>SK02J09</t>
  </si>
  <si>
    <t>Hydroxyurea</t>
  </si>
  <si>
    <t>Hydroxyurea is an antineoplastic agent that inhibits DNA synthesis through the inhibition of ribonucleoside diphosphate reductase.</t>
  </si>
  <si>
    <t>SK02J10</t>
  </si>
  <si>
    <t>Gimeracil</t>
  </si>
  <si>
    <t>Gimeracil is an inhibitor of dihydropyrimidine dehydrogenase, which inhibits the early step in homologous recombination for double strand breaks repair.</t>
  </si>
  <si>
    <t>SK02J11</t>
  </si>
  <si>
    <t xml:space="preserve">Metronidazole </t>
  </si>
  <si>
    <t>Metronidazole(Flagyl)is a nitroimidazole antibiotic medication used particularly for anaerobic bacteria and protozoa.</t>
  </si>
  <si>
    <t>SK02J12</t>
  </si>
  <si>
    <t>Lafutidine</t>
  </si>
  <si>
    <t>Lafutidine, a newly developed histamine H(2)-receptor antagonist, inhibits gastric acid secretion.</t>
  </si>
  <si>
    <t>SK02J13</t>
  </si>
  <si>
    <t>Crystal Violet</t>
  </si>
  <si>
    <t>Crystal violet is a triarylmethane dye.</t>
  </si>
  <si>
    <t>SK02J14</t>
  </si>
  <si>
    <t>Moexipril HCl</t>
  </si>
  <si>
    <t>Moexipril HCl is a potent orally active non-sulfhydryl angiotensin converting enzyme inhibitor (ACE) with IC50 of 0.041 μM, which is used for the treatment of hypertension and congestive heart failure.</t>
  </si>
  <si>
    <t>SK02J15</t>
  </si>
  <si>
    <t>Levofloxacin</t>
  </si>
  <si>
    <t>Levofloxacin is a synthetic fluoroquinolone (fluoroquinolones) antibacterial agent.</t>
  </si>
  <si>
    <t>SK02J16</t>
  </si>
  <si>
    <t>Dexmedetomidine HCl (Precedex)</t>
  </si>
  <si>
    <t>Dexmedetomidine is a highly selective and potent alpha-2 adrenoceptor agonist, which reduces anesthetic requirements for patients by providing significant sedation.</t>
  </si>
  <si>
    <t>SK02J17</t>
  </si>
  <si>
    <t>Pranoprofen</t>
  </si>
  <si>
    <t>Pranoprofen is a PGE2 inhibitor with IC50 of 7.5 μM.</t>
  </si>
  <si>
    <t>SK02J18</t>
  </si>
  <si>
    <t>Rasagiline Mesylate</t>
  </si>
  <si>
    <t>Rasagiline Mesylate is a new MAO-B inhibitor for the treatment of idiopathic Parkinson's disease.</t>
  </si>
  <si>
    <t>SK02J19</t>
  </si>
  <si>
    <t>Meglumine</t>
  </si>
  <si>
    <t>Meglumine is an amino sugar derived from sorbitol for THP-1 cells with IC50 of 22 μg/mL.</t>
  </si>
  <si>
    <t>SK02J20</t>
  </si>
  <si>
    <t xml:space="preserve">Conivaptan HCl </t>
  </si>
  <si>
    <t>Conivaptan is a non-peptide inhibitor of antidiuretic hormone (vasopressin receptor antagonist).</t>
  </si>
  <si>
    <t>SK02J21</t>
  </si>
  <si>
    <t xml:space="preserve">Lacidipine </t>
  </si>
  <si>
    <t xml:space="preserve">Lacidipine (Lacipil, Motens) is a L-type calcium channel blocker. </t>
  </si>
  <si>
    <t>SK02J22</t>
  </si>
  <si>
    <t xml:space="preserve">Naftopidil </t>
  </si>
  <si>
    <t>Naftopidil (Flivas) is a selective α1-adrenergic receptor antagonist or alpha blocker with a Ki of 58.3 nM.</t>
  </si>
  <si>
    <t>SK02J23</t>
  </si>
  <si>
    <t>SK02J24</t>
  </si>
  <si>
    <t>SK02K01</t>
  </si>
  <si>
    <t>R406 (free base)</t>
  </si>
  <si>
    <t>R406 (free base) is a potent Syk inhibitor with IC50 of 41 nM, strongly inhibits Syk but not Lyn, 5-fold less potent to Flt3. Phase 2.</t>
  </si>
  <si>
    <t>SK02K02</t>
  </si>
  <si>
    <t>Chloramphenicol</t>
  </si>
  <si>
    <t xml:space="preserve">Chloramphenicol is a bacteriostatic antimicrobial. </t>
  </si>
  <si>
    <t>SK02K03</t>
  </si>
  <si>
    <t>SB408124</t>
  </si>
  <si>
    <t>SB408124 (Tocris-1963) is a non-peptide antagonist for OX1 receptor with Ki of 57 nM and27 nM in both whole cell and membrane, respectively, exhibits 50-fold selectivity over OX2 receptor.</t>
  </si>
  <si>
    <t>SK02K04</t>
  </si>
  <si>
    <t>Betamethasone valerate (Betnovate)</t>
  </si>
  <si>
    <t>Betamethasone Valerate is a moderately potent glucocorticoid steroid with anti-inflammatory and immunosuppressive properties.</t>
  </si>
  <si>
    <t>SK02K05</t>
  </si>
  <si>
    <t>AT7867</t>
  </si>
  <si>
    <t>AT7867 is a potent ATP-competitive inhibitor of Akt1/2/3 and p70S6K/PKA with IC50 of 32 nM/17 nM/47 nM and 85 nM/20 nM, respectively; little activity outside the AGC kinase family.</t>
  </si>
  <si>
    <t>SK02K06</t>
  </si>
  <si>
    <t xml:space="preserve">Emtricitabine </t>
  </si>
  <si>
    <t>Emtricitabine (Emtriva) is a nucleoside reverse transcriptase inhibitor with an IC50 of 27.7 μM.</t>
  </si>
  <si>
    <t>SK02K07</t>
  </si>
  <si>
    <t>Fasudil (HA-1077) HCl</t>
  </si>
  <si>
    <t xml:space="preserve">Fasudil (HA-1077) is a potent inhibitor of ROCK-II, PKA,  PKG,  PKC, and MLCK with Ki of 0.33 μM, 1.6 μM, 1.6 μM, 3.3 μM and 36 μM, respectively.  </t>
  </si>
  <si>
    <t>SK02K08</t>
  </si>
  <si>
    <t xml:space="preserve">Glipizide </t>
  </si>
  <si>
    <t>Glipizide(Glucotrol) is used to treat high blood sugar levels caused by a type of diabetes mellitus called type 2 diabetes.</t>
  </si>
  <si>
    <t>SK02K09</t>
  </si>
  <si>
    <t>Apixaban</t>
  </si>
  <si>
    <t>Apixaban is a highly selective, reversible inhibitor of Factor Xa with Ki of 0.08 nM and 0.17 nM in human and rabbit, respectively.</t>
  </si>
  <si>
    <t>SK02K10</t>
  </si>
  <si>
    <t xml:space="preserve">Gemfibrozil </t>
  </si>
  <si>
    <t>Gemfibrozil (Lopid) is a compound used to lower lipid levels.</t>
  </si>
  <si>
    <t>SK02K11</t>
  </si>
  <si>
    <t xml:space="preserve">Pyridostigmine Bromide </t>
  </si>
  <si>
    <t>Pyridostigmine Bromide is a parasympathomimetic and a reversible cholinesterase inhibitor.</t>
  </si>
  <si>
    <t>SK02K12</t>
  </si>
  <si>
    <t xml:space="preserve">Telmisartan </t>
  </si>
  <si>
    <t>Telmisartan (Micardis) is an angiotensin II receptor antagonist (ARB) used in the management of hypertension.</t>
  </si>
  <si>
    <t>SK02K13</t>
  </si>
  <si>
    <t>Prilocaine</t>
  </si>
  <si>
    <t>Prilocaine is a local anesthetic of the amino amide type.</t>
  </si>
  <si>
    <t>SK02K14</t>
  </si>
  <si>
    <t xml:space="preserve">Nisoldipine </t>
  </si>
  <si>
    <t>Nisoldipine (Sular) is a calcium channel blocker belonging to the dihydropyridines class, specific for L-type Cav1.2 with IC50 of 10 nM.</t>
  </si>
  <si>
    <t>SK02K15</t>
  </si>
  <si>
    <t xml:space="preserve">Orlistat </t>
  </si>
  <si>
    <t>Orlistat is a general lipase inhibitor with IC50 of 122 ng/ml for PL from human duodenal juice.</t>
  </si>
  <si>
    <t>SK02K16</t>
  </si>
  <si>
    <t>Rifampin</t>
  </si>
  <si>
    <t>Rifampin is a bactericidal antibiotic agent of the rifamycin group.</t>
  </si>
  <si>
    <t>SK02K17</t>
  </si>
  <si>
    <t>Albendazole</t>
  </si>
  <si>
    <t>Albendazole is a member of the benzimidazole compounds used as a drug indicated for the treatment of a variety of worm infestations.</t>
  </si>
  <si>
    <t>SK02K18</t>
  </si>
  <si>
    <t xml:space="preserve">Azacitidine </t>
  </si>
  <si>
    <t>Azacitidine is a nucleoside analogue of cytidine that specifically inhibits DNA methylation by trapping DNA methyltransferases.</t>
  </si>
  <si>
    <t>SK02K19</t>
  </si>
  <si>
    <t xml:space="preserve">Telbivudine </t>
  </si>
  <si>
    <t>Telbivudine is an antiviral agent used in the treatment of hepatitis B infection.</t>
  </si>
  <si>
    <t>SK02K20</t>
  </si>
  <si>
    <t>Ranitidine</t>
  </si>
  <si>
    <t xml:space="preserve">Ranitidine is a histamine H2-receptor antagonist with IC50 of 3.3 ± 1.4 μM. </t>
  </si>
  <si>
    <t>SK02K21</t>
  </si>
  <si>
    <t>Estrone</t>
  </si>
  <si>
    <t>Estrone is an estrogenic hormone.</t>
  </si>
  <si>
    <t>SK02K22</t>
  </si>
  <si>
    <t>Chlorpheniramine Maleate</t>
  </si>
  <si>
    <t>Chlorpheniramine (Chlorpheniramine maleate, Chlorphenamine) is an histamine H1 receptor antagonist with IC50 of 12 nM.</t>
  </si>
  <si>
    <t>SK02K23</t>
  </si>
  <si>
    <t>SK02K24</t>
  </si>
  <si>
    <t>SK02L01</t>
  </si>
  <si>
    <t>Atracurium Besylate</t>
  </si>
  <si>
    <t>Atracurium Besylate is a neuromuscular blocking agent with ED95 of 0.2 mg/kg.</t>
  </si>
  <si>
    <t>SK02L02</t>
  </si>
  <si>
    <t>BMS-265246</t>
  </si>
  <si>
    <t>BMS-265246 is a potent and selective CDK1/2 inhibitor with IC50 of 6 nM/9 nM. It is 25-fold more selective for CDK1/2 than CDK4.</t>
  </si>
  <si>
    <t>SK02L03</t>
  </si>
  <si>
    <t>Clemastine Fumarate</t>
  </si>
  <si>
    <t>Clemastine Fumarate (Clemastine) is a selective histamine H1 receptor antagonist with IC50 of 3 nM.</t>
  </si>
  <si>
    <t>SK02L04</t>
  </si>
  <si>
    <t>Urapidil HCl</t>
  </si>
  <si>
    <t>Urapidil hydrochloride is a hydrochloride salt form of urapidil which is α1-adrenoceptor antagonist and 5-HT1A receptor agonist with pIC50 of 6.13 and 6.4 respectively.</t>
  </si>
  <si>
    <t>SK02L05</t>
  </si>
  <si>
    <t xml:space="preserve">Diphenhydramine HCl </t>
  </si>
  <si>
    <t>Diphenhydramine HCl (Benadryl), a histamine H1 antagonist used as an antiemetic, antitussive, for dermatoses and pruritus, for hypersensitivity reactions, as a hypnotic, an antiparkinson, and as an ingredient in common cold preparations.</t>
  </si>
  <si>
    <t>SK02L06</t>
  </si>
  <si>
    <t>Aspartame</t>
  </si>
  <si>
    <t>Aspartame is an artificial, non-saccharide sweetener used as a sugar substitute in some foods and beverages.</t>
  </si>
  <si>
    <t>SK02L07</t>
  </si>
  <si>
    <t xml:space="preserve">Felodipine </t>
  </si>
  <si>
    <t>Felodipine is a selective L-type Ca2+ channel blocker with IC50 of 0.15 nM.</t>
  </si>
  <si>
    <t>SK02L08</t>
  </si>
  <si>
    <t>Doxifluridine</t>
  </si>
  <si>
    <t>Doxifluridine is a thymidine phosphorylase activator for PC9-DPE2 cells with IC50 of 0.62 μM.</t>
  </si>
  <si>
    <t>SK02L09</t>
  </si>
  <si>
    <t>Potassium Iodide</t>
  </si>
  <si>
    <t>Potassium iodide is used to treat overactive thyroid and to protect the thyroid gland from the effects of radiation from inhaled or swallowed radioactive iodine.</t>
  </si>
  <si>
    <t>SK02L10</t>
  </si>
  <si>
    <t>Cyclophosphamide Monohydrate</t>
  </si>
  <si>
    <t>Cyclophosphamide Monohydrate is a nitrogen mustard alkylating agent, it attaches the alkyl group to the guanine base of DNA.</t>
  </si>
  <si>
    <t>SK02L11</t>
  </si>
  <si>
    <t>Flutamide</t>
  </si>
  <si>
    <t xml:space="preserve">Flutamide is an antiandrogen drug, with its active metablolite binding at androgen receptor with Ki values of 55 nM, and primarily used to treat prostate cancer. Phase 4. </t>
  </si>
  <si>
    <t>SK02L12</t>
  </si>
  <si>
    <t>Moxonidine</t>
  </si>
  <si>
    <t>Moxonidine is a selective agonist at the imidazoline receptor subtype 1, used as antihypertensive agent.</t>
  </si>
  <si>
    <t>SK02L13</t>
  </si>
  <si>
    <t xml:space="preserve">Haloperidol </t>
  </si>
  <si>
    <t>Haloperidol (Haldol) is an antipsychotic and butyrophenone.</t>
  </si>
  <si>
    <t>SK02L14</t>
  </si>
  <si>
    <t>Clevidipine Butyrate</t>
  </si>
  <si>
    <t>Cleviprex (Clevidipine) is a dihydropyridine calcium channel blocker use as agent for the reduction of blood pressure.</t>
  </si>
  <si>
    <t>SK02L15</t>
  </si>
  <si>
    <t>Enalapril Maleate</t>
  </si>
  <si>
    <t>Enalapril Maleate, the active metabolite of enalapril, competes with angiotensin I for binding at the angiotensin-converting enzyme, blocking the conversion of angiotensin I to angiotensin II.</t>
  </si>
  <si>
    <t>SK02L16</t>
  </si>
  <si>
    <t>Betaxolol</t>
  </si>
  <si>
    <t>Betaxolol is a selective beta1 adrenergic receptor blocker used in the treatment of hypertension and glaucoma.</t>
  </si>
  <si>
    <t>SK02L17</t>
  </si>
  <si>
    <t>Sulphadimethoxine</t>
  </si>
  <si>
    <t>Sulphadimethoxine is a non-reducing glucuronide.</t>
  </si>
  <si>
    <t>SK02L18</t>
  </si>
  <si>
    <t>Naltrexone HCl</t>
  </si>
  <si>
    <t>Naltrexone is an opioid receptor antagonist with IC50 of 8 nM used primarily in the management of alcohol dependence and opioid dependence.</t>
  </si>
  <si>
    <t>SK02L19</t>
  </si>
  <si>
    <t>Aripiprazole</t>
  </si>
  <si>
    <t>Aripiprazole is a human 5-HT1A receptor partial agonist with a Ki of 4.2 nM.</t>
  </si>
  <si>
    <t>SK02L20</t>
  </si>
  <si>
    <t>Ibutilide Fumarate</t>
  </si>
  <si>
    <t>Ibutilide Fumarate is a Class III antiarrhythmic agent that is indicated for acute cardioconversion of atrial fibrillation and atrial flutter of a recent onset to sinus rhythm by induction of slow inward sodium current, which prolongs action potential and refractory period of myocardial cells.</t>
  </si>
  <si>
    <t>SK02L21</t>
  </si>
  <si>
    <t>Elvitegravir (GS-9137, JTK-303)</t>
  </si>
  <si>
    <t>Elvitegravir (EVG, JTK-303/GS-9137) is an HIV integrase inhibitor for HIV-1 IIIB, HIV-2 EHO and HIV-2 ROD with IC50 of 0.7 nM, 2.8 nM and 1.4 nM, respectively.</t>
  </si>
  <si>
    <t>SK02L22</t>
  </si>
  <si>
    <t>S- (+)-Rolipram</t>
  </si>
  <si>
    <t>S-(+)-Rolipram inhibits human monocyte cyclic AMP-specific PDE4 with IC50 of 0.75 μM, has anti-inflammatory and anti-depressant activity in the central nervous system, less potent than its R enantiomer.</t>
  </si>
  <si>
    <t>SK02L23</t>
  </si>
  <si>
    <t>SK02L24</t>
  </si>
  <si>
    <t>SK02M01</t>
  </si>
  <si>
    <t>Org 27569</t>
  </si>
  <si>
    <t>Org 27569 is an allosteric modulator of cannabinoid CB1 receptor, induces a CB1 receptor state that is characterized by enhanced agonist affinity and decreased inverse agonist affinity.</t>
  </si>
  <si>
    <t>SK02M02</t>
  </si>
  <si>
    <t xml:space="preserve">Flurbiprofen </t>
  </si>
  <si>
    <t>Flurbiprofen is a member of the phenylalkanoic acid derivative family of non-steroidal anti-inflammatory drugs (NSAIDs).</t>
  </si>
  <si>
    <t>SK02M03</t>
  </si>
  <si>
    <t>Febuxostat</t>
  </si>
  <si>
    <t>Febuxostat is selective xanthine oxidase inhibitor with Ki of 0.6 nM.</t>
  </si>
  <si>
    <t>SK02M04</t>
  </si>
  <si>
    <t>Praziquantel</t>
  </si>
  <si>
    <t>Praziquantel is an anthelmintic effective against flatworms.</t>
  </si>
  <si>
    <t>SK02M05</t>
  </si>
  <si>
    <t>BMS-777607</t>
  </si>
  <si>
    <t>BMS-777607 is a Met-related inhibitor for c-Met, Axl, Ron and Tyro3 with IC50 of 3.9 nM, 1.1 nM, 1.8 nM and 4.3 nM, 40-fold more selective for Met-related targets versus Lck, VEGFR-2, and TrkA/B, and more than 500-fold greater selectivity versus all other receptor and non receptor kinases. Phase 1/2.</t>
  </si>
  <si>
    <t>SK02M06</t>
  </si>
  <si>
    <t>Progesterone</t>
  </si>
  <si>
    <t>Progesterone is a C-21 steroid hormone.</t>
  </si>
  <si>
    <t>SK02M07</t>
  </si>
  <si>
    <t>BIRB 796 (Doramapimod)</t>
  </si>
  <si>
    <t>BIRB 796 (Doramapimod) is a highly selective p38α MAPK inhibitor with Kd of 0.1 nM, 330-fold greater selectivity versus JNK2, weak inhibition for c-RAF, Fyn and Lck, insignificant inhibition of ERK-1, SYK, IKK2, ZAP-70, EGFR, HER2, PKA, PKC, PKCα/β/γ.</t>
  </si>
  <si>
    <t>SK02M08</t>
  </si>
  <si>
    <t xml:space="preserve">Glyburide </t>
  </si>
  <si>
    <t>Glyburide (Diabeta) is an anti-diabetic compound in a class of medications known as sulfonylureas, closely related to sulfa agents.</t>
  </si>
  <si>
    <t>SK02M09</t>
  </si>
  <si>
    <t>Semagacestat (LY450139)</t>
  </si>
  <si>
    <t>Semagacestat (LY450139) is a γ-secretase blocker for Aβ42, Aβ40 and Aβ38 with IC50 of 10.9 nM, 12.1 nM and 12.0 nM, also inhibits Notch signaling with IC50 of 14.1 nM. Phase 3.</t>
  </si>
  <si>
    <t>SK02M10</t>
  </si>
  <si>
    <t xml:space="preserve">Indapamide </t>
  </si>
  <si>
    <t>Indapamide(Lozol) is a non-thiazide sulphonamide diuretic compound, generally used in the treatment of hypertension, as well as decompensated cardiac failure.</t>
  </si>
  <si>
    <t>SK02M11</t>
  </si>
  <si>
    <t xml:space="preserve">Methimazole </t>
  </si>
  <si>
    <t>Methimazole(Tapazole, Northyx) is an antithyroid medicine.</t>
  </si>
  <si>
    <t>SK02M12</t>
  </si>
  <si>
    <t>Thiabendazole</t>
  </si>
  <si>
    <t xml:space="preserve">Thiabendazole inhibites the mitochondrial helminth-specific enzyme, fumarate reductase, with anthelminthic property. </t>
  </si>
  <si>
    <t>SK02M13</t>
  </si>
  <si>
    <t>Darunavir Ethanolate</t>
  </si>
  <si>
    <t>Darunavir Ethanolate is an HIV protease inhibitor.</t>
  </si>
  <si>
    <t>SK02M14</t>
  </si>
  <si>
    <t xml:space="preserve">Oxybutynin </t>
  </si>
  <si>
    <t>Oxybutynin is a competitive antagonist of the M1, M2, and M3 subtypes of the &lt;b&gt;muscarinic acetylcholine receptor&lt;/b&gt;, used to relieve urinary and bladder difficulties.</t>
  </si>
  <si>
    <t>SK02M15</t>
  </si>
  <si>
    <t xml:space="preserve">Allopurinol </t>
  </si>
  <si>
    <t>Allopurinol (Zyloprim) is a xanthine oxidase inhibitor with an IC50 of 7.82±0.12 μM.</t>
  </si>
  <si>
    <t>SK02M16</t>
  </si>
  <si>
    <t>Cefditoren Pivoxil</t>
  </si>
  <si>
    <t>Cefditoren pivoxil is used to treat uncomplicated skin and skin structure infections, etc.</t>
  </si>
  <si>
    <t>SK02M17</t>
  </si>
  <si>
    <t>Chlorothiazide</t>
  </si>
  <si>
    <t>Chlorothiazide is a diuretic and antihypertensive. (IC50=3.8 mM)</t>
  </si>
  <si>
    <t>SK02M18</t>
  </si>
  <si>
    <t xml:space="preserve">Vidarabine </t>
  </si>
  <si>
    <t>Vidarabine(Vira-A) is an antiviral drug which is active against herpes simplex and varicella zoster viruses.</t>
  </si>
  <si>
    <t>SK02M19</t>
  </si>
  <si>
    <t xml:space="preserve">Monobenzone </t>
  </si>
  <si>
    <t>Monobenzone is a compound used as a topical agent for medical depigmentation.</t>
  </si>
  <si>
    <t>SK02M20</t>
  </si>
  <si>
    <t>Acadesine</t>
  </si>
  <si>
    <t>Acadesine results in accumulation of ZMP, which mimics the stimulating effect of AMP on AMPK and AMPK kinase. Phase 3.</t>
  </si>
  <si>
    <t>SK02M21</t>
  </si>
  <si>
    <t>Flucytosine</t>
  </si>
  <si>
    <t>Flucytosine (5-Fluorocytosine, 5-FC) is an antifungal drug with IC50 of 0.93 μM in C. albicans.</t>
  </si>
  <si>
    <t>SK02M22</t>
  </si>
  <si>
    <t>Fenoprofen Calcium</t>
  </si>
  <si>
    <t>Fenoprofen calcium is a nonsteroidal, anti-inflammatory antiarthritic agent.</t>
  </si>
  <si>
    <t>SK02M23</t>
  </si>
  <si>
    <t>SK02M24</t>
  </si>
  <si>
    <t>SK02N01</t>
  </si>
  <si>
    <t>Butoconazole nitrate</t>
  </si>
  <si>
    <t>Butoconazole nitrate is an anti-fungal agent for IL-2, TNFα, IFN and GM-CSF with IC50 of 7.2 μg/mL, 14.4 μg/mL, 7.36 μg/mL and 7.6 μg/mL, respectively.</t>
  </si>
  <si>
    <t>SK02N02</t>
  </si>
  <si>
    <t>Suplatast Tosylate</t>
  </si>
  <si>
    <t>Suplatast Tosilate is a novel capsular anti-asthmatic agent that suppresses both IgE production, IL-4 and IL-5 synthesis with IC50 above 100 μM.</t>
  </si>
  <si>
    <t>SK02N03</t>
  </si>
  <si>
    <t>Curcumin</t>
  </si>
  <si>
    <t xml:space="preserve">Curcumin is the principal curcuminoid of the popular Indian spice turmeric, which is a member of the ginger family (Zingiberaceae). </t>
  </si>
  <si>
    <t>SK02N04</t>
  </si>
  <si>
    <t>Ginkgolide A</t>
  </si>
  <si>
    <t>Ginkgolide A is an extract from in Ginkgo biloba and a g-aminobutyric acid (GABA) antagonist with a Ki of 14.5 μM.</t>
  </si>
  <si>
    <t>SK02N05</t>
  </si>
  <si>
    <t xml:space="preserve">Dapoxetine HCl </t>
  </si>
  <si>
    <t>Dapoxetine hydrochloride is a short-acting novel selective serotonin reuptake inhibitor.</t>
  </si>
  <si>
    <t>SK02N06</t>
  </si>
  <si>
    <t>Candesartan Cilexetil</t>
  </si>
  <si>
    <t>Candesartan Cilexetil is a specific nonpeptide Ang II receptor (ATR)  antagonist and the prodrug of candesartan which is an ATR antagonist with an IC50 of 15 μg/kg</t>
  </si>
  <si>
    <t>SK02N07</t>
  </si>
  <si>
    <t xml:space="preserve">Deflazacort </t>
  </si>
  <si>
    <t>Deflazacort(Calcort) is a glucocorticoid used as an anti-inflammatory and immunosuppressant.</t>
  </si>
  <si>
    <t>SK02N08</t>
  </si>
  <si>
    <t>Pioglitazone HCl</t>
  </si>
  <si>
    <t>Pioglitazone HCl is a hydrochloride salt form of pioglitazone which is a cytochrome P450 (CYP)2C8 and CYP3A4 enzymes inhibitor for CYP2C8, CYP3A4 and CYP2C9 with Ki of 1.7 μM, 11.8 μM and 32.1 μM, respectively.</t>
  </si>
  <si>
    <t>SK02N09</t>
  </si>
  <si>
    <t>Tropisetron</t>
  </si>
  <si>
    <t>Tropisetron is a selective 5-HT3 receptor antagonist and α7-nicotinic receptor agonist with an IC50 of 70.1 ± 0.9 nM for 5-HT3 receptor.</t>
  </si>
  <si>
    <t>SK02N10</t>
  </si>
  <si>
    <t>Tolnaftate</t>
  </si>
  <si>
    <t>Tolnaftate is a synthetic thiocarbamate used as an anti-fungal agent.</t>
  </si>
  <si>
    <t>SK02N11</t>
  </si>
  <si>
    <t>Fluvastatin Sodium</t>
  </si>
  <si>
    <t>Fluvastatin Sodium inhibits HMG-CoA reductase activity with IC50 of 8 nM.</t>
  </si>
  <si>
    <t>SK02N12</t>
  </si>
  <si>
    <t>Ozagrel HCl</t>
  </si>
  <si>
    <t>Ozagrel HCl is a selective thromboxane A2 synthetase enzyme inhibitors with IC50 of 11 nM, used as antiasthmatic agent.</t>
  </si>
  <si>
    <t>SK02N13</t>
  </si>
  <si>
    <t>Phenindione</t>
  </si>
  <si>
    <t>Phenindione is an anticoagulant which functions as a Vitamin K antagonist.</t>
  </si>
  <si>
    <t>SK02N14</t>
  </si>
  <si>
    <t xml:space="preserve">Cilazapril Monohydrate </t>
  </si>
  <si>
    <t>Cilazapril Monohydrate is an angiotensin-converting enzyme (ACE) inhibitor used for the treatment of hypertension and congestive heart failure.</t>
  </si>
  <si>
    <t>SK02N15</t>
  </si>
  <si>
    <t>Menadione</t>
  </si>
  <si>
    <t>Menadione, a synthetic naphthoquinone without the isoprenoid side chain and biological activity, but can be converted to active vitamin K2, menaquinone, after alkylation in vivo.</t>
  </si>
  <si>
    <t>SK02N16</t>
  </si>
  <si>
    <t>Detomidine HCl</t>
  </si>
  <si>
    <t>Detomidine produce dose-dependent sedative and analgesic effects, mediatated by activation of α2 catecholamine receptors.</t>
  </si>
  <si>
    <t>SK02N17</t>
  </si>
  <si>
    <t xml:space="preserve">Rimantadine </t>
  </si>
  <si>
    <t>Rimantadine (Flumadine) is an anti-influenza virus drug for T. brucei with IC50 of 7 μM.</t>
  </si>
  <si>
    <t>SK02N18</t>
  </si>
  <si>
    <t>Levosulpiride</t>
  </si>
  <si>
    <t>Levosulpiride is a selective antagonist for D2 dopamine receptors used as an antipsychotic and prokinetic agent.</t>
  </si>
  <si>
    <t>SK02N19</t>
  </si>
  <si>
    <t>Methscopolamine</t>
  </si>
  <si>
    <t xml:space="preserve">Methscopolamine (Pamine) is a muscarinic acetylcholine receptor blocker. </t>
  </si>
  <si>
    <t>SK02N20</t>
  </si>
  <si>
    <t>Probucol</t>
  </si>
  <si>
    <t>Probucol is an anti-hyperlipidemic drug by lowering the level of cholesterol in the bloodstream by increasing the rate of LDL catabolism.</t>
  </si>
  <si>
    <t>SK02N21</t>
  </si>
  <si>
    <t>Maraviroc</t>
  </si>
  <si>
    <t>Maraviroc is a CCR5 antagonist for MIP-1α, MIP-1β and RANTES with IC50 of 3.3 nM, 7.2 nM and 5.2 nM, respectively.</t>
  </si>
  <si>
    <t>SK02N22</t>
  </si>
  <si>
    <t>Bazedoxifene HCl</t>
  </si>
  <si>
    <t>Bazedoxifene HCl is a novel, non-steroidal, indole-based estrogen receptor modulator (SERM) binding to both ERα and ERβ with IC50 of  23 nM and 89 nM.</t>
  </si>
  <si>
    <t>SK02N23</t>
  </si>
  <si>
    <t>SK02N24</t>
  </si>
  <si>
    <t>SK02O01</t>
  </si>
  <si>
    <t>CP-673451</t>
  </si>
  <si>
    <t>CP 673451 is a selective inhibitor of PDGFRα/β with IC50 of 10 nM/1 nM, exhibits &gt;450-fold selectivity over other angiogenic receptors, has antiangiogenic and antitumor activity.</t>
  </si>
  <si>
    <t>SK02O02</t>
  </si>
  <si>
    <t xml:space="preserve">Disulfiram </t>
  </si>
  <si>
    <t>Disulfiram is an agent used to support the treatment of chronic alcoholism by producing an acute sensitivity to alcohol.</t>
  </si>
  <si>
    <t>SK02O03</t>
  </si>
  <si>
    <t>Dapagliflozin</t>
  </si>
  <si>
    <t>Dapagliflozin is a potent and selective hSGLT2 inhibitor with EC50 of 1.1 nM, exhibiting 1200-fold selectivity over hSGLT1. Phase 3.</t>
  </si>
  <si>
    <t>SK02O04</t>
  </si>
  <si>
    <t xml:space="preserve">Busulfan </t>
  </si>
  <si>
    <t>Busulfan(Myleran, Busulfex) is a cell cycle non-specific alkylating antineoplastic agent.</t>
  </si>
  <si>
    <t>SK02O05</t>
  </si>
  <si>
    <t>VX-809 (Lumacaftor)</t>
  </si>
  <si>
    <t>VX-809 acts to correct CFTR mutations common in cystic fibrosis by increasing mutant CFTR (F508del-CFTR) maturation,EC50 of 0.1 μM. Phase 3.</t>
  </si>
  <si>
    <t>SK02O06</t>
  </si>
  <si>
    <t xml:space="preserve">Lamivudine </t>
  </si>
  <si>
    <t>Lamivudine(Epivir) is a potent nucleoside analog reverse transcriptase inhibitor with an IC50 of 2.7 mM.</t>
  </si>
  <si>
    <t>SK02O07</t>
  </si>
  <si>
    <t>RO4929097</t>
  </si>
  <si>
    <t>RO4929097 is a γ secretase inhibitor with IC50 of 4 nM, inhibiting cellular processing of Aβ40 and Notch with EC50 of 14 nM and 5 nM, respectively. Phase 2.</t>
  </si>
  <si>
    <t>SK02O08</t>
  </si>
  <si>
    <t xml:space="preserve">Adefovir Dipivoxil </t>
  </si>
  <si>
    <t>Adefovir Dipivoxil(Preveon, Hepsera) works by blocking reverse transcriptase, an enzyme that is crucial for the hepatitis B virus (HBV) to reproduce in the body.</t>
  </si>
  <si>
    <t>SK02O09</t>
  </si>
  <si>
    <t>Reserpine</t>
  </si>
  <si>
    <t>Reserpine is an indole alkaloid antipsychotic and antihypertensive drug that has been used for the control of high blood pressure and for the relief of psychotic symptoms.</t>
  </si>
  <si>
    <t>SK02O10</t>
  </si>
  <si>
    <t xml:space="preserve">Mitotane </t>
  </si>
  <si>
    <t>Mitotane(Lysodren), is an antineoplastic medication used in the treatment of adrenocortical carcinoma.</t>
  </si>
  <si>
    <t>SK02O11</t>
  </si>
  <si>
    <t xml:space="preserve">Metolazone </t>
  </si>
  <si>
    <t>Metolazone(Zaroxolyn) is primarily used to treat congestive heart failure and high blood pressure.</t>
  </si>
  <si>
    <t>SK02O12</t>
  </si>
  <si>
    <t xml:space="preserve">Guaifenesin </t>
  </si>
  <si>
    <t>Guaifenesin(Guaiphenesin) is thought to act as an expectorant.</t>
  </si>
  <si>
    <t>SK02O13</t>
  </si>
  <si>
    <t xml:space="preserve">Prednisone </t>
  </si>
  <si>
    <t>Prednisone (Adasone) is a synthetic corticosteroid agent that is particularly effective as an immunosuppressant compound.</t>
  </si>
  <si>
    <t>SK02O14</t>
  </si>
  <si>
    <t xml:space="preserve">Enoxacin </t>
  </si>
  <si>
    <t>Enoxacin(Penetrex)is an oral broad-spectrum fluoroquinolone antibacterial agent used in the treatment of urinary tract infections and gonorrhea. Insomnia is a common adverse effect.</t>
  </si>
  <si>
    <t>SK02O15</t>
  </si>
  <si>
    <t xml:space="preserve">Allopurinol Sodium </t>
  </si>
  <si>
    <t>Allopurinol Sodium  is a xanthine oxidase inhibitor with an IC50 of 7.82±0.12 μM.</t>
  </si>
  <si>
    <t>SK02O16</t>
  </si>
  <si>
    <t>Sulfadiazine</t>
  </si>
  <si>
    <t>Sulfadiazine is a sulfonamide antibiotic.</t>
  </si>
  <si>
    <t>SK02O17</t>
  </si>
  <si>
    <t>Ursodiol</t>
  </si>
  <si>
    <t>Ursodiol reduces cholesterol absorption and is used to dissolve (cholesterol) gallstones. (IC50=0.22 μM</t>
  </si>
  <si>
    <t>SK02O18</t>
  </si>
  <si>
    <t xml:space="preserve">Teniposide </t>
  </si>
  <si>
    <t>Teniposide(Vumon)is a chemotherapeutic medication mainly used in the treatment of childhood acute lymphocytic leukemia (ALL).</t>
  </si>
  <si>
    <t>SK02O19</t>
  </si>
  <si>
    <t>Tretinoin</t>
  </si>
  <si>
    <t>All−trans Retinoic acid (ATRA), whith is a ligand for both the retinoic acid receptor (RAR) and the retinoid X receptor (RXR), can induce granulocytic differentiation and apoptosis in acute promyelocytic leukemia (APL) cells.</t>
  </si>
  <si>
    <t>SK02O20</t>
  </si>
  <si>
    <t>Acetylcholine Chloride</t>
  </si>
  <si>
    <t xml:space="preserve">The chemical compound acetylcholine (ACh) is a neurotransmitter in both the peripheral nervous system (PNS) and central nervous system (CNS) in many organisms including humans. </t>
  </si>
  <si>
    <t>SK02O21</t>
  </si>
  <si>
    <t xml:space="preserve">Trichlormethiazide </t>
  </si>
  <si>
    <t>Trichlormethiazide(Achletin) is a diuretic with properties similar to those of hydrochlorothiazide.</t>
  </si>
  <si>
    <t>SK02O22</t>
  </si>
  <si>
    <t>Erdosteine</t>
  </si>
  <si>
    <t>Erdosteine is a mucolytic which is used in treatment of excessive viscous mucus.</t>
  </si>
  <si>
    <t>SK02O23</t>
  </si>
  <si>
    <t>SK02O24</t>
  </si>
  <si>
    <t>SK02P01</t>
  </si>
  <si>
    <t>Azithromycin</t>
  </si>
  <si>
    <t>Azithromycin is an antibiotic for inhibition of parasite growth with IC50 of 8.4 μM.</t>
  </si>
  <si>
    <t>SK02P02</t>
  </si>
  <si>
    <t>Mirtazapine</t>
  </si>
  <si>
    <t>Mirtazapine is a potent tetracyclic antidepressant.</t>
  </si>
  <si>
    <t>SK02P03</t>
  </si>
  <si>
    <t>Daidzein</t>
  </si>
  <si>
    <t>Daidzein belongs to the group of isoflavones.</t>
  </si>
  <si>
    <t>SK02P04</t>
  </si>
  <si>
    <t>Diclazuril</t>
  </si>
  <si>
    <t>Diclazuril is an anti-coccidial drug.</t>
  </si>
  <si>
    <t>SK02P05</t>
  </si>
  <si>
    <t>Valaciclovir HCl</t>
  </si>
  <si>
    <t>Valaciclovir hydrochloride is an antiviral drug used in the management of herpes simplex, herpes zoster, and herpes B.</t>
  </si>
  <si>
    <t>SK02P06</t>
  </si>
  <si>
    <t>Phentolamine Mesylate</t>
  </si>
  <si>
    <t>Phentolamine Mesylate is a nonselective alpha-adrenergic antagonist with IC50 of 0.1 μM.</t>
  </si>
  <si>
    <t>SK02P07</t>
  </si>
  <si>
    <t>Mitoxantrone</t>
  </si>
  <si>
    <t>Mitoxantrone is a type II topoisomerase inhibitor with IC50 of 2.0 μM, 0.42 mM for HepG2 and MCF-7/wt cells, respectively</t>
  </si>
  <si>
    <t>SK02P08</t>
  </si>
  <si>
    <t>Lornoxicam</t>
  </si>
  <si>
    <t>Lornoxicam is a COX-1 and COX-2 inhibitor with IC50 of 5 nM and 8 nM, respectively.</t>
  </si>
  <si>
    <t>SK02P09</t>
  </si>
  <si>
    <t>Nicotinamide (Vitamin B3)</t>
  </si>
  <si>
    <t>Nicotinamide (Vitamin B3) is a water-soluble vitamin and is part of the vitamin B group.</t>
  </si>
  <si>
    <t>SK02P10</t>
  </si>
  <si>
    <t xml:space="preserve">Terazosin HCl </t>
  </si>
  <si>
    <t>Hytrin (terazosin) is an alpha-adrenergic blocker used to treat high blood pressure and enlarged prostate.</t>
  </si>
  <si>
    <t>SK02P11</t>
  </si>
  <si>
    <t>Tioconazole</t>
  </si>
  <si>
    <t>Tioconazole is an antifungal medication with an average IC50 of 1.7 μM.</t>
  </si>
  <si>
    <t>SK02P12</t>
  </si>
  <si>
    <t>Argatroban</t>
  </si>
  <si>
    <t>Argatroban is an anticoagulant that is a small molecule direct thrombin inhibitor.</t>
  </si>
  <si>
    <t>SK02P13</t>
  </si>
  <si>
    <t>Alibendol</t>
  </si>
  <si>
    <t>Alibendol is an antispasmodic,choleretic, and cholekinetic.</t>
  </si>
  <si>
    <t>SK02P14</t>
  </si>
  <si>
    <t>Adiphenine HCl</t>
  </si>
  <si>
    <t>Adiphenine is a nicotinic receptor inhibitor with IC50 of 15 µM, used as an antispasmodic drug.</t>
  </si>
  <si>
    <t>SK02P15</t>
  </si>
  <si>
    <t>Methoxsalen</t>
  </si>
  <si>
    <t>Methoxsalen (Oxsoralen) a naturally occurring furocoumarin compound found in several species of plants, including Psoralea corylifolia, is an agent used to treat psoriasis, eczema, vitiligo and some cutaneous Lymphomas in conjunction with exposing the skin to sunlight.</t>
  </si>
  <si>
    <t>SK02P16</t>
  </si>
  <si>
    <t>Almotriptan Malate</t>
  </si>
  <si>
    <t>Almotriptan Malate is a selective 5-hydroxytryptamine1B/1D (5-HT1B/1D) receptor agonist, used for the treatment of Migraine attacks in adults.</t>
  </si>
  <si>
    <t>SK02P17</t>
  </si>
  <si>
    <t xml:space="preserve">Primidone </t>
  </si>
  <si>
    <t>Primidone(Mysoline) is an anticonvulsant of the pyrimidinedione class.</t>
  </si>
  <si>
    <t>SK02P18</t>
  </si>
  <si>
    <t>Flunixin Meglumin</t>
  </si>
  <si>
    <t>Flunixin meglumine is a potent inhibitor of the enzyme cyclooxygenase used as analgesic agent with anti-inflammatory and antipyretic activity.</t>
  </si>
  <si>
    <t>SK02P19</t>
  </si>
  <si>
    <t>Amiodarone HCl</t>
  </si>
  <si>
    <t>Amiodarone HCl is an antiarrhythmic drug for inhibition of ATP-sensitive potassium channel with IC50 of 19.1 μM.</t>
  </si>
  <si>
    <t>SK02P20</t>
  </si>
  <si>
    <t>Arbidol HCl</t>
  </si>
  <si>
    <t>Arbidol is an antiviral treatment for influenza infection.</t>
  </si>
  <si>
    <t>SK02P21</t>
  </si>
  <si>
    <t>Raltegravir (MK-0518)</t>
  </si>
  <si>
    <t>Raltegravir (MK-0518) is a potent integrase (IN) inhibitor for WT and S217Q PFV IN with IC50 of 90 nM and 40 nM, respectively.</t>
  </si>
  <si>
    <t>SK02P22</t>
  </si>
  <si>
    <t>Atropine</t>
  </si>
  <si>
    <t>Atropine sulfate monohydrate is a competitive muscarinic acetylcholine receptor antagonist with an IC50 of 2.5 nM.</t>
  </si>
  <si>
    <t>SK02P23</t>
  </si>
  <si>
    <t>SK02P24</t>
  </si>
  <si>
    <t>SK03A01</t>
  </si>
  <si>
    <t xml:space="preserve">Roflumilast </t>
  </si>
  <si>
    <t>Roflumilast is a selective inhibitor of PDE4 with IC50 of 0.2-4.3 nM.</t>
  </si>
  <si>
    <t>SK03A02</t>
  </si>
  <si>
    <t xml:space="preserve">Cyclosporin A </t>
  </si>
  <si>
    <t>Cyclosporin A is an immunosuppressive agent, binds to the cyclophilin and then inhibits calcineurin with IC50 of 7 nM, widely used in organ transplantation to prevent rejection. Phase 4.</t>
  </si>
  <si>
    <t>SK03A03</t>
  </si>
  <si>
    <t>KW-2449</t>
  </si>
  <si>
    <t>KW-2449 is a multiple-targeted inhibitor, mostly for Flt3 with IC50 of 6.6 nM, modestly potent to FGFR1, Bcr-Abl and Aurora A; little effect on PDGFRβ, IGF-1R, EGFR. Phase 1.</t>
  </si>
  <si>
    <t>SK03A04</t>
  </si>
  <si>
    <t>Ferulic Acid</t>
  </si>
  <si>
    <t>Ferulic Acid is a hydroxycinnamic acid and a type of organic compound found in the Ferula assafoetida L. or Ligusticum chuanxiong.</t>
  </si>
  <si>
    <t>SK03A05</t>
  </si>
  <si>
    <t>Givinostat (ITF2357)</t>
  </si>
  <si>
    <t>Givinostat (ITF2357) is a potent HDAC inhibitor for HDAC2, HDAC1B and HDAC1A with IC50 of 10 nM, 7.5 nM and 16 nM. Phase 1/2.</t>
  </si>
  <si>
    <t>SK03A06</t>
  </si>
  <si>
    <t>Hyodeoxycholic acid (HDCA)</t>
  </si>
  <si>
    <t>Hyodeoxycholic(HDCA) acid is a secondary bile acid, one of the metabolic byproducts of intestinal bacteria.</t>
  </si>
  <si>
    <t>SK03A07</t>
  </si>
  <si>
    <t>AST-1306</t>
  </si>
  <si>
    <t xml:space="preserve">AST-1306 is a novel irreversible inhibitor of EGFR and ErbB2 with IC50 of 0.5 nM and 3 nM, also effective in mutation EGFR T790M/L858R, more potent to ErbB2-overexpressing cells, 3000-fold selective for ErbB family than other kinases,  </t>
  </si>
  <si>
    <t>SK03A08</t>
  </si>
  <si>
    <t>Magnolol</t>
  </si>
  <si>
    <t>Magnolol is a bioactive lignin found in the bark of the Houpu magnolia (Magnolia officinalis) which shows antifungal properties.</t>
  </si>
  <si>
    <t>SK03A09</t>
  </si>
  <si>
    <t>SGI-1776 free base</t>
  </si>
  <si>
    <t>SGI-1776 is a novel ATP competitive inhibitor of Pim1 with IC50 of 7 nM, 50- and 10-fold selective versus Pim2 and Pim3, also potent to Flt3 and haspin. Phase 1.</t>
  </si>
  <si>
    <t>SK03A10</t>
  </si>
  <si>
    <t>Neohesperidin dihydrochalcone (Nhdc)</t>
  </si>
  <si>
    <t>Neohesperidin dihydrochalcone (Nhdc), sometimes abbreviated to neohesperidin DC or simply NHDC, is an artificial sweetener derived from citrus.</t>
  </si>
  <si>
    <t>SK03A11</t>
  </si>
  <si>
    <t>DAPT (GSI-IX)</t>
  </si>
  <si>
    <t>DAPT (GSI-IX) is a novel γ-secretase inhibitor, which inhibits Aβ production with IC50 of 20 nM in HEK 293 cells.</t>
  </si>
  <si>
    <t>SK03A12</t>
  </si>
  <si>
    <t>Paeonol</t>
  </si>
  <si>
    <t>Paeonol (Peonol), a phenolic compound extracted from Chinese herbs Paeonia suffruticosa (moutan cortex) and Cynanchum paniculatum, inhibits MAO with an IC50 of about 50 &amp;mu;M.</t>
  </si>
  <si>
    <t>SK03A13</t>
  </si>
  <si>
    <t>UK 383367</t>
  </si>
  <si>
    <t>UK-383367 is a procollagen C-proteinase inhibitor with IC50 of 44 nM, has excellent selectivity over MMPs.</t>
  </si>
  <si>
    <t>SK03A14</t>
  </si>
  <si>
    <t>Rutin</t>
  </si>
  <si>
    <t>Rutin, a flavonol glycoside found in many plants including buckwheat; tobacco; forsythia; hydrangea; viola, etc., which possesses healthy effects for human.</t>
  </si>
  <si>
    <t>SK03A15</t>
  </si>
  <si>
    <t xml:space="preserve">Esomeprazole Sodium </t>
  </si>
  <si>
    <t>Esomeprazole sodium (Nexium) is a sodium salt of esomeprazole that is a potent proton pump inhibitor with an IC50 of 0.076 mg/kg.</t>
  </si>
  <si>
    <t>SK03A16</t>
  </si>
  <si>
    <t>Synephrine</t>
  </si>
  <si>
    <t>Synephrine, a natural protoalkaloid in the extract of bitter orange and other citrus species, is commonly used for weight loss.</t>
  </si>
  <si>
    <t>SK03A17</t>
  </si>
  <si>
    <t>(-)-Epigallocatechin Gallate</t>
  </si>
  <si>
    <t>(-)-Epigallocatechin Gallate is the main catechin extraction of green tea, which shows multiple bioactivity.</t>
  </si>
  <si>
    <t>SK03A18</t>
  </si>
  <si>
    <t>Vanillylacetone</t>
  </si>
  <si>
    <t>Vanillylacetone is similar in chemical structure to other flavor chemicals such as vanillin and eugenol and is used as a flavor additive in spice oils and in perfumery to introduce spicy aromas.</t>
  </si>
  <si>
    <t>SK03A19</t>
  </si>
  <si>
    <t>Apigenin</t>
  </si>
  <si>
    <t>Apigenin is a potent P450 inhibitor for CYP2C9 with IC50 of 23 pM.</t>
  </si>
  <si>
    <t>SK03A20</t>
  </si>
  <si>
    <t>Diosmetin</t>
  </si>
  <si>
    <t>Diosmetin is a bioflavonoid found in spearmint, oregano, and many other plants.</t>
  </si>
  <si>
    <t>SK03A21</t>
  </si>
  <si>
    <t>Bergenin</t>
  </si>
  <si>
    <t>Bergenin is trihydroxybenzoic acid glycoside and the C-glycoside of 4-O-methyl gallic acid.</t>
  </si>
  <si>
    <t>SK03A22</t>
  </si>
  <si>
    <t>Naringin Dihydrochalcone</t>
  </si>
  <si>
    <t>Naringin Dihydrochalcone(Naringin DC) is a new-style sweetening agent and an artificial sweetener derived from naringin.</t>
  </si>
  <si>
    <t>SK03A23</t>
  </si>
  <si>
    <t>SK03A24</t>
  </si>
  <si>
    <t>SK03B01</t>
  </si>
  <si>
    <t>Dihydromyricetin</t>
  </si>
  <si>
    <t>Dihydromyricetin (Ampelopsin, Ampeloptin) is a natural antioxidant flavonoid from Ampelopsis grossedentata.</t>
  </si>
  <si>
    <t>SK03B02</t>
  </si>
  <si>
    <t xml:space="preserve">Miconazole </t>
  </si>
  <si>
    <t>Miconazole (Monistat) is an imidazole antifungal agent.</t>
  </si>
  <si>
    <t>SK03B03</t>
  </si>
  <si>
    <t>Paeoniflorin</t>
  </si>
  <si>
    <t>Paeoniflorin is a herbal constituent extracted from the root of Paeonia albiflora Pall.</t>
  </si>
  <si>
    <t>SK03B04</t>
  </si>
  <si>
    <t xml:space="preserve">Trospium chloride </t>
  </si>
  <si>
    <t>Trospium chloride (Sanctura) is a competitive muscarinic cholinergic receptor antagonist.</t>
  </si>
  <si>
    <t>SK03B05</t>
  </si>
  <si>
    <t>Apocynin</t>
  </si>
  <si>
    <t>Apocynin is a selective NADPH-oxidase inhibitor with IC50 of 10 μM.</t>
  </si>
  <si>
    <t>SK03B06</t>
  </si>
  <si>
    <t xml:space="preserve">Terbinafine HCl </t>
  </si>
  <si>
    <t>Terbinafine hydrochloride (Lamisil) is a hydrochloride salt of terbinafine that is a synthetic allylamine antifungal and a squalene epoxidase inhibitor with an IC50 of 30 nM for Candida albicans.</t>
  </si>
  <si>
    <t>SK03B07</t>
  </si>
  <si>
    <t>Forskolin</t>
  </si>
  <si>
    <t>Forskolin is a ubiquitous activator of eukaryotic adenylyl cyclase (AC), commonly used to raise levels of cAMP in the study and research of cell physiology.</t>
  </si>
  <si>
    <t>SK03B08</t>
  </si>
  <si>
    <t>Phenylephrine HCl</t>
  </si>
  <si>
    <t>Phenylephrine hydrochloride is a selective α1-adrenergic receptor agonist.</t>
  </si>
  <si>
    <t>SK03B09</t>
  </si>
  <si>
    <t xml:space="preserve">Clindamycin HCl </t>
  </si>
  <si>
    <t>Clindamycin hydrochloride(Dalacin) is the hydrated hydrochloride salt of clindamycin which is a semisynthetic antibiotic.</t>
  </si>
  <si>
    <t>SK03B10</t>
  </si>
  <si>
    <t>Thiamphenicol</t>
  </si>
  <si>
    <t>Thiamphenicol is an antimicrobial antibiotic and a methyl-sulfonyl analogue of chloramphenicol.</t>
  </si>
  <si>
    <t>SK03B11</t>
  </si>
  <si>
    <t>Fluocinolone Acetonide</t>
  </si>
  <si>
    <t>Fluocinolone Acetonide is a corticosteroid that binds to the cytosolic glucocorticoid receptor.</t>
  </si>
  <si>
    <t>SK03B12</t>
  </si>
  <si>
    <t>Clindamycin palmitate HCl</t>
  </si>
  <si>
    <t>Clindamycin palmitate HCl is a water soluble hydrochloride salt of the ester of clindamycin and palmitic acid and a lincosamide antibiotic.</t>
  </si>
  <si>
    <t>SK03B13</t>
  </si>
  <si>
    <t>Manidipine 2HCl</t>
  </si>
  <si>
    <t>Manidipine 2HCl is a HCl salt form of Manidipine, which is a calcium channel blocker with IC50 of 2.6 nM, used clinically as an antihypertensive. Phase 4.</t>
  </si>
  <si>
    <t>SK03B14</t>
  </si>
  <si>
    <t>Buflomedil HCl</t>
  </si>
  <si>
    <t>Buflomedil is a vasodilator used to treat claudication or the symptoms of peripheral arterial disease.</t>
  </si>
  <si>
    <t>SK03B15</t>
  </si>
  <si>
    <t>Olanzapine</t>
  </si>
  <si>
    <t>Olanzapine is a high affinity for 5-HT2 serotonin and D2 dopamine receptor antagonist.</t>
  </si>
  <si>
    <t>SK03B16</t>
  </si>
  <si>
    <t>MG-132</t>
  </si>
  <si>
    <t>MG-132 is an inhibitor of proteasome with IC50 of 100 nM, and also inhibits calpain with IC50 of 1.2 μM.</t>
  </si>
  <si>
    <t>SK03B17</t>
  </si>
  <si>
    <t xml:space="preserve">Racecadotril </t>
  </si>
  <si>
    <t>Racecadotril is a peripherally acting enkephalinase inhibitor with an IC50 of 4.5 μM</t>
  </si>
  <si>
    <t>SK03B18</t>
  </si>
  <si>
    <t>PNU-120596</t>
  </si>
  <si>
    <t>PNU-120596 is a positive allosteric modulator of α7 nAChR with EC50 of 216 nM.</t>
  </si>
  <si>
    <t>SK03B19</t>
  </si>
  <si>
    <t>Vardenafil HCl Trihydrate</t>
  </si>
  <si>
    <t>Vardenafil HCl Trihydrate is a new type PDE inhibitor with IC50 of 0.7 and 180 nM for PDE5 and PDE1, respectively.</t>
  </si>
  <si>
    <t>SK03B20</t>
  </si>
  <si>
    <t>TAK-875</t>
  </si>
  <si>
    <t>TAK-875 is a selective GPR40 agonist with EC50 of 14 nM, 400-fold more potent than oleic acid.</t>
  </si>
  <si>
    <t>SK03B21</t>
  </si>
  <si>
    <t>Alizarin</t>
  </si>
  <si>
    <t>Alizarin strongly inhibits P450 isoform CYP1A1, CYP1A2 and CYP1B1 with IC50 of 6.2 μM, 10.0 μM and 2.7 μM, respectively; weakly inhibits CYP2A6 and CYP2E1, and does not inhibit CYP2C19, CYP3A4 and CYP3A5.</t>
  </si>
  <si>
    <t>SK03B22</t>
  </si>
  <si>
    <t>ICG-001</t>
  </si>
  <si>
    <t>ICG-001 antagonizes Wnt/β-catenin/TCF-mediated transcription and specifically binds to element-binding protein (CBP) with IC50 of 3 μM, but is not the related transcriptional coactivator p300.</t>
  </si>
  <si>
    <t>SK03B23</t>
  </si>
  <si>
    <t>SK03B24</t>
  </si>
  <si>
    <t>SK03C01</t>
  </si>
  <si>
    <t>AZD8330</t>
  </si>
  <si>
    <t>AZD8330 is a novel, selective, non-ATP competitive MEK 1/2 inhibitor with IC50 of 7 nM. Phase 1.</t>
  </si>
  <si>
    <t>SK03C02</t>
  </si>
  <si>
    <t>Cytisine</t>
  </si>
  <si>
    <t>Cytisine is a nicotinic acetylcholine receptor agonist.</t>
  </si>
  <si>
    <t>SK03C03</t>
  </si>
  <si>
    <t>Tebipenem Pivoxil</t>
  </si>
  <si>
    <t>Tebipenem pivoxil is a novel oral carbapenem antibiotic with an IC50 of 100 μg/ml for human CYP isoforms</t>
  </si>
  <si>
    <t>SK03C04</t>
  </si>
  <si>
    <t>Glycyrrhizin (Glycyrrhizic Acid)</t>
  </si>
  <si>
    <t>Glycyrrhizin (Glycyrrhizic Acid) is a widely used anti-inflammatory agent isolated from the licorice root.</t>
  </si>
  <si>
    <t>SK03C05</t>
  </si>
  <si>
    <t>Telotristat Etiprate (LX 1606 Hippurate)</t>
  </si>
  <si>
    <t>Telotristat Etiprate (LX 1606 Hippurate) is an orally bioavailable, tryptophan hydroxylase (TPH) inhibitor with potential antiserotonergic activity. Phase 3.</t>
  </si>
  <si>
    <t>SK03C06</t>
  </si>
  <si>
    <t>Icariin</t>
  </si>
  <si>
    <t>Icariin is a cGMP-specific PDE5 inhibitor with IC50 of 0.432 μM, 167-fold more selective for PDE5 than PDE4.</t>
  </si>
  <si>
    <t>SK03C07</t>
  </si>
  <si>
    <t>SB505124</t>
  </si>
  <si>
    <t>SB505124 is a selective inhibitor of TGFβR for ALK4, ALK5 with IC50 of 129 nM and 47 nM, respectively, also inhibits ALK7, but does not inhibit ALK1, 2, 3, or 6.</t>
  </si>
  <si>
    <t>SK03C08</t>
  </si>
  <si>
    <t>(+)-Matrine</t>
  </si>
  <si>
    <t>Matrine((+)-Matrine) is an alkaloid found in plants from the Sophora family, which has a variety of pharmacological effects, including anti-cancer effects, and action as a kappa opioid receptor agonist.</t>
  </si>
  <si>
    <t>SK03C09</t>
  </si>
  <si>
    <t>Aliskiren Hemifumarate</t>
  </si>
  <si>
    <t>Aliskiren hemifumarate is a direct renin inhibitor with IC50 of 1.5 nM.</t>
  </si>
  <si>
    <t>SK03C10</t>
  </si>
  <si>
    <t>Neohesperidin</t>
  </si>
  <si>
    <t>Neohesperidin, a flavanone glycoside found in citrus fruits, is an antioxidant agent.</t>
  </si>
  <si>
    <t>SK03C11</t>
  </si>
  <si>
    <t>Mubritinib (TAK 165)</t>
  </si>
  <si>
    <t>Mubritinib (TAK-165) is a potent inhibitor of HER2/ErbB2 with IC50 of 6 nM; no activity to EGFR, FGFR, PDGFR, JAK1, Src and Blk.</t>
  </si>
  <si>
    <t>SK03C12</t>
  </si>
  <si>
    <t>(-)-Parthenolide</t>
  </si>
  <si>
    <t>(-)-Parthenolide is a sesquiterpene lactone which occurs naturally in the plant feverfew(Tanacetum parthenium) and also promotes the ubiquitination of MDM2 and activates p53 cellular functions.</t>
  </si>
  <si>
    <t>SK03C13</t>
  </si>
  <si>
    <t>TAME</t>
  </si>
  <si>
    <t>Tosyl-L-Arginine Methyl Ester (TAME) is an APC inhibitor.</t>
  </si>
  <si>
    <t>SK03C14</t>
  </si>
  <si>
    <t>Salicin</t>
  </si>
  <si>
    <t>Salicin is a phenol β-glycosid produced from willow bark that shows anti-inflammatory effects.</t>
  </si>
  <si>
    <t>SK03C15</t>
  </si>
  <si>
    <t>Volasertib (BI 6727)</t>
  </si>
  <si>
    <t>BI6727 (Volasertib) is a highly potent Plk1 inhibitor with IC50 of 0.87 nM. It shows 6- and 65-fold greater selectivity against Plk2 and Plk3. Phase 2.</t>
  </si>
  <si>
    <t>SK03C16</t>
  </si>
  <si>
    <t>Tangeretin</t>
  </si>
  <si>
    <t>Tangeretin, a natural polymethoxylated flavone concentrated in the peel of citrus fruits, is known to have antiproliferative, antiinvasive, antimetastatic and antioxidant activities.</t>
  </si>
  <si>
    <t>SK03C17</t>
  </si>
  <si>
    <t>(+)-Usniacin</t>
  </si>
  <si>
    <t>(+)-Usniacin is a naturally occurring dibenzofuran derivative found in several lichen species.</t>
  </si>
  <si>
    <t>SK03C18</t>
  </si>
  <si>
    <t>Xanthone</t>
  </si>
  <si>
    <t>Xanthone is an organic compound, which can be prepared by the heating of phenyl salicylate.</t>
  </si>
  <si>
    <t>SK03C19</t>
  </si>
  <si>
    <t>Arbutin</t>
  </si>
  <si>
    <t>Arbutin is a tyrosinase inhibitor with an IC50 of 1.09 mM.</t>
  </si>
  <si>
    <t>SK03C20</t>
  </si>
  <si>
    <t>D-Mannitol</t>
  </si>
  <si>
    <t>D-Mannitol is an osmotic diuretic agent and a weak renal vasodilator.</t>
  </si>
  <si>
    <t>SK03C21</t>
  </si>
  <si>
    <t>Berberine HCl</t>
  </si>
  <si>
    <t>Berberine Hydrochloride is a quaternary ammonium salt from the group of isoquinoline alkaloids.</t>
  </si>
  <si>
    <t>SK03C22</t>
  </si>
  <si>
    <t>Polydatin</t>
  </si>
  <si>
    <t>Polydatin is a crystal component extracted from the root stem of perennial herbage Polygonum Cuspidatum Sieb.et Zucc.</t>
  </si>
  <si>
    <t>SK03C23</t>
  </si>
  <si>
    <t>SK03C24</t>
  </si>
  <si>
    <t>SK03D01</t>
  </si>
  <si>
    <t>Sodium Danshensu</t>
  </si>
  <si>
    <t>Sodium Danshensu is a mono sodium of danshensu, which is a natural phenolic acid of caffeic acid derivatives isolated from Salvia miltiorrhiza.</t>
  </si>
  <si>
    <t>SK03D02</t>
  </si>
  <si>
    <t xml:space="preserve">Secnidazole </t>
  </si>
  <si>
    <t>Secnidazole (Flagentyl) is a nitroimidazole anti-infective.</t>
  </si>
  <si>
    <t>SK03D03</t>
  </si>
  <si>
    <t>Geniposide</t>
  </si>
  <si>
    <t>Geniposide is an iridoid glycoside isolated from the fruit of Gardenia jasminoides Ellis.</t>
  </si>
  <si>
    <t>SK03D04</t>
  </si>
  <si>
    <t>Tolterodine tartrate</t>
  </si>
  <si>
    <t>Tolterodine tartrate (Detrol LA) is a tartrate salt of tolterodine that is a competitive muscarinic receptor antagonist.</t>
  </si>
  <si>
    <t>SK03D05</t>
  </si>
  <si>
    <t>Rotundine</t>
  </si>
  <si>
    <t>Rotundine (L-tetrahydropalmatine, L-THP) is a selective dopamine D1 receptor antagonist with IC50 of 166 nM.</t>
  </si>
  <si>
    <t>SK03D06</t>
  </si>
  <si>
    <t xml:space="preserve">Cortisone acetate </t>
  </si>
  <si>
    <t>Cortisone acetate (Cortone) is an acetate salt form of cortisone that is a steroid hormone and a glucocorticoid.</t>
  </si>
  <si>
    <t>SK03D07</t>
  </si>
  <si>
    <t>Equol</t>
  </si>
  <si>
    <r>
      <t>Equol ,a metabolite of soybeans, is an important isoflavone in humans</t>
    </r>
    <r>
      <rPr>
        <sz val="11"/>
        <color theme="1"/>
        <rFont val="Aptos Narrow"/>
        <family val="2"/>
      </rPr>
      <t>，</t>
    </r>
    <r>
      <rPr>
        <sz val="11"/>
        <color theme="1"/>
        <rFont val="Arial Narrow"/>
        <family val="2"/>
      </rPr>
      <t>specifically binds to 5α-DHT, has a modest affinity for recombinant estrogen receptor ERβ. Phase 2.</t>
    </r>
  </si>
  <si>
    <t>SK03D08</t>
  </si>
  <si>
    <t xml:space="preserve">Prednisolone Acetate </t>
  </si>
  <si>
    <t>Prednisolone Acetate is a synthetic corticosteroid drug that is particularly effective as an immunosuppressant agent.</t>
  </si>
  <si>
    <t>SK03D09</t>
  </si>
  <si>
    <t xml:space="preserve">Clonidine HCl </t>
  </si>
  <si>
    <t>Clonidine hydrochloride(Catapres) is a direct-acting α2 adrenergic agonist with an ED50 of 0.02±0.01 mg/kg.</t>
  </si>
  <si>
    <t>SK03D10</t>
  </si>
  <si>
    <t>Clobetasol propionate</t>
  </si>
  <si>
    <t>Clobetasol propionate is a anti-inflammatory corticosteroid used to treat various skin disorders.</t>
  </si>
  <si>
    <t>SK03D11</t>
  </si>
  <si>
    <t xml:space="preserve">Gallamine Triethiodide </t>
  </si>
  <si>
    <t>Gallamine triethiodide(Flaxedil) is a cholinergic receptor blocker with an IC50 of 68.0 ± 8.4 μM.</t>
  </si>
  <si>
    <t>SK03D12</t>
  </si>
  <si>
    <t>L-Thyroxine</t>
  </si>
  <si>
    <t>L-Thyroxine is a synthetic form of thyroxine and a hormone replacement drug.</t>
  </si>
  <si>
    <t>SK03D13</t>
  </si>
  <si>
    <t>Milrinone</t>
  </si>
  <si>
    <t>Milrinone is a potent and selective phosphodiesterase 3 inhibitor with an IC50 of 0.42 μM for the inhibition of FIII PDE.</t>
  </si>
  <si>
    <t>SK03D14</t>
  </si>
  <si>
    <t xml:space="preserve">Fluocinonide </t>
  </si>
  <si>
    <t>Fluocinonide (Vanos) is a potent glucocorticoid steroid used topically as anti-inflammatory agent for the treatment of skin disorders such as eczema.</t>
  </si>
  <si>
    <t>SK03D15</t>
  </si>
  <si>
    <t xml:space="preserve">Olopatadine HCl </t>
  </si>
  <si>
    <t>Olopatadine hydrochloride(Opatanol) is a histamine blocker and mast cell stabilizer with an IC50 of 559 μM for the release of histamine</t>
  </si>
  <si>
    <t>SK03D16</t>
  </si>
  <si>
    <t>AZD5438</t>
  </si>
  <si>
    <t>AZD5438 is a potent inhibitor of CDK1/2/9 with IC50 of 16 nM/6 nM/20 nM. It is less potent to CDK5/6 and also inhibits GSK3β. Phase 1.</t>
  </si>
  <si>
    <t>SK03D17</t>
  </si>
  <si>
    <t xml:space="preserve">Ribavirin </t>
  </si>
  <si>
    <t>Ribavirin (Copegus) is an anti-viral agent indicated for severe RSV infection (individually), hepatitis C infection and other viral infections.</t>
  </si>
  <si>
    <t>SK03D18</t>
  </si>
  <si>
    <t>GW3965 HCl</t>
  </si>
  <si>
    <t>GW3965 is a potent, selective LXRagonist for hLXRα and hLXRβ with EC50 of 190 and 30 nM, respectively.</t>
  </si>
  <si>
    <t>SK03D19</t>
  </si>
  <si>
    <t>Xylazine HCl</t>
  </si>
  <si>
    <t>Xylazine HCl is α2 class of adrenergic receptor agonist.</t>
  </si>
  <si>
    <t>SK03D20</t>
  </si>
  <si>
    <t>NU7441 (KU-57788)</t>
  </si>
  <si>
    <t>NU7441 is a highly potent and selective DNA-PK inhibitor with IC50 of 14 nM and also inhibits PI3K with IC50 of 5 μM.</t>
  </si>
  <si>
    <t>SK03D21</t>
  </si>
  <si>
    <t xml:space="preserve">Ciclopirox </t>
  </si>
  <si>
    <t>Ciclopirox (Penlac) is a synthetic antifungal agent.</t>
  </si>
  <si>
    <t>SK03D22</t>
  </si>
  <si>
    <t>WAY-100635 Maleate</t>
  </si>
  <si>
    <t>WAY 100635 is a potent and selective 5-HT1A receptor agonist with pIC50 of 8.87, exhibits &gt;100-fold selectivity against other 5-HT receptor subtypes and major neurotransmitter receptors.</t>
  </si>
  <si>
    <t>SK03D23</t>
  </si>
  <si>
    <t>SK03D24</t>
  </si>
  <si>
    <t>SK03E01</t>
  </si>
  <si>
    <t>GSK1292263</t>
  </si>
  <si>
    <t>GSK1292263 is a novel GPR119 agonist, showing potential for the treatment of type 2 diabetes. Phase 2.</t>
  </si>
  <si>
    <t>SK03E02</t>
  </si>
  <si>
    <t>Dihydroartemisinin (DHA)</t>
  </si>
  <si>
    <t>Dihydroartemisinin (DHA) is a semi-synthetic derivative of artemisinin and isolated from the traditional Chinese herb Artemisia annua.</t>
  </si>
  <si>
    <t>SK03E03</t>
  </si>
  <si>
    <t>Almorexant HCl</t>
  </si>
  <si>
    <t>Almorexant HCl is an orally active, dual orexin receptor antagonist with IC50 of 6.6 nM and 3.4 nM for OX1 and OX2 receptor, respectively. Phase 3.</t>
  </si>
  <si>
    <t>SK03E04</t>
  </si>
  <si>
    <t>Gossypol</t>
  </si>
  <si>
    <t>Gossypol is a polyphenolic aldehyde that permeates cells and acts as an inhibitor for several dehydrogenase enzymes.</t>
  </si>
  <si>
    <t>SK03E05</t>
  </si>
  <si>
    <t>Dichlorphenamide</t>
  </si>
  <si>
    <t>Dichlorphenamide is a sulfonamide and a carbonic anhydrase inhibitor of the meta-Disulfamoylbenzene class.</t>
  </si>
  <si>
    <t>SK03E06</t>
  </si>
  <si>
    <t>Indole-3-carbinol</t>
  </si>
  <si>
    <t>Indole-3-carbinol is produced by the breakdown of the glucosinolate glucobrassicin, which can be found at relatively high levels in cruciferous vegetables.</t>
  </si>
  <si>
    <t>SK03E07</t>
  </si>
  <si>
    <t>Avasimibe</t>
  </si>
  <si>
    <t>Avasimibe inhibits ACAT with IC50 of 3.3 μM, also inhibits human P450 isoenzymes CYP2C9, CYP1A2 and CYP2C19 with IC50 of 2.9 μM, 13.9 μM and 26.5 μM,</t>
  </si>
  <si>
    <t>SK03E08</t>
  </si>
  <si>
    <t>Methyl-Hesperidin</t>
  </si>
  <si>
    <t>Methyl Hesperidin is a flavanone glycoside (flavonoid) (C28H34O15) found abundantly in citrus fruits. Its aglycone form is called hesperetin.</t>
  </si>
  <si>
    <t>SK03E09</t>
  </si>
  <si>
    <t>BMS-794833</t>
  </si>
  <si>
    <t>BMS-794833 is a potent ATP competitive inhibitor of Met/VEGFR2 with IC50 of 1.7 nM/15 nM, also inhibits Ron, Axl and Flt3 with IC50 of &lt;3 nM; a prodrug of BMS-817378. Phase 1.</t>
  </si>
  <si>
    <t>SK03E10</t>
  </si>
  <si>
    <t>Nobiletin</t>
  </si>
  <si>
    <t>Nobiletin, a citrus flavonoid isolated from citrus peels like in tangerine, which has anti-inflammatory and anti-tumor activities.</t>
  </si>
  <si>
    <t>SK03E11</t>
  </si>
  <si>
    <t>Irinotecan HCl Trihydrate</t>
  </si>
  <si>
    <t>Irinotecan prevents DNA from unwinding by inhibition of topoisomerase 1.</t>
  </si>
  <si>
    <t>SK03E12</t>
  </si>
  <si>
    <t>Phloretin</t>
  </si>
  <si>
    <t>Phloretin is a dihydrochalcone found in apple tree leaves, which shows beneficial effects on diabetes.</t>
  </si>
  <si>
    <t>SK03E13</t>
  </si>
  <si>
    <t>CAL-101 (Idelalisib, GS-1101)</t>
  </si>
  <si>
    <t>CAL-101 (Idelalisib, GS-1101) is a selective p110δ inhibitor with IC50 of 2.5 nM; shown to have 40- to 300-fold greater selectivity for p110δ thanp110α/β/γ, and 400- to 4000-fold more selectivity to p110δ than C2β, hVPS34, DNA-PK and mTOR. Phase 3.</t>
  </si>
  <si>
    <t>SK03E14</t>
  </si>
  <si>
    <t>Sclareol</t>
  </si>
  <si>
    <t>Sclareol, a labdane-type diterpene isolated from clary sage (Salvia sclarea), exerts growth inhibition and cytotoxic activity against a variety of human cancer cell lines.</t>
  </si>
  <si>
    <t>SK03E15</t>
  </si>
  <si>
    <t>Palomid 529 (P529)</t>
  </si>
  <si>
    <t>Palomid 529 (P529) inhibits both the mTORC1 and mTORC2 complexes, reduces phosphorylation of pAktS473, pGSK3βS9, and pS6 but no effect observed on pMAPK or pAktT308. Phase 1.</t>
  </si>
  <si>
    <t>SK03E16</t>
  </si>
  <si>
    <t>Tanshinone I</t>
  </si>
  <si>
    <t>Tanshinone I, an active principle isolated from Salvia miltiorrhiza (Danshen), is structurally similar to tanshinone IIA and may possess similar cytotoxic effects on tumor cells.</t>
  </si>
  <si>
    <t>SK03E17</t>
  </si>
  <si>
    <t>3-Indolebutyric acid (IBA)</t>
  </si>
  <si>
    <t xml:space="preserve">3-Indolebutyric acid(IBA) is a plant hormone in the auxin family and is an ingredient in many commercial plant rooting horticultural products. </t>
  </si>
  <si>
    <t>SK03E18</t>
  </si>
  <si>
    <t>Yohimbine HCl</t>
  </si>
  <si>
    <t>Yohimbine has been used as a mydriatic and in the treatment of impotence. It is also alleged to be an aphrodisiac.</t>
  </si>
  <si>
    <t>SK03E19</t>
  </si>
  <si>
    <t>Artemether</t>
  </si>
  <si>
    <t>Artemether is an antimalarial for the treatment of resistant strains of falciparum malaria.</t>
  </si>
  <si>
    <t>SK03E20</t>
  </si>
  <si>
    <t>Gastrodin</t>
  </si>
  <si>
    <t>Gastrodin, an anti-inflammatory polyphenol extracted from Chinese natural herbal Gastrodia elata Blume., benefits neurodegenerative diseases.</t>
  </si>
  <si>
    <t>SK03E21</t>
  </si>
  <si>
    <t>Bilobalide</t>
  </si>
  <si>
    <t>Bilobalide is a biologically active terpenic trilactone present in Ginkgo biloba.</t>
  </si>
  <si>
    <t>SK03E22</t>
  </si>
  <si>
    <t>Quercetin</t>
  </si>
  <si>
    <t>Quercetin is a natural flavonoid present in vegetables, fruit and wine and is a PI3K inhibitor with IC50 of 2.4 – 5.4 &amp;mu;M.</t>
  </si>
  <si>
    <t>SK03E23</t>
  </si>
  <si>
    <t>SK03E24</t>
  </si>
  <si>
    <t>SK03F01</t>
  </si>
  <si>
    <t>Isoliquiritigenin</t>
  </si>
  <si>
    <t>Isoliquiritigenin, an anti-tumor flavonoid from the root of Glycyrrhiza glabra, inhibits aldose reductase with an IC50 of 320 nM.</t>
  </si>
  <si>
    <t>SK03F02</t>
  </si>
  <si>
    <t>Acetanilide</t>
  </si>
  <si>
    <t>Acetanilide is an aniline derivative and has possess analgesic.</t>
  </si>
  <si>
    <t>SK03F03</t>
  </si>
  <si>
    <t>Genipin</t>
  </si>
  <si>
    <t xml:space="preserve">Genipin is an active aglycone derived from an iridoid glycoside called geniposide, which is found in the fruit of Gardenia jasminoides Ellis.  </t>
  </si>
  <si>
    <t>SK03F04</t>
  </si>
  <si>
    <t xml:space="preserve">Sulbactam sodium </t>
  </si>
  <si>
    <t>Sulbactam sodium (Unasyn) is an irreversible β-lactamase inhibitor.</t>
  </si>
  <si>
    <t>SK03F05</t>
  </si>
  <si>
    <t>Synephrine HCl</t>
  </si>
  <si>
    <t>SynephrineHCl (Oxedrine, p-Synephrine) is a sympathomimetic α-adrenergic receptor (AR) agonist.</t>
  </si>
  <si>
    <t>SK03F06</t>
  </si>
  <si>
    <t>Amiloride hydrochloride dihydrate</t>
  </si>
  <si>
    <t>Amiloride hydrochloride dihydrate is a potent epithelial sodium channel blocker.</t>
  </si>
  <si>
    <t>SK03F07</t>
  </si>
  <si>
    <t>Amantadine HCl</t>
  </si>
  <si>
    <t>Amantadine HCl is used to treat or prevent infections of the respiratory tract caused by a certain virus.</t>
  </si>
  <si>
    <t>SK03F08</t>
  </si>
  <si>
    <t xml:space="preserve">Tetracaine HCl </t>
  </si>
  <si>
    <t>Tetracaine hydrochloride (Pontocaine) is a hydrochloride salt form of tetracaine which is a potent local anaesthetic and a channel function allosteric inhibitor.</t>
  </si>
  <si>
    <t>SK03F09</t>
  </si>
  <si>
    <t xml:space="preserve">Clozapine </t>
  </si>
  <si>
    <t>Clozapine (Clozaril) is a potent 5-HT1C receptor antagonist with an IC50 of 110 nM for 5-HT-stimulated phosphoinositide hydrolysis.</t>
  </si>
  <si>
    <t>SK03F10</t>
  </si>
  <si>
    <t>Brompheniramine hydrogen maleate</t>
  </si>
  <si>
    <t>Brompheniramine hydrogen maleate is a histamine H1 receptors antagonist.</t>
  </si>
  <si>
    <t>SK03F11</t>
  </si>
  <si>
    <t>Hexestrol</t>
  </si>
  <si>
    <t>Hexestrol binds to ERα and ERβ with EC50 of 0.07 nM and 0.175 nM, respectively.</t>
  </si>
  <si>
    <t>SK03F12</t>
  </si>
  <si>
    <t xml:space="preserve">Gliclazide </t>
  </si>
  <si>
    <t>Gliclazide (Diamicron) is a whole-cell beta-cell ATP-sensitive potassium currents blocker with an IC50 of 184 ± 30 nM.</t>
  </si>
  <si>
    <t>SK03F13</t>
  </si>
  <si>
    <t>Mitoxantrone HCl</t>
  </si>
  <si>
    <t>Mitoxantrone HCl is a classic folic acid antagonist.</t>
  </si>
  <si>
    <t>SK03F14</t>
  </si>
  <si>
    <t>Lonidamine</t>
  </si>
  <si>
    <t>Lonidamine is an orally administered small molecule hexokinase inactivator with an IC50 of 0.85 mM.</t>
  </si>
  <si>
    <t>SK03F15</t>
  </si>
  <si>
    <t>Oxymetazoline hydrochloride</t>
  </si>
  <si>
    <t>Oxymetazoline hydrochloride is an α1 and α2 adrenergic receptor agonist.</t>
  </si>
  <si>
    <t>SK03F16</t>
  </si>
  <si>
    <t>PP121</t>
  </si>
  <si>
    <t>PP-121 is a multi-targeted inhibitor of PDGFR, Hck, mTOR, VEGFR2, Src and Abl with IC50 of 2 nM, 8 nM, 10 nM, 12 nM, 14 nM and 18 nM, also inhibits DNA-PK with IC50 of 60 nM.</t>
  </si>
  <si>
    <t>SK03F17</t>
  </si>
  <si>
    <t>Rosiglitazone maleate</t>
  </si>
  <si>
    <t>Rosiglitazone, a member of the thiazolidinedione class of antihyperglycaemic agents, is a high-affinity selective agonist of the &lt;b&gt;peroxisome proliferator-activated receptor-γ&lt;/b&gt;.</t>
  </si>
  <si>
    <t>SK03F18</t>
  </si>
  <si>
    <t>URB597</t>
  </si>
  <si>
    <t>URB597 is a potent, orally bioavailable FAAH inhibitor with IC50 of 4.6 nM, with no activity on other cannabinoid-related targets.</t>
  </si>
  <si>
    <t>SK03F19</t>
  </si>
  <si>
    <t>Maprotiline HCl</t>
  </si>
  <si>
    <t>Maprotiline hydrochloride (Deprilept, Ludiomil, Psymion) is a selective noradrenalin re-uptake inhibitor and a tetracyclic antidepressant.</t>
  </si>
  <si>
    <t>SK03F20</t>
  </si>
  <si>
    <t>SNX-2112 (PF-04928473)</t>
  </si>
  <si>
    <t>SNX-2112 selectively binds to the ATP pocket of HSP90α and HSP90β with Ka of 30 nM and 30 nM, uniformly more potent than 17-AAG.</t>
  </si>
  <si>
    <t>SK03F21</t>
  </si>
  <si>
    <t xml:space="preserve">Dopamine HCl </t>
  </si>
  <si>
    <t>Dopamine hydrochloride (Inotropin) is a catecholamine neurotransmitter present in a wide variety of animals,And a dopamine D1-5 receptors agonist.</t>
  </si>
  <si>
    <t>SK03F22</t>
  </si>
  <si>
    <t>Clinofibrate</t>
  </si>
  <si>
    <t>Clinofibrate inhibits hydroxymethylglutaryl coenzyme A reductase (HMGCR) with IC50 of 0.47 mM, is a lipid-lowering agent used for controlling high cholesterol and triacylglyceride levels in the blood.</t>
  </si>
  <si>
    <t>SK03F23</t>
  </si>
  <si>
    <t>SK03F24</t>
  </si>
  <si>
    <t>SK03G01</t>
  </si>
  <si>
    <t>LDE225 (NVP-LDE225,Erismodegib)</t>
  </si>
  <si>
    <t>LDE225 (NVP-LDE225) is a Smoothened (Smo) antagonist, inhibiting Hedgehog (Hh) signaling with IC50 of 1.3 nM (mouse) and 2.5 nM (human), respectively. Phase 3.</t>
  </si>
  <si>
    <t>SK03G02</t>
  </si>
  <si>
    <t>DL-Carnitine HCl</t>
  </si>
  <si>
    <t>DL-Carnitine hydrochloride is a quaternary ammonium compound biosynthesized from the amino acids lysine and methionine.</t>
  </si>
  <si>
    <t>SK03G03</t>
  </si>
  <si>
    <t>RAF265 (CHIR-265)</t>
  </si>
  <si>
    <t>RAF265 (CHIR-265) is a potent selective inhibitor of C-Raf/B-Raf/B-Raf V600E with IC50 of 3-60 nM, and exhibits potent inhibition on VEGFR2 phosphorylation with EC50 of 30 nM. Phase 2.</t>
  </si>
  <si>
    <t>SK03G04</t>
  </si>
  <si>
    <t>Gramine</t>
  </si>
  <si>
    <t>Gramine is a naturally occurring indole alkaloid present in several plant species.</t>
  </si>
  <si>
    <t>SK03G05</t>
  </si>
  <si>
    <t>AG-14361</t>
  </si>
  <si>
    <t>AG14361 is a potent inhibitor of PARP1 with Ki of &lt;5 nM. It is at least 1000-fold more potent than the benzamides.</t>
  </si>
  <si>
    <t>SK03G06</t>
  </si>
  <si>
    <t>Kaempferol</t>
  </si>
  <si>
    <t>Kaempferol is a natural flavonol, a type of flavonoid, that has been isolated from plant sources.</t>
  </si>
  <si>
    <t>SK03G07</t>
  </si>
  <si>
    <t>AZD8931 (Sapitinib)</t>
  </si>
  <si>
    <t>AZD8931 is a reversible, ATP competitive inhibitor of EGFR, ErbB2 and ErbB3 with IC50 of 4 nM, 3 nM and 4 nM, more potent than Gefitinib or Lapatinib against NSCLC cell, 100-fold more selective for the ErbB family than MNK1 and Flt. Phase 1/2.</t>
  </si>
  <si>
    <t>SK03G08</t>
  </si>
  <si>
    <t>Morin Hydrate</t>
  </si>
  <si>
    <t>Morin hydrate(Aurantica) is a flavonoid isolated from Maclura pomifera (Osage orange), Maclura tinctoria (old fustic) and from leaves of Psidium guajava (common guava).</t>
  </si>
  <si>
    <t>SK03G09</t>
  </si>
  <si>
    <t>NVP-BHG712</t>
  </si>
  <si>
    <t>NVP-BHG712 is a specific EphB4 inhibitor with ED50 of 25 nM that discriminates between VEGFR and EphB4 inhibition; also shows activity against c-Raf, c-Src and c-Abl with IC50 of 0.395 μM, 1.266 μM and 1.667 μM, respectively.</t>
  </si>
  <si>
    <t>SK03G10</t>
  </si>
  <si>
    <t>Oleanolic Acid</t>
  </si>
  <si>
    <t>Oleanolic Acid is a non-toxic, hepatoprotective triterpenoid found in Phytolacca Americana, which exerts antitumor and antiviral properties.</t>
  </si>
  <si>
    <t>SK03G11</t>
  </si>
  <si>
    <t>PP242</t>
  </si>
  <si>
    <t>PP242 is a selective mTOR inhibitor with IC50 of 8 nM; targets both mTOR complexes with &gt;10- and 100-fold selectivity for mTOR than PI3Kδ or PI3Kα/β/γ, respectively.</t>
  </si>
  <si>
    <t>SK03G12</t>
  </si>
  <si>
    <t>Phlorizin</t>
  </si>
  <si>
    <t>Phlorizin is a dihydrochalcone found in the bark of pear (Pyrus communis), apple, cherry and other fruit trees.</t>
  </si>
  <si>
    <t>SK03G13</t>
  </si>
  <si>
    <t>PIK-294</t>
  </si>
  <si>
    <t>PIK-294 is a highly selective p110δ inhibitor with IC50 of 10 nM, 1000-, 49- and 16-fold less potent to PI3Kα/β/γ, respectively.</t>
  </si>
  <si>
    <t>SK03G14</t>
  </si>
  <si>
    <t>Sclareolide</t>
  </si>
  <si>
    <t>Sclareolide(Norambreinolide) is a sesquiterpene lactone natural product derived from various plant sources including Salvia sclarea, Salvia yosgadensis, and cigar tobacco.</t>
  </si>
  <si>
    <t>SK03G15</t>
  </si>
  <si>
    <t xml:space="preserve">Fesoterodine Fumarate </t>
  </si>
  <si>
    <t>Fesoterodine fumarate (Toviaz) is an antimuscarinic agent and is rapidly de-esterified to its active metabolite 5-hydroxymethyl tolterodine that is a muscarinic receptor antagonist.</t>
  </si>
  <si>
    <t>SK03G16</t>
  </si>
  <si>
    <t>Tanshinone IIA</t>
  </si>
  <si>
    <t>Tanshinone IIA(Tanshinone B) is the most abundant diterpene quinone in Danshen, Salviae miltiorrhizae Radix, a widely prescribed traditional herbal medicine that is used to treat cardiovascular and inflammatory diseases.</t>
  </si>
  <si>
    <t>SK03G17</t>
  </si>
  <si>
    <t>4-Methylumbelliferone (4-MU)</t>
  </si>
  <si>
    <t>4-Methylumbelliferone is a hyaluronic acid (HA) synthesis inhibitor with an IC50 of 0.4 mM.</t>
  </si>
  <si>
    <t>SK03G18</t>
  </si>
  <si>
    <t>5-hydroxytryptophan (5-HTP)</t>
  </si>
  <si>
    <t>5-Hydroxytryptophan (5-HTP), also known as oxitriptan (INN), is a naturally occurring amino acid and chemical precursor for the treatment of depression.</t>
  </si>
  <si>
    <t>SK03G19</t>
  </si>
  <si>
    <t>Artesunate</t>
  </si>
  <si>
    <t>Artesunate is a part of the artemisinin group of agents with an IC50 of &lt; 5 μM for small cell lung carcinoma cell line H69.</t>
  </si>
  <si>
    <t>SK03G20</t>
  </si>
  <si>
    <t>Hematoxylin</t>
  </si>
  <si>
    <t>Hematoxylin (Hydroxybrazilin) is a compound that forms strongly colored complexes with certain metal ions, notably Fe(III) and Al(III) salts and a kind of stain in histology.</t>
  </si>
  <si>
    <t>SK03G21</t>
  </si>
  <si>
    <t>Caffeic Acid</t>
  </si>
  <si>
    <t>Caffeic acid is a hydroxycinnamic acid, a naturally occurring organic compound.</t>
  </si>
  <si>
    <t>SK03G22</t>
  </si>
  <si>
    <t>Sesamin</t>
  </si>
  <si>
    <t>Sesamin, a lignan isolated from the bark of Fagara plants and from sesame oil, exhibits various health benefits.</t>
  </si>
  <si>
    <t>SK03G23</t>
  </si>
  <si>
    <t>SK03G24</t>
  </si>
  <si>
    <t>SK03H01</t>
  </si>
  <si>
    <t>Sophocarpine</t>
  </si>
  <si>
    <t>Sophocarpine, a major ingredient of Sophora alopecuroides, has a wide range of pharmacological effects.</t>
  </si>
  <si>
    <t>SK03H02</t>
  </si>
  <si>
    <t xml:space="preserve">Clomipramine HCl </t>
  </si>
  <si>
    <t xml:space="preserve">Clomipramine HCl is a hydrochloride salt of clomipramine which is a serotonin transporter (SERT), norepinephrine transporter (NET) dopamine transporter (DAT) blocker with Ki of 0.14, 54 and 3 nM, respectively. </t>
  </si>
  <si>
    <t>SK03H03</t>
  </si>
  <si>
    <t>Geniposidic acid</t>
  </si>
  <si>
    <t xml:space="preserve">Geniposidic acid is an iridoid glucoside, used to treat inflammation, jaundice and hepatic disorders. </t>
  </si>
  <si>
    <t>SK03H04</t>
  </si>
  <si>
    <t>Azelastine HCl</t>
  </si>
  <si>
    <t>Azelastine hydrochloride (Astelin) is a potent, second-generation, selective, histamine antagonist.</t>
  </si>
  <si>
    <t>SK03H05</t>
  </si>
  <si>
    <t>Guanosine</t>
  </si>
  <si>
    <t>Guanosine is a purine nucleoside comprising guanine attached to a ribose (ribofuranose) ring via a &amp;beta;-N9-glycosidic bond.</t>
  </si>
  <si>
    <t>SK03H06</t>
  </si>
  <si>
    <t xml:space="preserve">Clomifene citrate </t>
  </si>
  <si>
    <t>Clomifene citrate (Serophene) is a selective estrogen receptor modulator.</t>
  </si>
  <si>
    <t>SK03H07</t>
  </si>
  <si>
    <t>Amfebutamone HCl</t>
  </si>
  <si>
    <t>Amfebutamone HCl is a selective norepinephrine-dopamine reuptake inhibitor with IC50 of 6.5 and 3.4μM for the reuptake of dopamine and norepinephrine, respectively</t>
  </si>
  <si>
    <t>SK03H08</t>
  </si>
  <si>
    <t>Tetracycline HCl</t>
  </si>
  <si>
    <t>Tetracycline hydrochloride is a hydrochloride salt of tetracycline that is a broad-spectrum polyketide antibiotic.</t>
  </si>
  <si>
    <t>SK03H09</t>
  </si>
  <si>
    <t>Pramipexole</t>
  </si>
  <si>
    <t>Pramipexole is a partial/full D2S, D2L, D3, D4 receptor agonist with a Ki of 3.9, 2.2, 0.5 and 5.1 nM for D2S, D2L, D3, D4 receptor, respectively.</t>
  </si>
  <si>
    <t>SK03H10</t>
  </si>
  <si>
    <t>Dimethyl Fumarate</t>
  </si>
  <si>
    <t>Dimethyl fumarate is a promising novel oral therapeutic option shown to reduce disease activity and progression in patients with relapsing-remitting multiple sclerosis.</t>
  </si>
  <si>
    <t>SK03H11</t>
  </si>
  <si>
    <t>Imatinib (STI571)</t>
  </si>
  <si>
    <t>Imatinib is a multi-target inhibitor of v-Abl, c-Kit and PDGFR with IC50 of 0.6 μM, 0.1 μM and 0.1 μM, respectively.</t>
  </si>
  <si>
    <t>SK03H12</t>
  </si>
  <si>
    <t>Acemetacin</t>
  </si>
  <si>
    <t>Acemetacin is a non-steroidal anti-inflammatory drug and a glycolic acid ester of indometacin that is a cyclooxygenase inhibitor.</t>
  </si>
  <si>
    <t>SK03H13</t>
  </si>
  <si>
    <t>Moroxydine HCl</t>
  </si>
  <si>
    <t>Moroxydine HCl is a synthetic antiviral compound chemically belonging to the series of the heterocyclic biguanidines.</t>
  </si>
  <si>
    <t>SK03H14</t>
  </si>
  <si>
    <t>Ribitol</t>
  </si>
  <si>
    <t>Ribitol is a crystalline pentose alcohol and is formed by the reduction of ribose which is occurs naturally in the plant Adonis vernalis.</t>
  </si>
  <si>
    <t>SK03H15</t>
  </si>
  <si>
    <t>Ozagrel</t>
  </si>
  <si>
    <t>Ozagrel is a potent and selective thromboxane A2 synthetase inhibitor with an IC50 of 4 nM.</t>
  </si>
  <si>
    <t>SK03H16</t>
  </si>
  <si>
    <t>Omecamtiv mecarbil (CK-1827452)</t>
  </si>
  <si>
    <t>Omecamtivmecarbil (CK-1827452) is a specific cardiac myosinactivator and a clinical drug for left ventricular systolic heart failure. Phase 2.</t>
  </si>
  <si>
    <t>SK03H17</t>
  </si>
  <si>
    <t xml:space="preserve">Roxithromycin </t>
  </si>
  <si>
    <t>Roxithromycin  is a semi-synthetic macrolide antibiotic. It is used to treat respiratory tract, urinary and soft tissue infections.</t>
  </si>
  <si>
    <t>SK03H18</t>
  </si>
  <si>
    <t xml:space="preserve">BMS-378806 </t>
  </si>
  <si>
    <t>BMS-378806 selectively inhibits the binding of HIV-1 gp120 to the CD4 receptor with EC50 of 0.85-26.5 nM in virus.</t>
  </si>
  <si>
    <t>SK03H19</t>
  </si>
  <si>
    <t xml:space="preserve">Naphazoline HCl </t>
  </si>
  <si>
    <t>Naphazoline hydrochloride (Naphcon) is an ocular vasoconstrictor and imidazoline derivative sympathomimetic amine.</t>
  </si>
  <si>
    <t>SK03H20</t>
  </si>
  <si>
    <t>PF-04929113 (SNX-5422)</t>
  </si>
  <si>
    <t>PF-04929113 (SNX-5422) is a potent and selective HSP90 inhibitor with Kd of 41 nM and induces Her-2 degradation with IC50 of 37 nM. Phase 1/2.</t>
  </si>
  <si>
    <t>SK03H21</t>
  </si>
  <si>
    <t>Asaraldehyde</t>
  </si>
  <si>
    <t>Asaraldehyde is a natural COX-2 inhibitor, exhibiting 17-fold selectivity over COX-1.</t>
  </si>
  <si>
    <t>SK03H22</t>
  </si>
  <si>
    <t>Ciprofibrate</t>
  </si>
  <si>
    <t>Ciprofibrate is a peroxisome proliferator-activated receptor agonist.</t>
  </si>
  <si>
    <t>SK03H23</t>
  </si>
  <si>
    <t>SK03H24</t>
  </si>
  <si>
    <t>SK03I01</t>
  </si>
  <si>
    <t>CGS 21680 HCl</t>
  </si>
  <si>
    <t>CGS 21680 HCl is an adenosine A2 receptor agonist with IC50 of 22 nM, exhibits 140-fold over A1 receptor.</t>
  </si>
  <si>
    <t>SK03I02</t>
  </si>
  <si>
    <t>Emodin</t>
  </si>
  <si>
    <t>Emodin is a purgative resin, 6-methyl-1,3,8-trihydroxyanthraquinone, from rhubarb, the buckthorn and Japanese Knotweed (Fallopia japonica).</t>
  </si>
  <si>
    <t>SK03I03</t>
  </si>
  <si>
    <t>AZD1480</t>
  </si>
  <si>
    <t>AZD1480 is a novel ATP-competitive JAK2 inhibitor with IC50 of 0.26 nM, selectivity against JAK3 and Tyk2, and to a smaller extent against JAK1. Phase 1.</t>
  </si>
  <si>
    <t>SK03I04</t>
  </si>
  <si>
    <t>Gynostemma Extract</t>
  </si>
  <si>
    <t>Gynostemma Extract is a saponins extract derived from the Gynostemma pentaphyllum.</t>
  </si>
  <si>
    <t>SK03I05</t>
  </si>
  <si>
    <t>LY2784544</t>
  </si>
  <si>
    <t>LY2784544 is a potent JAK2 inhibitor with IC50 of 3 nM, effective in JAK2V617F, 8- and 20-fold selective versus JAK1 and JAK3. Phase 2.</t>
  </si>
  <si>
    <t>SK03I06</t>
  </si>
  <si>
    <t>Kinetin</t>
  </si>
  <si>
    <t>Kinetin is a type of cytokinin, a class of plant hormone that promotes cell division.</t>
  </si>
  <si>
    <t>SK03I07</t>
  </si>
  <si>
    <t>GSK461364</t>
  </si>
  <si>
    <t>GSK461364 inhibits purified Plk1 with Ki of 2.2 nM. It is more than 1000-fold selective against Plk2/3. Phase 1.</t>
  </si>
  <si>
    <t>SK03I08</t>
  </si>
  <si>
    <t>Myricetin</t>
  </si>
  <si>
    <t>Myricetin(Cannabiscetin) is a flavonoid found in many grapes, berries, fruits, vegetables, herbs, as well as other plants, which has antioxidant and anti tumor properties.</t>
  </si>
  <si>
    <t>SK03I09</t>
  </si>
  <si>
    <t>OSI-420</t>
  </si>
  <si>
    <t>OSI-420 is the active metabolite of Erlotinib (EGFR inhibitor with IC50 of 2 nM).</t>
  </si>
  <si>
    <t>SK03I10</t>
  </si>
  <si>
    <t>Oridonin</t>
  </si>
  <si>
    <t>Oridonin, a diterpenoid purified from Rabdosia rubescens, is an antitumor agent.</t>
  </si>
  <si>
    <t>SK03I11</t>
  </si>
  <si>
    <t>CYT387</t>
  </si>
  <si>
    <t>CYT387 is an ATP-competitive inhibitor of JAK1/JAK2 with IC50 of 11 nM/18 nM, ~10-fold selectivity versus JAK3. Phase 1/2.</t>
  </si>
  <si>
    <t>SK03I12</t>
  </si>
  <si>
    <t>Piperine</t>
  </si>
  <si>
    <t>Piperine (1-Piperoylpiperidine) is the alkaloid responsible for the pungency of black pepper and long pepper, which has also been used in some forms of traditional medicine and as an insecticide.</t>
  </si>
  <si>
    <t>SK03I13</t>
  </si>
  <si>
    <t>VX-765</t>
  </si>
  <si>
    <t>VX-765 is a potent and selective inhibitor of caspase-1 with Ki of 0.8 nM.</t>
  </si>
  <si>
    <t>SK03I14</t>
  </si>
  <si>
    <t>Shikimic Acid</t>
  </si>
  <si>
    <t>Shikimic acid(Shikimate), more commonly known as its anionic form shikimate, is an important biochemical intermediate in plants and microorganisms.</t>
  </si>
  <si>
    <t>SK03I15</t>
  </si>
  <si>
    <t>Degrasyn (WP1130)</t>
  </si>
  <si>
    <t>WP1130 (Degrasyn) is a selective deubiquitinase (DUB: USP5, UCH-L1, USP9x, USP14, and UCH37) inhibitor and also suppresses Bcr/Abl, also a JAK2 transducer (without affecting 20S proteasome) and activator of transcription (STAT).</t>
  </si>
  <si>
    <t>SK03I16</t>
  </si>
  <si>
    <t>Taxifolin (Dihydroquercetin)</t>
  </si>
  <si>
    <t>Taxifolin is a flavonoid in many plants such as Taxus chinensis, Siberian larch, Cedrus deodara and so on.</t>
  </si>
  <si>
    <t>SK03I17</t>
  </si>
  <si>
    <t>Esculin</t>
  </si>
  <si>
    <t>Esculin is a glucoside found in horse chestnuts.</t>
  </si>
  <si>
    <t>SK03I18</t>
  </si>
  <si>
    <t>Aloin</t>
  </si>
  <si>
    <t>Aloin, a natural anthracycline from Aloe vera, is a tyrosinase inhibitor.</t>
  </si>
  <si>
    <t>SK03I19</t>
  </si>
  <si>
    <t>Asiatic Acid</t>
  </si>
  <si>
    <t xml:space="preserve">Asiatic acid is the aglycone of asiaticoside isolated from the plant Centella asiatica, commonly used in wound healing. </t>
  </si>
  <si>
    <t>SK03I20</t>
  </si>
  <si>
    <t>Hordenine</t>
  </si>
  <si>
    <t>Hordenine (N,N-dimethyl-4-hydroxyphenylethylamine) is a phenylethylamine alkaloid with antibacterial and antibiotic properties.</t>
  </si>
  <si>
    <t>SK03I21</t>
  </si>
  <si>
    <t>Chlorogenic Acid</t>
  </si>
  <si>
    <t>Chlorogenic acid is a hydroxycinnamic acid and a member of a family of naturally occurring organic compounds.</t>
  </si>
  <si>
    <t>SK03I22</t>
  </si>
  <si>
    <t>Sorbitol</t>
  </si>
  <si>
    <t>Sorbitol is a sugar alcohol and a sugar substitute.</t>
  </si>
  <si>
    <t>SK03I23</t>
  </si>
  <si>
    <t>SK03I24</t>
  </si>
  <si>
    <t>SK03J01</t>
  </si>
  <si>
    <t>Chrysophanic Acid</t>
  </si>
  <si>
    <t>Chrysophanic acid (Chrysophanol), a natural anthraquinone isolated from Dianella longifolia, is a EGFR/mTOR pathway inhibitor.</t>
  </si>
  <si>
    <t>SK03J02</t>
  </si>
  <si>
    <t>Phenformin HCl</t>
  </si>
  <si>
    <t>Phenformin hydrochloride is a hydrochloride salt of phenformin that is an anti-diabetic drug from the biguanide class.</t>
  </si>
  <si>
    <t>SK03J03</t>
  </si>
  <si>
    <t>Astragaloside A</t>
  </si>
  <si>
    <t>Astragaloside A (Astragaloside IV) is the primary pure saponin isolated from Astragalus membranaceus, which has been widely used for the treatment of cardiovascular diseases.</t>
  </si>
  <si>
    <t>SK03J04</t>
  </si>
  <si>
    <t>5-Aminolevulinic acid HCl</t>
  </si>
  <si>
    <t>5-Aminolevulinic acid is an intermediate in heme biosynthesis in the body and the universal precursor of tetrapyrroles.</t>
  </si>
  <si>
    <t>SK03J05</t>
  </si>
  <si>
    <t>Inosine</t>
  </si>
  <si>
    <t>Inosine is a nucleoside that is formed when hypoxanthine is attached to a ribose ring via a &amp;beta;-N9-glycosidic bond.</t>
  </si>
  <si>
    <t>SK03J06</t>
  </si>
  <si>
    <t>Cloxacillin Sodium</t>
  </si>
  <si>
    <t>Cloxacillin Sodium is a sodium salt of cloxacillin that is a penicillinase-resistant, acid resistant, semi-synthetic penicillin.</t>
  </si>
  <si>
    <t>SK03J07</t>
  </si>
  <si>
    <t>Benserazide HCl</t>
  </si>
  <si>
    <t>Benserazide HCl is a peripherally-acting aromatic L-amino acid decarboxylase (AAAD) or DOPA decarboxylase inhibitor.</t>
  </si>
  <si>
    <t>SK03J08</t>
  </si>
  <si>
    <t>Xylometazoline HCl</t>
  </si>
  <si>
    <t>Xylometazoline is an α-adrenoceptor agonist commonly used as nasal decongestant, exhibits highest potency at α2B-adrenoceptor subtype with EC50 of 99 μM. Phase 4.</t>
  </si>
  <si>
    <t>SK03J09</t>
  </si>
  <si>
    <t xml:space="preserve">Domperidone </t>
  </si>
  <si>
    <t>Domperidone(Motilium) is a dopamine blocker and an antidopaminergic reagent.</t>
  </si>
  <si>
    <t>SK03J10</t>
  </si>
  <si>
    <t>Miglitol</t>
  </si>
  <si>
    <t>Miglitol is an oral anti-diabetic drug.</t>
  </si>
  <si>
    <t>SK03J11</t>
  </si>
  <si>
    <t>Itraconazole</t>
  </si>
  <si>
    <t>Itraconazole is a triazole antifungal agent.</t>
  </si>
  <si>
    <t>SK03J12</t>
  </si>
  <si>
    <t>Tioxolone</t>
  </si>
  <si>
    <t>Tioxolone is a metalloenzyme carbonic anhydrase I inhibitor with a Ki of 91 nM.</t>
  </si>
  <si>
    <t>SK03J13</t>
  </si>
  <si>
    <t>Mycophenolic acid</t>
  </si>
  <si>
    <t>Mycophenolic acid is an immunosuppressant agent used to prevent rejection in organ transplantation.</t>
  </si>
  <si>
    <t>SK03J14</t>
  </si>
  <si>
    <t>Clorsulon</t>
  </si>
  <si>
    <t>Clorsulon is used in the treatment of Fasciola hepatica infections in calves and sheep.</t>
  </si>
  <si>
    <t>SK03J15</t>
  </si>
  <si>
    <t>Pancuronium dibromide</t>
  </si>
  <si>
    <t>Pancuronium dibromide is a competitive acetylcholine antagonist with an IC50 of 5.5 ± 0.5 nM.</t>
  </si>
  <si>
    <t>SK03J16</t>
  </si>
  <si>
    <t>OSI-027</t>
  </si>
  <si>
    <t>OSI-027 is a selective and potent dual inhibitor of mTORC1 and mTORC2 with IC50 of 22 nM and 65 nM, and more than 100-fold selectivity observed for mTOR than PI3Kα, PI3Kβ, PI3Kγ or DNA-PK.</t>
  </si>
  <si>
    <t>SK03J17</t>
  </si>
  <si>
    <t>Scopolamine HBr</t>
  </si>
  <si>
    <t>Scopolamine hydrobromide is a competitive muscarinic acetylcholine receptor with an IC50 of 55.3 ± 4.3 nM.</t>
  </si>
  <si>
    <t>SK03J18</t>
  </si>
  <si>
    <t>NPS-2143</t>
  </si>
  <si>
    <t>NPS 2143 is a novel potent and selective antagonist of Ca(2+) receptor with IC50 of 43 nM.</t>
  </si>
  <si>
    <t>SK03J19</t>
  </si>
  <si>
    <t xml:space="preserve">Epinephrine Bitartrate </t>
  </si>
  <si>
    <t>Epinephrine Bitartrate is alpha- and beta-adrenergic receptor stimulator.</t>
  </si>
  <si>
    <t>SK03J20</t>
  </si>
  <si>
    <t>GSK2126458 (GSK458)</t>
  </si>
  <si>
    <t>GSK2126458 is a highly selective and potent inhibitor of p110α/β/δ/γ, mTORC1/2 with Ki of 0.019 nM/0.13 nM/0.024 nM/0.06 nM and 0.18 nM/0.3 nM, respectively. Phase 1.</t>
  </si>
  <si>
    <t>SK03J21</t>
  </si>
  <si>
    <t>L-Ascorbyl 6-palmitate</t>
  </si>
  <si>
    <t>Ascorbyl palmitate is an ester formed from ascorbic acid and palmitic acid creating a fat-soluble form of vitamin C.</t>
  </si>
  <si>
    <t>SK03J22</t>
  </si>
  <si>
    <t>PF-3845</t>
  </si>
  <si>
    <t>PF-3845 is a potent, selective and irreversible FAAH inhibitor with Ki of 230 nM, showing negligible activity against FAAH2.</t>
  </si>
  <si>
    <t>SK03J23</t>
  </si>
  <si>
    <t>SK03J24</t>
  </si>
  <si>
    <t>SK03K01</t>
  </si>
  <si>
    <t>Dabigatran Etexilate</t>
  </si>
  <si>
    <t>Dabigatran Etexilate is the prodrug of dabigatran, a potent, nonpeptidic small molecule that specifically and reversibly inhibits both free and clot-bound thrombin by binding to the active site of the thrombin molecule.</t>
  </si>
  <si>
    <t>SK03K02</t>
  </si>
  <si>
    <t>Enoxolone</t>
  </si>
  <si>
    <t>Enoxolone is a pentacyclic triterpenoid derivative of the beta-amyrin type obtained from the hydrolysis of glycyrrhizic acid, which was obtained from the herb liquorice.</t>
  </si>
  <si>
    <t>SK03K03</t>
  </si>
  <si>
    <t>PF-4708671</t>
  </si>
  <si>
    <t>PF-4708671 is a cell-permeable inhibitor of p70 ribosomal S6 kinase (S6K1 isoform) with Ki/IC50 of 20 nM/160 nM, 400-fold greater selectivity for S6K1 than S6K2, and 4- and &gt;20-fold selectivity for S6K1 than MSK1 and RSK1/2, respectively. First S6K1-specific inhibitor to be reported.</t>
  </si>
  <si>
    <t>SK03K04</t>
  </si>
  <si>
    <t>Hesperetin</t>
  </si>
  <si>
    <t>Hesperetin is a bioflavonoid and, to be more specific, a flavanone.</t>
  </si>
  <si>
    <t>SK03K05</t>
  </si>
  <si>
    <t>MLN2238</t>
  </si>
  <si>
    <t>MLN2238 inhibits the chymotrypsin-like proteolytic (β5) site of the 20S proteasome with IC50 and Ki of 3.4 nM and 0.93 nM, respectively, also inhibits the caspase-like (β1) and trypsin-like (β2) proteolytic sites, with IC50 of 31 and 3500 nM.</t>
  </si>
  <si>
    <t>SK03K06</t>
  </si>
  <si>
    <t>L-(+)-Rhamnose Monohydrate</t>
  </si>
  <si>
    <t>L(+)-Rhamnose (Rham) is a naturally-occurring deoxy sugar that is found primarily in plants and some bacteria.</t>
  </si>
  <si>
    <t>SK03K07</t>
  </si>
  <si>
    <t>R406</t>
  </si>
  <si>
    <t>R406 is a potent Syk inhibitor with IC50 of 41 nM, strongly inhibits Syk but not Lyn, 5-fold less potent to Flt3. Phase 2.</t>
  </si>
  <si>
    <t>SK03K08</t>
  </si>
  <si>
    <t>Myricitrin</t>
  </si>
  <si>
    <t>Myricitrin, a flavonoid compound isolated from the root bark of Myrica cerifera, which exerts antinociceptive effects.</t>
  </si>
  <si>
    <t>SK03K09</t>
  </si>
  <si>
    <t>PIK-293</t>
  </si>
  <si>
    <t>PIK-293 is a PI3K inhibitor, mostly for PI3Kδ with IC50 of 0.24 μM, 500-, 100- and 50-fold less potent to PI3Kα/β/γ, respectively.</t>
  </si>
  <si>
    <t>SK03K10</t>
  </si>
  <si>
    <t>Orotic acid (6-Carboxyuracil)</t>
  </si>
  <si>
    <t>Orotic acid(6-Carboxyuracil) is a heterocyclic compound and an acid.</t>
  </si>
  <si>
    <t>SK03K11</t>
  </si>
  <si>
    <t>SB590885</t>
  </si>
  <si>
    <t>SB590885 is a potent B-Raf inhibitor with Ki of 0.16 nM, 11-fold greater selectivity for B-Raf over c-Raf, no inhibition to other human kinases.</t>
  </si>
  <si>
    <t>SK03K12</t>
  </si>
  <si>
    <t>Puerarin</t>
  </si>
  <si>
    <t>Puerarin (Kakonein), an isoflavones found in the root of Radix puerariae, is a 5-HT2C receptor and benzodiazepine site antagonist.</t>
  </si>
  <si>
    <t>SK03K13</t>
  </si>
  <si>
    <t xml:space="preserve"> Eltrombopag Olamine</t>
  </si>
  <si>
    <t>Eltrombopag is a member of the biarylhydrazone class, which is a nonpeptide agonist of the thrombopoietin receptor (TpoR).</t>
  </si>
  <si>
    <t>SK03K14</t>
  </si>
  <si>
    <t>Silibinin</t>
  </si>
  <si>
    <t>Silibinin, the main flavonoid extracted from the milk thistle Silybum marianum, displays hepatoprotective properties in acute and chronic liver injury.</t>
  </si>
  <si>
    <t>SK03K15</t>
  </si>
  <si>
    <t>AR-42</t>
  </si>
  <si>
    <t>AR-42 is an HDAC inhibitor with IC50 of 30 nM. Phase 1.</t>
  </si>
  <si>
    <t>SK03K16</t>
  </si>
  <si>
    <t>Tetrahydropapaverine HCl</t>
  </si>
  <si>
    <t>Tetrahydropapaverine, one of the TIQs and an analogue of salsolinol and tetrahydropapaveroline, has been reported to have neurotoxic effects on dopamine neurons.</t>
  </si>
  <si>
    <t>SK03K17</t>
  </si>
  <si>
    <t>Aloe-emodin</t>
  </si>
  <si>
    <t>Aloe-emodin is an interferon-inducing agent with IC50 of about 1 μg/mL for JEV and of about 0.33 μg/mL for EV71.</t>
  </si>
  <si>
    <t>SK03K18</t>
  </si>
  <si>
    <t>Ammonium Glycyrrhizinate</t>
  </si>
  <si>
    <t>Ammonium Glycyrrhizinate inhibits growth and cytopathology of several unrelated DNA and RNA viruses.</t>
  </si>
  <si>
    <t>SK03K19</t>
  </si>
  <si>
    <t>Azomycin</t>
  </si>
  <si>
    <t>Azomycin is an antimicrobial antibiotic produced by a strain of Nocardia mesenterica.</t>
  </si>
  <si>
    <t>SK03K20</t>
  </si>
  <si>
    <t>Indirubin</t>
  </si>
  <si>
    <t>Indirubin is a potent cyclin-dependent kinases and GSK-3β inhibitor with IC50 of about 5 &amp;mu;M and 0.6 &amp;mu;M.</t>
  </si>
  <si>
    <t>SK03K21</t>
  </si>
  <si>
    <t>Chrysin</t>
  </si>
  <si>
    <t>Chrysin is a naturally occurring flavone chemically extracted from the blue passion flower (Passiflora caerulea).</t>
  </si>
  <si>
    <t>SK03K22</t>
  </si>
  <si>
    <t>Naringenin</t>
  </si>
  <si>
    <t>Naringenin is a natural predominant flavanone derived from plant food, which is considered to have a bioactive effect on human health as antioxidant, free radical scavenger, anti-inflammatory, carbohydrate metabolism promoter, and immune system modulator.</t>
  </si>
  <si>
    <t>SK03K23</t>
  </si>
  <si>
    <t>SK03K24</t>
  </si>
  <si>
    <t>SK03L01</t>
  </si>
  <si>
    <t>Curcumol</t>
  </si>
  <si>
    <t>Curcumol is a pure monomer isolated from Rhizoma Curcumaeis with antitumor activities.</t>
  </si>
  <si>
    <t>SK03L02</t>
  </si>
  <si>
    <t>Ceftiofur HCl</t>
  </si>
  <si>
    <t>Ceftiofur HCl is a cephalosporin &lt;b&gt;antibiotic&lt;/b&gt;, used to treat both Gram-positive and Gram-negative bacteria infection.</t>
  </si>
  <si>
    <t>SK03L03</t>
  </si>
  <si>
    <t>20-Hydroxyecdysone</t>
  </si>
  <si>
    <t>20-Hydroxyecdysone (Ecdysterone, 20E) is a naturally occurring ecdysteroid hormone which controls the ecdysis (moulting) and metamorphosis of arthropods.</t>
  </si>
  <si>
    <t>SK03L04</t>
  </si>
  <si>
    <t>Daphnetin</t>
  </si>
  <si>
    <t>Daphnetin, a natural coumarin derivative, is a protein kinase inhibitor, inhibits EGFR, PKA and PKC with IC50 of 7.67 μM, 9.33 μM and 25.01 μM, respectively, also known to exhibit anti-inflammatory and anti-oxidant activities.</t>
  </si>
  <si>
    <t>SK03L05</t>
  </si>
  <si>
    <t>Tolbutamide</t>
  </si>
  <si>
    <t>Tolbutamide is an inhibitor of cAMP with IC50 of 4 mM.</t>
  </si>
  <si>
    <t>SK03L06</t>
  </si>
  <si>
    <t>Amoxicillin Sodium</t>
  </si>
  <si>
    <t>Amoxicillin Sodium is a moderate- spectrum, bacteriolytic, β-lactam antibiotic.</t>
  </si>
  <si>
    <t>SK03L07</t>
  </si>
  <si>
    <t xml:space="preserve">Bupivacaine HCl </t>
  </si>
  <si>
    <t>Bupivacaine hydrochloride(Marcain) is a more potent cAMP production inhibitor with an IC50 of 2.3 μM</t>
  </si>
  <si>
    <t>SK03L08</t>
  </si>
  <si>
    <t>Phenacetin</t>
  </si>
  <si>
    <t>Phenacetin is a non-opioid analgesic without anti-inflammatory properties.</t>
  </si>
  <si>
    <t>SK03L09</t>
  </si>
  <si>
    <t>Estriol</t>
  </si>
  <si>
    <t>Estriol is an antagonist of the G-protein coupled estrogen receptor in estrogen receptor-negative breast cancer cells.</t>
  </si>
  <si>
    <t>SK03L10</t>
  </si>
  <si>
    <t xml:space="preserve">Pioglitazone </t>
  </si>
  <si>
    <t>Pioglitazone (Actos) is a selective peroxisome proliferator-activated receptor gamma stimulator.</t>
  </si>
  <si>
    <t>SK03L11</t>
  </si>
  <si>
    <t xml:space="preserve">Lincomycin HCl </t>
  </si>
  <si>
    <t>Lincomycin  hydrochloride(Lincocin) is the monohydrated salt of lincomycin, a substance produced by the growth of a member of the lincolnensis group of Streptomyces lincolnensis.</t>
  </si>
  <si>
    <t>SK03L12</t>
  </si>
  <si>
    <t>Dehydroepiandrosterone (DHEA)</t>
  </si>
  <si>
    <t>Dehydroepiandrosterone(DHEA) is a 19-carbon endogenous natural steroid hormone.Phase 3.</t>
  </si>
  <si>
    <t>SK03L13</t>
  </si>
  <si>
    <t>Nateglinide</t>
  </si>
  <si>
    <t>Nateglinide is an insulin secretagog agent that lowers blood glucose levels by stimulating insulin secretion from the pancreas.</t>
  </si>
  <si>
    <t>SK03L14</t>
  </si>
  <si>
    <t>Arecoline</t>
  </si>
  <si>
    <t xml:space="preserve">Arecoline is a muscarinic acetylcholine receptor agonist. </t>
  </si>
  <si>
    <t>SK03L15</t>
  </si>
  <si>
    <t>Phenoxybenzamine HCl</t>
  </si>
  <si>
    <t>Phenoxybenzamine HCl is a non-specific, irreversible alpha antagonist with an IC50 of 550 nM.</t>
  </si>
  <si>
    <t>SK03L16</t>
  </si>
  <si>
    <t>Fostamatinib (R788)</t>
  </si>
  <si>
    <t>Fostamatinib (R788), a prodrug of the active metabolite R406, is a Syk inhibitor with IC50 of 41 nM, strongly inhibits Syk but not Lyn, 5-fold less potent to Flt3. Phase 2.</t>
  </si>
  <si>
    <t>SK03L17</t>
  </si>
  <si>
    <t xml:space="preserve">Sotalol </t>
  </si>
  <si>
    <t>Sotalol (Betapace) is a non-selective beta blocker and a potassium channel blocker with an IC50 of 43 μM</t>
  </si>
  <si>
    <t>SK03L18</t>
  </si>
  <si>
    <t>DCC-2036 (Rebastinib)</t>
  </si>
  <si>
    <t>DCC-2036 is a conformational control Bcr-Abl inhibitor for Abl1(WT) and Abl1(T315I) with IC50 of 0.8 nM and 4 nM, also inhibits SRC, LYN, FGR, HCK, KDR, FLT3, and Tie-2, and low activity to seen towards c-Kit. Phase 1/2.</t>
  </si>
  <si>
    <t>SK03L19</t>
  </si>
  <si>
    <t>L-Adrenaline</t>
  </si>
  <si>
    <t>L-Adrenaline belongs to a group of the compounds known as catecholamines.</t>
  </si>
  <si>
    <t>SK03L20</t>
  </si>
  <si>
    <t>5-hydroxymethyl Tolterodine (PNU 200577, 5-HMT, 5-HM)</t>
  </si>
  <si>
    <t>5-hydroxymethyl tolterodine (PNU 200577) is a new muscarinic receptor antagonist with Kb of 0.84 nM.</t>
  </si>
  <si>
    <t>SK03L21</t>
  </si>
  <si>
    <t xml:space="preserve">Ritodrine HCl </t>
  </si>
  <si>
    <t>Ritodrine hydrochloride (DU 21220; Miolene; NSC 291565; Pre-Par) is a hydrochloride salt of ritodrine which is a β-2 adrenergic receptor agonist.</t>
  </si>
  <si>
    <t>SK03L22</t>
  </si>
  <si>
    <t>Dolutegravir (GSK1349572)</t>
  </si>
  <si>
    <t>S/GSK1349572 (GSK1349572) is a two-metal-binding HIV integrase inhibitor with IC50 of 2.7 nM, modest activity against raltegravir-resistant signature mutants Y143R, Q148K, N155H, and G140S/Q148H. Phase 3.</t>
  </si>
  <si>
    <t>SK03L23</t>
  </si>
  <si>
    <t>SK03L24</t>
  </si>
  <si>
    <t>SK03M01</t>
  </si>
  <si>
    <t>LY2608204</t>
  </si>
  <si>
    <t>LY2608204 activates glucokinase (GK) with EC50 of 42 nM. Phase 2.</t>
  </si>
  <si>
    <t>SK03M02</t>
  </si>
  <si>
    <t>Fisetin</t>
  </si>
  <si>
    <t>Fisetin (Fustel) is a potent sirtuin activating compound (STAC) and an agent that modulates sirtuins.</t>
  </si>
  <si>
    <t>SK03M03</t>
  </si>
  <si>
    <t>PD128907 HCl</t>
  </si>
  <si>
    <t>PD 128907 HCl is a potent and selective dopamine D3 receptor agonist, with EC50 of 0.64 nM, exhibits 53-fold selectivity over dopamine D2 receptor.</t>
  </si>
  <si>
    <t>SK03M04</t>
  </si>
  <si>
    <t>Hesperidin</t>
  </si>
  <si>
    <t>Hesperidin is a flavanone glycoside found abundantly in citrus fruits.</t>
  </si>
  <si>
    <t>SK03M05</t>
  </si>
  <si>
    <t>MLN9708</t>
  </si>
  <si>
    <t>MLN9708 immediately hydrolyzed to MLN2238, the biologically active form, on exposure to aqueous solutions or plasma. MLN2238 inhibits the chymotrypsin-like proteolytic (β5) site of the 20S proteasome with IC50/Ki of 3.4 nM/0.93 nM, less potent to β1 and little activity to β2. Phase 3.</t>
  </si>
  <si>
    <t>SK03M06</t>
  </si>
  <si>
    <t>Limonin</t>
  </si>
  <si>
    <t>Limonin is a triterpenoid enriched in citrus fruits, which has antivirus and antitumor ability.</t>
  </si>
  <si>
    <t>SK03M07</t>
  </si>
  <si>
    <t>CYT997 (Lexibulin)</t>
  </si>
  <si>
    <t>CYT997 (Lexibulin) is a potent microtubule polymerization inhibitor with IC50 of 10-100 nM in cancer cell lines. Phase 2.</t>
  </si>
  <si>
    <t>SK03M08</t>
  </si>
  <si>
    <t xml:space="preserve">Nalidixic acid </t>
  </si>
  <si>
    <t>Nalidixic acid(NegGram) is a synthetic 1,8-naphthyridine antimicrobial agent with a limited bacteriocidal spectrum. It is an inhibitor of the A subunit of bacterial DNA gyrase.</t>
  </si>
  <si>
    <t>SK03M09</t>
  </si>
  <si>
    <t>Formestane</t>
  </si>
  <si>
    <t>Formestane(Lentaron(R)) is a second generation selective aromatase inhibitor with an IC50 of 80 nM.</t>
  </si>
  <si>
    <t>SK03M10</t>
  </si>
  <si>
    <t>Osthole</t>
  </si>
  <si>
    <t>Osthol is an O-methylated coumarin, which is found in the plants such as Cnidium monnieri, Angelica archangelica and Angelica pubescens.</t>
  </si>
  <si>
    <t>SK03M11</t>
  </si>
  <si>
    <t>Apatinib</t>
  </si>
  <si>
    <t>Apatinib is an orally bioavailable, selective VEGFR2 inhibitor with IC50 of 1 nM.</t>
  </si>
  <si>
    <t>SK03M12</t>
  </si>
  <si>
    <t>Quercetin Dihydrate</t>
  </si>
  <si>
    <t>Quercetin, a polyphenolic flavonoid found in a wide variety of plant-based foods, such as apples, onions, berries, and red wine, is utilized in many different cultures for their nervous system and anticancer effects.</t>
  </si>
  <si>
    <t>SK03M13</t>
  </si>
  <si>
    <t>LY2157299</t>
  </si>
  <si>
    <t>LY2157299 is a potent TGFβ receptor I (TβRI) inhibitor with IC50 of 56 nM. Phase 2.</t>
  </si>
  <si>
    <t>SK03M14</t>
  </si>
  <si>
    <t>Silymarin</t>
  </si>
  <si>
    <t>Silymarin (Silybin B), a polyphenolic flavonoid extracted from the seeds of Silybum marianum or milk thistle, is used in the prevention and treatment of liver diseases and primary liver cancer.</t>
  </si>
  <si>
    <t>SK03M15</t>
  </si>
  <si>
    <t>BKM120 (NVP-BKM120, Buparlisib)</t>
  </si>
  <si>
    <t>BKM120 is a selective PI3K inhibitor of p110α/β/δ/γ with IC50 of 52 nM/166 nM/116 nM/262 nM, respectively. Reduced potency against VPS34, mTOR, DNAPK, with little activity to PI4Kβ. Phase 1/2.</t>
  </si>
  <si>
    <t>SK03M16</t>
  </si>
  <si>
    <t>Troxerutin</t>
  </si>
  <si>
    <t>Troxerutin (Trihydroxyethylrutin), a natural bioflavonoid isolated from Sophora japonica., has been reported to have many benefits and medicinal properties.</t>
  </si>
  <si>
    <t>SK03M17</t>
  </si>
  <si>
    <t>Laetrile</t>
  </si>
  <si>
    <t>Laetrile is a glycoside initially isolated from the seeds of the tree Prunus dulcis, also known as bitter almonds.</t>
  </si>
  <si>
    <t>SK03M18</t>
  </si>
  <si>
    <t>Biochanin A</t>
  </si>
  <si>
    <t>Biochanin A, an O-methylated isoflavone from Trifolium pratense, inhibits protein tyrosine kinase (PTK) of epidermal growth factor receptor with IC50 values of 91.5 &amp;mu;M.</t>
  </si>
  <si>
    <t>SK03M19</t>
  </si>
  <si>
    <t>Baicalein</t>
  </si>
  <si>
    <t xml:space="preserve">Baicalein is a CYP2C9 and prolyl endopeptidase inhibitor. </t>
  </si>
  <si>
    <t>SK03M20</t>
  </si>
  <si>
    <t>Lappaconite HBr</t>
  </si>
  <si>
    <t>Lappaconite Hydrobromide is a kind of alkaloid extracted from Aconitum sinomontanum Nakai and has anti-inflammatory effects.</t>
  </si>
  <si>
    <t>SK03M21</t>
  </si>
  <si>
    <t>Cinchonidine</t>
  </si>
  <si>
    <t xml:space="preserve">Cinchonidine is an alkaloid used in asymmetric synthesis in organic chemistry. </t>
  </si>
  <si>
    <t>SK03M22</t>
  </si>
  <si>
    <t>Salidroside</t>
  </si>
  <si>
    <t>Salidroside, a phenylpropanoid glycoside isolated from Rhodiola rosea, has been reported to have a broad spectrum of pharmacological properties.</t>
  </si>
  <si>
    <t>SK03M23</t>
  </si>
  <si>
    <t>SK03M24</t>
  </si>
  <si>
    <t>SK03N01</t>
  </si>
  <si>
    <t xml:space="preserve">Cephalomannine </t>
  </si>
  <si>
    <t>Cephalomannine is an active anti-cancer agent obtained from Taxus yunnanensis and has an antineoplastic effect on tumors found in mice.</t>
  </si>
  <si>
    <t>SK03N02</t>
  </si>
  <si>
    <t>Scopine</t>
  </si>
  <si>
    <t>Scopine is the metabolite of anisodine, which is a α1-adrenergic receptor agonist and used in the treatment of acute circulatory shock.</t>
  </si>
  <si>
    <t>SK03N03</t>
  </si>
  <si>
    <t>Ipriflavone (Osteofix)</t>
  </si>
  <si>
    <t>Ipriflavone (7-Isopropoxyisoflavon) is used to inhibit bone resorption.</t>
  </si>
  <si>
    <t>SK03N04</t>
  </si>
  <si>
    <t xml:space="preserve">Clarithromycin </t>
  </si>
  <si>
    <t>Clarithromycin (Biaxin, Klacid) is a macrolide antibiotic and a CYP3A4 inhibitor.</t>
  </si>
  <si>
    <t>SK03N05</t>
  </si>
  <si>
    <t>Levosimendan</t>
  </si>
  <si>
    <t>Levosimendan is a calcium sensitizer acting through calcium-dependent binding to cardiac troponin C (cTnC), provides treatment for heart failure. Phase 4.</t>
  </si>
  <si>
    <t>SK03N06</t>
  </si>
  <si>
    <t>Isoprenaline HCl</t>
  </si>
  <si>
    <t>Isoprenaline is a non-selective β-adrenoceptor, inhibits the 3H-inositol phosphate accumulation with IC50 of 0.08 μM.</t>
  </si>
  <si>
    <t>SK03N07</t>
  </si>
  <si>
    <t>Bethanechol chloride</t>
  </si>
  <si>
    <t>Bethanechol chloride is a selective muscarinic receptor agonist without any effect on nicotinic receptors.</t>
  </si>
  <si>
    <t>SK03N08</t>
  </si>
  <si>
    <t xml:space="preserve">Zidovudine </t>
  </si>
  <si>
    <t>Zidovudine (Retrovir) is a reverse transcriptase inhibitor.</t>
  </si>
  <si>
    <t>SK03N09</t>
  </si>
  <si>
    <t xml:space="preserve">Famciclovir </t>
  </si>
  <si>
    <t>Famciclovir(Famvir) is a guanine analogue antiviral drug used for the treatment of various herpesvirus infections.</t>
  </si>
  <si>
    <t>SK03N10</t>
  </si>
  <si>
    <t>Tolvaptan</t>
  </si>
  <si>
    <t>Tolvaptan is a selective, competitive arginine vasopressin receptor 2 antagonist with an IC50 of 1.28μM for the inhibition of AVP-induced platelet aggregation.</t>
  </si>
  <si>
    <t>SK03N11</t>
  </si>
  <si>
    <t>Loperamide HCl</t>
  </si>
  <si>
    <t>Loperamide HCl is an opioid-receptor agonist with an ED50 of 0.15 mg/kg.</t>
  </si>
  <si>
    <t>SK03N12</t>
  </si>
  <si>
    <t>Idebenone</t>
  </si>
  <si>
    <t>Idebenone is a synthetic analog of coenzyme Q10 (CoQ10) and a brain stimulant.</t>
  </si>
  <si>
    <t>SK03N13</t>
  </si>
  <si>
    <t>Nitrendipine</t>
  </si>
  <si>
    <t>Nitrendipine is a dihydropyridine calcium channel blocker with an IC50 of 95 nM.</t>
  </si>
  <si>
    <t>SK03N14</t>
  </si>
  <si>
    <t>Noradrenaline bitartrate monohydrate</t>
  </si>
  <si>
    <t>Noradrenaline bitartrate monohydrate is a direct alpha-adrenergic receptors stimulator.</t>
  </si>
  <si>
    <t>SK03N15</t>
  </si>
  <si>
    <t>Propafenone HCl</t>
  </si>
  <si>
    <t>Propafenone HCl is a classic anti-arrhythmic medication, which treats illnesses associated with rapid heartbeats such as atrial and ventricular arrhythmias.</t>
  </si>
  <si>
    <t>SK03N16</t>
  </si>
  <si>
    <t>LY2603618</t>
  </si>
  <si>
    <t>LY2603618 is a selective Chk1 inhibitor with potential anti-tumor activity.</t>
  </si>
  <si>
    <t>SK03N17</t>
  </si>
  <si>
    <t>Spectinomycin HCl</t>
  </si>
  <si>
    <t>Spectinomycin HCl is a new parenteral antibiotic prepared from Streptomyces spectabilis.</t>
  </si>
  <si>
    <t>SK03N18</t>
  </si>
  <si>
    <t>CCT128930</t>
  </si>
  <si>
    <t>CCT128930 is a potent, ATP-competitive and selective inhibitor of Akt2 with IC50 of 6 nM, 28-fold greater selectivity for Akt2 than the closely related PKA kinase.</t>
  </si>
  <si>
    <t>SK03N19</t>
  </si>
  <si>
    <t>Phenytoin sodium</t>
  </si>
  <si>
    <t>Phenytoin sodium is an inactive voltage-gated sodium channel stabilizer.</t>
  </si>
  <si>
    <t>SK03N20</t>
  </si>
  <si>
    <t>MK-0752</t>
  </si>
  <si>
    <t>MK-0752 is a moderately potent γ-secretase inhibitor, which reduces Aβ40 production with IC50 of 5 nM. Phase 1/2.</t>
  </si>
  <si>
    <t>SK03N21</t>
  </si>
  <si>
    <t xml:space="preserve">Isoconazole nitrate </t>
  </si>
  <si>
    <t>Isoconazole nitrate (Travogen) is an azole antifungal reagent.</t>
  </si>
  <si>
    <t>SK03N22</t>
  </si>
  <si>
    <t>A-674563</t>
  </si>
  <si>
    <t>A-674563 is an Akt1 inhibitor with Ki of 11 nM, modest potent to PKA and &gt;30-fold selective for Akt1 over PKC.</t>
  </si>
  <si>
    <t>SK03N23</t>
  </si>
  <si>
    <t>SK03N24</t>
  </si>
  <si>
    <t>SK03O01</t>
  </si>
  <si>
    <t>LY2886721</t>
  </si>
  <si>
    <t>LY2886721 is an BACE inhibitor used for the treatment of Alzheimer's Disease.</t>
  </si>
  <si>
    <t>SK03O02</t>
  </si>
  <si>
    <t>Formononetin</t>
  </si>
  <si>
    <t xml:space="preserve">Formononetin is a phytoestrogen from the root of Astragalus membranaceus and an O-methylated isoflavone. </t>
  </si>
  <si>
    <t>SK03O03</t>
  </si>
  <si>
    <t>Rosuvastatin Calcium</t>
  </si>
  <si>
    <t xml:space="preserve">Rosuvastatin Calcium is a competitive inhibitor of HMG-CoA reductase with IC50 of 11 nM. </t>
  </si>
  <si>
    <t>SK03O04</t>
  </si>
  <si>
    <t>Honokiol</t>
  </si>
  <si>
    <t>Honokiol is the active principle of magnolia extract that inhibits Akt-phosphorylation and promotes ERK1/2phosphorylation. Phase 3.</t>
  </si>
  <si>
    <t>SK03O05</t>
  </si>
  <si>
    <t>SB743921</t>
  </si>
  <si>
    <t>SB743921 is a kinesin spindle protein (KSP) inhibitor with Ki of 0.1 nM, almost no affinity to MKLP1, Kin2, Kif1A, Kif15, KHC, Kif4 and CENP-E. Phase 1/2.</t>
  </si>
  <si>
    <t>SK03O06</t>
  </si>
  <si>
    <t>Luteolin</t>
  </si>
  <si>
    <t>Luteolin is a flavonoid found in Terminalia chebula, which is a non-selective phisphodiesterase PDE inhibitor for PDE1-5 with Ki of 15.0 &amp;mu;M, 6.4 &amp;mu;M, 13.9 &amp;mu;M, 11.1 &amp;mu;M and 9.5 &amp;mu;M, respectively.</t>
  </si>
  <si>
    <t>SK03O07</t>
  </si>
  <si>
    <t>A-966492</t>
  </si>
  <si>
    <t>A-966492 is a novel and potent inhibitor of &lt;b&gt;PARP1&lt;/b&gt; and &lt;b&gt;PARP2&lt;/b&gt; with &lt;b&gt;K&lt;sub&gt;i&lt;/sub&gt;&lt;/b&gt; of 1 nM and 1.5 nM, respectively.</t>
  </si>
  <si>
    <t>SK03O08</t>
  </si>
  <si>
    <t>Naringin</t>
  </si>
  <si>
    <t>Naringin is a flavanone glycoside, which exerts a variety of pharmacological effects such as antioxidant activity, blood lipid lowering, anticancer activity, and inhibition of cytochrome P450 enzymes.</t>
  </si>
  <si>
    <t>SK03O09</t>
  </si>
  <si>
    <t>AZ 960</t>
  </si>
  <si>
    <t>AZ 960 is a novel ATP competitive JAK2 inhibitor with IC50 and Ki of &lt;3 nM and 0.45 nM, 3-fold selectivity of AZ960 for JAK2 over JAK3.</t>
  </si>
  <si>
    <t>SK03O10</t>
  </si>
  <si>
    <t>Oxymatrine</t>
  </si>
  <si>
    <t>Oxymatrine is a quinolizidine alkaloid extracted from the root of Sophora flavescens, which is used for the treatment of viral hepatitis, cancer, viral myocarditis, gastrointestinal hemorrhage and skin diseases.</t>
  </si>
  <si>
    <t>SK03O11</t>
  </si>
  <si>
    <t>PF-3716556</t>
  </si>
  <si>
    <t>PF 3716556 is a potent and selective P-CAB (potassium-competitive acid blocker), with pIC50 of 6.026 and 7.095 for the inhibition of porcine H+,K+-ATPase activity in ion-leaky and ion-tight assay, respectively, inhibits gastric acid secretion, displays no activity at Na+,K+-ATPase, used for the treatment of gastroesophageal reflux disease.</t>
  </si>
  <si>
    <t>SK03O12</t>
  </si>
  <si>
    <t>Rutaecarpine</t>
  </si>
  <si>
    <t>Rutaecarpine is an indolopyridoquinazolinone alkaloid isolated from Evodia rutaecarpa and related herbs.</t>
  </si>
  <si>
    <t>SK03O13</t>
  </si>
  <si>
    <t>Telatinib</t>
  </si>
  <si>
    <t>Telatinib is a potent inhibitor of VEGFR2/3, c-Kit and PDGFRβ with IC50 of 6 nM/4 nM, 1 nM and 15 nM, respectively. Phase 2.</t>
  </si>
  <si>
    <t>SK03O14</t>
  </si>
  <si>
    <t>Sinomenine</t>
  </si>
  <si>
    <t>Sinomenine, a pure alkaloid extracted from the chinese medical plant Sinomenium acutum, is used for the treatment of rheumatism and arthritis.</t>
  </si>
  <si>
    <t>SK03O15</t>
  </si>
  <si>
    <t>CX-4945 (Silmitasertib)</t>
  </si>
  <si>
    <t>CX-4945 is a potent and selective inhibitor of CK2 (casein kinase 2) with IC50 of 1 nM, less potent to Flt3, Pim1 and CDK1 (inactive in cell-based assay). Phase 1.</t>
  </si>
  <si>
    <t>SK03O16</t>
  </si>
  <si>
    <t>Ursolic Acid</t>
  </si>
  <si>
    <t>Ursolic acid (Malol) is a pentacyclic triterpene acid, used in cosmetics.</t>
  </si>
  <si>
    <t>SK03O17</t>
  </si>
  <si>
    <t>Andrographolide</t>
  </si>
  <si>
    <t>Andrographolide is a labdane diterpenoid that is the main bioactive component of the medicinal plant Andrographis paniculata.</t>
  </si>
  <si>
    <t>SK03O18</t>
  </si>
  <si>
    <t>Dioscin</t>
  </si>
  <si>
    <t>Dioscin is a saponin extracted and isolated from Polygonatum Zanlanscianense Pamp, showing antitumor activities.</t>
  </si>
  <si>
    <t>SK03O19</t>
  </si>
  <si>
    <t>Baicalin</t>
  </si>
  <si>
    <t>Baicalin is a known prolyl endopeptidase inhibitor and affects the GABA receptors.</t>
  </si>
  <si>
    <t>SK03O20</t>
  </si>
  <si>
    <t xml:space="preserve">L-carnitine </t>
  </si>
  <si>
    <t>L-carnitine  is constituent of striated muscle and liver. It is used therapeutically to stimulate gastric and pancreatic secretions and in the treatment of hyperlipoproteinemias.</t>
  </si>
  <si>
    <t>SK03O21</t>
  </si>
  <si>
    <t>Cryptotanshinone</t>
  </si>
  <si>
    <t>Cryptotanshinone (CPT) is a STAT3 inhibitor with IC50 of 4.6 μM, strongly inhibits phosphorylation of STAT3 Tyr705, with a small effect on STAT3 Ser727, but none against STAT1 nor STAT5.</t>
  </si>
  <si>
    <t>SK03O22</t>
  </si>
  <si>
    <t>Palmatine chloride</t>
  </si>
  <si>
    <t>Palmatine hydrochloride (Palmatine chloride (6CI,7CI); Fibrauretin) is a hydrochloride salt of palmatine which is a protoberberine alkaloid.</t>
  </si>
  <si>
    <t>SK03O23</t>
  </si>
  <si>
    <t>SK03O24</t>
  </si>
  <si>
    <t>SK03P01</t>
  </si>
  <si>
    <t>10-Deacetylbaccatin-III</t>
  </si>
  <si>
    <t>10-Deacetylbaccatin-III is an antineoplastic agent and an anti-cancer intermediate.</t>
  </si>
  <si>
    <t>SK03P02</t>
  </si>
  <si>
    <t>Tiotropium Bromide hydrate</t>
  </si>
  <si>
    <t>Tiotropium Bromide hydrate is a monohydrate of tiotropium bromide (Spiriva; Tiova; BA 679BR; tiopropium) that is an anticholinergic and bronchodilator and a muscarinic receptor antagonist.</t>
  </si>
  <si>
    <t>SK03P03</t>
  </si>
  <si>
    <t>(S)-10-Hydroxycamptothecin</t>
  </si>
  <si>
    <t>10-Hydroxycamptothecin is a DNA topoisomerase I inhibitor with potent anti-tumor activity.</t>
  </si>
  <si>
    <t>SK03P04</t>
  </si>
  <si>
    <t xml:space="preserve">Rosiglitazone </t>
  </si>
  <si>
    <t>Rosiglitazone (Avandia) is a potent antihyperglycemic agent and a potent thiazolidinedione insulin sensitizer with IC50 of 12, 4 and 9 nM for rat, 3T3-L1 and human adipocytes, respectively.</t>
  </si>
  <si>
    <t>SK03P05</t>
  </si>
  <si>
    <t>Gambogic Acid</t>
  </si>
  <si>
    <t>Gambogic Acid activates caspases with EC50 of 0.78-1.64 &amp;mu;M and competitively inhibits Bcl-X&lt;sub&gt;L&lt;/sub&gt;, Bcl-2, Bcl-W, Bcl-B, Bfl-1 and Mcl-1 with IC50 of 1.47, 1.21, 2.02, 0.66, 1.06 and 0.79 &amp;mu;M, respectively.</t>
  </si>
  <si>
    <t>SK03P06</t>
  </si>
  <si>
    <t>Medroxyprogesterone acetate</t>
  </si>
  <si>
    <t>Medroxyprogesterone acetate is a progestin, a synthetic variant of the human hormone progesterone and a potent progesterone receptor agonist.</t>
  </si>
  <si>
    <t>SK03P07</t>
  </si>
  <si>
    <t>Chlorpromazine HCl</t>
  </si>
  <si>
    <t>Chlorpromazine HCl is a dopamine and potassium channel inhibitor with IC50 of 6.1 and 16 μM for nward-rectifying K+ currents and time-independent outward currents</t>
  </si>
  <si>
    <t>SK03P08</t>
  </si>
  <si>
    <t xml:space="preserve">Quinapril HCl </t>
  </si>
  <si>
    <t>Quinapril hydrochloride (Accupril) is the hydrochloride salt of quinapril that is an angiotensin-converting enzyme inhibitor with a Ki of 20 μM.</t>
  </si>
  <si>
    <t>SK03P09</t>
  </si>
  <si>
    <t xml:space="preserve">Fenbendazole </t>
  </si>
  <si>
    <t>Fenbendazole is a broad spectrum benzimidazole anthelmintic used against gastrointestinal parasites with an IC50 of about 0.01 μg/mL.</t>
  </si>
  <si>
    <t>SK03P10</t>
  </si>
  <si>
    <t>Pramiracetam</t>
  </si>
  <si>
    <t>Pramiracetam is a more potent nootropic drug derived from piracetam.</t>
  </si>
  <si>
    <t>SK03P11</t>
  </si>
  <si>
    <t>Manidipine</t>
  </si>
  <si>
    <t>Manidipine (Manyper) is a lipophilic, third-generation, highly vasoselective dihydropyridine calcium antagonist with an IC50 of 2.6 nM.</t>
  </si>
  <si>
    <t>SK03P12</t>
  </si>
  <si>
    <t>Mifepristone</t>
  </si>
  <si>
    <t>Mifepristone is a remarkably active antagonist of progesterone receptor and glucocorticoid receptor with IC50 of 0.2 nM and 2.6 nM, respectively.</t>
  </si>
  <si>
    <t>SK03P13</t>
  </si>
  <si>
    <t xml:space="preserve">Novobiocin Sodium </t>
  </si>
  <si>
    <t xml:space="preserve">Novobiocin(Albamycin) is a very potent bacterial DNA gyrase and human organic anion transporters with Ki of of 14.87 ± 0.40μM for hOAT1, 4.77 ± 1.12μM for hOAT3 and 90.50 ± 7.50μM for hOAT4. </t>
  </si>
  <si>
    <t>SK03P14</t>
  </si>
  <si>
    <t>TAK-733</t>
  </si>
  <si>
    <t>TAK-733 is a potent and selective MEK allosteric site inhibitor for MEK1 with IC50 of 3.2 nM, inactive to Abl1, AKT3, c-RAF, CamK1, CDK2, c-Met, etc. Phase 1.</t>
  </si>
  <si>
    <t>SK03P15</t>
  </si>
  <si>
    <t>Quinine HCl Dihydrate</t>
  </si>
  <si>
    <t>Quinine hydrochloride dihydrate is a natural white crystalline alkaloid having antipyretic (fever-reducing), antimalarial, analgesic (painkilling), anti-inflammatory properties and a bitter taste.</t>
  </si>
  <si>
    <t>SK03P16</t>
  </si>
  <si>
    <t>Tubastatin A HCl</t>
  </si>
  <si>
    <t>Tubastatin A is a potent and selective HDAC6 inhibitor with IC50 of 15 nM. It is selective (1000-fold more) against all other isozymes except HDAC8 (57-fold more).</t>
  </si>
  <si>
    <t>SK03P17</t>
  </si>
  <si>
    <t>Tenoxicam</t>
  </si>
  <si>
    <t>Tenoxicam is a good HO. radicals scavenger with an IC50 of 56.7 μM</t>
  </si>
  <si>
    <t>SK03P18</t>
  </si>
  <si>
    <t>A66</t>
  </si>
  <si>
    <t>A66 is a potent and specific p110α inhibitor with IC50 of 32 nM, &gt;100 fold selectivity for p110α over other class-I PI3K isoforms.</t>
  </si>
  <si>
    <t>SK03P19</t>
  </si>
  <si>
    <t>Phenytoin</t>
  </si>
  <si>
    <t>Phenytoin is an inactive voltage-gated sodium channel stabilizer.</t>
  </si>
  <si>
    <t>SK03P20</t>
  </si>
  <si>
    <t>WYE-125132 (WYE-132)</t>
  </si>
  <si>
    <t>WYE-125132 is a highly potent, ATP-competitive mTOR inhibitor with IC50 of 0.19 nM; highly selective for mTOR versus PI3Ks or PI3K-related kinases hSMG1 and ATR.</t>
  </si>
  <si>
    <t>SK03P21</t>
  </si>
  <si>
    <t xml:space="preserve">Econazole nitrate </t>
  </si>
  <si>
    <t>Econazole nitrate (Spectazole) is an imidazole class antifungal medication.</t>
  </si>
  <si>
    <t>SK03P22</t>
  </si>
  <si>
    <t>AS-252424</t>
  </si>
  <si>
    <t>AS-252424 is a novel, potent PI3Kγ inhibitor with IC50 of 30 nM with 30-fold selectivity for PI3Kγ than PI3Kα, and low inhibitory activity towards PI3Kδ/β.</t>
  </si>
  <si>
    <t>SK03P23</t>
  </si>
  <si>
    <t>SK03P24</t>
  </si>
  <si>
    <t>SK04A01</t>
  </si>
  <si>
    <t>PF-00562271</t>
  </si>
  <si>
    <t>PF-00562271 is the benzenesulfonate salt of PF-562271, which is a potent, ATP-competitive, reversible inhibitor of FAK with IC50 of 1.5 nM, ~10-fold less potent for Pyk2 than FAK and &gt;100-fold selectivity against other protein kinases, except for some CDKs. Phase 1.</t>
  </si>
  <si>
    <t>SK04A02</t>
  </si>
  <si>
    <t>Dabrafenib (GSK2118436)</t>
  </si>
  <si>
    <t>Dabrafenib (GSK2118436) is a mutant BRAFV600 specific inhibitor with IC50 of 0.8 nM, with 4- and 6-fold less potency against B-Raf(wt) and c-Raf, respectively. Phase 3.</t>
  </si>
  <si>
    <t>SK04A03</t>
  </si>
  <si>
    <t>CHIR-124</t>
  </si>
  <si>
    <t>CHIR-124 is a novel and potent Chk1 inhibitor with IC50 of 0.3 nM. It shows 2,000-fold selectivity against Chk2, 500- to 5,000-fold less activity against CDK2/4 and Cdc2.</t>
  </si>
  <si>
    <t>SK04A04</t>
  </si>
  <si>
    <t>Torin 2</t>
  </si>
  <si>
    <t>Torin 2 is a potent and selective mTOR inhibitor with IC50 of 0.25 nM; 800-fold greater selectivity for mTOR than PI3K and improved pharmacokinetic properties. Inhibition of ATM/ATR/DNA-PK with EC50 of 28 nM/35 nM/118 nM, respectively.</t>
  </si>
  <si>
    <t>SK04A05</t>
  </si>
  <si>
    <t>TG101209</t>
  </si>
  <si>
    <t>TG101209 is a selective JAK2 inhibitor with IC50 of 6 nM, less potent to Flt3 and RET with IC50 of 25 nM and 17 nM, ~30-fold selective for JAK2 than JAK3, sensitive to JAK2V617F and MPLW515L/K mutations.</t>
  </si>
  <si>
    <t>SK04A06</t>
  </si>
  <si>
    <t>JNJ-1661010</t>
  </si>
  <si>
    <t>JNJ-1661010 is a potent and selective FAAH inhibitor with IC50 of 10 nM (rat) and 12 nM (human), exhibits &gt;100-fold selectivity for FAAH-1 when compared to FAAH-2.</t>
  </si>
  <si>
    <t>SK04A07</t>
  </si>
  <si>
    <t>KX2-391</t>
  </si>
  <si>
    <t>KX2-391 (KX01), the first clinical Src inhibitor (peptidomimetic class) that targets the peptide substrate site of Src, with GI50 of 9-60 nM in cancer cell lines. Phase 1/2.</t>
  </si>
  <si>
    <t>SK04A08</t>
  </si>
  <si>
    <t>SB269970 HCl</t>
  </si>
  <si>
    <t xml:space="preserve">SB269970 HCl is a hydrochloride salt form of SB-269970, which is a 5-HT7 receptor antagonist with pKi of 8.3, exhibits &gt;50-fold selectivity against other receptors, </t>
  </si>
  <si>
    <t>SK04A09</t>
  </si>
  <si>
    <t>ZM 336372</t>
  </si>
  <si>
    <t>ZM 336372 is a potent and selective c-Raf inhibitor with IC50 of 70 nM, 10-fold selectivity over B-RAF, no inhibition to PKA/B/C, AMPK, p70S6, etc.</t>
  </si>
  <si>
    <t>SK04A10</t>
  </si>
  <si>
    <t>StemRegenin 1 (SR1)</t>
  </si>
  <si>
    <t>StemRegenin 1 is an AhR inhibitor with IC50 of 127 nM.</t>
  </si>
  <si>
    <t>SK04A11</t>
  </si>
  <si>
    <t>AZ 3146</t>
  </si>
  <si>
    <t>AZ3146 is a selective Mps1 inhibitor with IC50 of ~35 nM, contributes to recruitment of CENP-E (kinesin-related motor protein), less potent to FAK, JNK1, JNK2, and Kit.</t>
  </si>
  <si>
    <t>SK04A12</t>
  </si>
  <si>
    <t>U-104</t>
  </si>
  <si>
    <t>U-104 is a potent carbonic anhydrase (CA) inhibitor for CA IX and CA XII with Ki of 45.1 nM and 4.5 nM, respectively, very low inhibition for CA I and CA II.</t>
  </si>
  <si>
    <t>SK04A13</t>
  </si>
  <si>
    <t>Anacetrapib (MK-0859)</t>
  </si>
  <si>
    <t>Anacetrapib (MK0859) is a potent, selective, reversible rhCETP and mutant CETP(C13S) inhibitor with IC50 of 7.9 nM and 11.8 nM, increases HDL-C and decreases LDL-C, does not increase aldosterone or blood pressure. Phase 3.</t>
  </si>
  <si>
    <t>SK04A14</t>
  </si>
  <si>
    <t>IKK-16 (IKK Inhibitor VII)</t>
  </si>
  <si>
    <t>IKK 16 is a selective IκB kinase (IKK) inhibitor for IKK-2, IKK complex and IKK-1 with IC50 of 40 nM, 70 nM and 200 nM, respectively.</t>
  </si>
  <si>
    <t>SK04A15</t>
  </si>
  <si>
    <t>NVP-BVU972</t>
  </si>
  <si>
    <t>NVP-BVU972 is a selective and potent Met inhibitor with IC50 of 14 nM.</t>
  </si>
  <si>
    <t>SK04A16</t>
  </si>
  <si>
    <t>SB742457</t>
  </si>
  <si>
    <t>SB742457 is a highly selective 5-HT6 receptor antagonist with pKi of 9.63, exhibits &gt;100-fold selectivity over other receptors. Phase 2.</t>
  </si>
  <si>
    <t>SK04A17</t>
  </si>
  <si>
    <t>MK-2461</t>
  </si>
  <si>
    <t>MK-2461 is a potent, multi-targeted inhibitor for c-Met(WT/mutants) with IC50 of 0.4-2.5 nM, less potent to Ron, Flt1; 8- to 30-fold greater selectivity of c-Met targets versus FGFR1, FGFR2, FGFR3, PDGFRβ, KDR, Flt3, Flt4, TrkA, and TrkB. Phase 1/2.
.</t>
  </si>
  <si>
    <t>SK04A18</t>
  </si>
  <si>
    <t>S-Ruxolitinib (INCB018424)</t>
  </si>
  <si>
    <t>S-Ruxolitinib is the chirality of INCB018424, which is the first potent, selective, JAK1/2 inhibitor to enter the clinic with IC50 of 3.3 nM/2.8 nM, &gt;130-fold selectivity for JAK1/2 versus JAK3. Phase 3.</t>
  </si>
  <si>
    <t>SK04A19</t>
  </si>
  <si>
    <t>AZD2014</t>
  </si>
  <si>
    <t>AZD2014 is a novel mTOR inhibitor with IC50 of 2.8 nM; highly selective against multiple PI3K isoforms (α/β/γ/δ). Phase 2.</t>
  </si>
  <si>
    <t>SK04A20</t>
  </si>
  <si>
    <t>WZ811</t>
  </si>
  <si>
    <t>WZ811 is a highly potent competitive CXCR4 antagonist with EC50 of 0.3 nM.</t>
  </si>
  <si>
    <t>SK04A21</t>
  </si>
  <si>
    <t>Sofosbuvir (PSI-7977, GS-7977)</t>
  </si>
  <si>
    <t>Sofosbuvir (PSI-7977, GS-7977) is a HCV NS5B polymerase inhibitor for the treatment of chronic hepatitis C virus (HCV) infection.</t>
  </si>
  <si>
    <t>SK04A22</t>
  </si>
  <si>
    <t>Icotinib</t>
  </si>
  <si>
    <t>Icotinib is a potent and specific EGFR inhibitor with IC50 of 5 nM, including the EGFR, EGFR(L858R), EGFR(L861Q), EGFR(T790M) and EGFR(T790M, L858R). Phase 4.</t>
  </si>
  <si>
    <t>SK04A23</t>
  </si>
  <si>
    <t>SK04A24</t>
  </si>
  <si>
    <t>SK04B01</t>
  </si>
  <si>
    <t>Pifithrin-μ</t>
  </si>
  <si>
    <t>Pifithrin-μ is a specific p53 inhibitor by reducing its affinity to Bcl-xL and Bcl-2, and also inhibits HSP70 function and autophagy.</t>
  </si>
  <si>
    <t>SK04B02</t>
  </si>
  <si>
    <t>Carbenicillin disodium</t>
  </si>
  <si>
    <t>Carbenicillin is a semi-synthetic penicillin antibiotic which interferes with cell wall synthesis of gram-negative bacteria while displaying low toxicity.</t>
  </si>
  <si>
    <t>SK04B03</t>
  </si>
  <si>
    <t>Aspirin</t>
  </si>
  <si>
    <t>Aspirin is a salicylate drug, often used as an analgesic to relieve minor aches and pains, as an antipyretic to reduce fever, and as an anti-inflammatory medication.</t>
  </si>
  <si>
    <t>SK04B04</t>
  </si>
  <si>
    <t>N6-methyladenosine (m6A)</t>
  </si>
  <si>
    <t>N6-methyladenosine (m6A) is a base modified analog of adenosine and is found as a minor nucleoside in natural RNAs.</t>
  </si>
  <si>
    <t>SK04B05</t>
  </si>
  <si>
    <t>Piceatannol</t>
  </si>
  <si>
    <t>Piceatannol, a natural stilbene, is a selective Syk inhibitor and ~10-fold selectivity versus Lyn.</t>
  </si>
  <si>
    <t>SK04B06</t>
  </si>
  <si>
    <t>Fexofenadine HCl</t>
  </si>
  <si>
    <t>Fexofenadine inhibits histamine H1 receptor with IC50 of 246 nM.</t>
  </si>
  <si>
    <t>SK04B07</t>
  </si>
  <si>
    <t>Bepotastine Besilate</t>
  </si>
  <si>
    <t>Bepotastine is a non-sedating, selective antagonist of histamine 1 (H1) receptor with pIC50 of 5.7.</t>
  </si>
  <si>
    <t>SK04B08</t>
  </si>
  <si>
    <t>Sitagliptin phosphate monohydrate</t>
  </si>
  <si>
    <t>Sitagliptin phosphate is a potent inhibitor of DPP-IV with IC50 of 19 nM in Caco-2 cell extracts.</t>
  </si>
  <si>
    <t>SK04B09</t>
  </si>
  <si>
    <t>Azelnidipine</t>
  </si>
  <si>
    <t>Azelnidipine is a dihydropyridine calcium channel blocker.</t>
  </si>
  <si>
    <t>SK04B10</t>
  </si>
  <si>
    <t>Desloratadine</t>
  </si>
  <si>
    <t>Desloratadine is a potent antagonist for  human histamine H1 receptor with IC50 of 51 nM.</t>
  </si>
  <si>
    <t>SK04B11</t>
  </si>
  <si>
    <t>Naloxone HCl</t>
  </si>
  <si>
    <t>Naloxone HCl is an opioid inverse agonist drug used to counter the effects of opiate overdose.</t>
  </si>
  <si>
    <t>SK04B12</t>
  </si>
  <si>
    <t xml:space="preserve">Probenecid </t>
  </si>
  <si>
    <t>Probenecid is a classical competitive inhibitor of organic anion transport, which is also a TRPV2 agonist and an inhibitor of TAS2R16.</t>
  </si>
  <si>
    <t>SK04B13</t>
  </si>
  <si>
    <t>Atovaquone</t>
  </si>
  <si>
    <t>Atovaquone is a medication used to treat or prevent for pneumocystis pneumonia, toxoplasmosis, malaria, and babesia.</t>
  </si>
  <si>
    <t>SK04B14</t>
  </si>
  <si>
    <t>Doxapram HCl</t>
  </si>
  <si>
    <t>Doxapram HCl inhibits TASK-1, TASK-3, TASK-1/TASK-3 heterodimeric channel function with EC50 of 410 nM, 37 μM, 9 μM, respectively.</t>
  </si>
  <si>
    <t>SK04B15</t>
  </si>
  <si>
    <t xml:space="preserve">Pyridoxine HCl </t>
  </si>
  <si>
    <t>Pyridoxine HCl is a form of vitamin B6.</t>
  </si>
  <si>
    <t>SK04B16</t>
  </si>
  <si>
    <t>Pheniramine Maleate</t>
  </si>
  <si>
    <t>Pheniramine Maleate is an antihistamine with anticholinergic properties used to treat allergic conditions such as hay fever or urticaria.</t>
  </si>
  <si>
    <t>SK04B17</t>
  </si>
  <si>
    <t>Sulfamerazine</t>
  </si>
  <si>
    <t>Sulfamerazine is a sulfonamide antibacterial.</t>
  </si>
  <si>
    <t>SK04B18</t>
  </si>
  <si>
    <t>Spironolactone</t>
  </si>
  <si>
    <t>Spironolactone is a potent antagonist of the androgen receptor with IC50 of 77 nM.</t>
  </si>
  <si>
    <t>SK04B19</t>
  </si>
  <si>
    <t>Estradiol valerate</t>
  </si>
  <si>
    <t>Estradiol is a synthetic ester used to treat menopausal symptoms and hormone deficiencies.</t>
  </si>
  <si>
    <t>SK04B20</t>
  </si>
  <si>
    <t xml:space="preserve">Vitamin D3 </t>
  </si>
  <si>
    <t>Vitamin D3 is a form of vitamin D, binds and activates a H305F/H397Y mutant vitamin D receptor (VDR) with EC50 of 300 nM.</t>
  </si>
  <si>
    <t>SK04B21</t>
  </si>
  <si>
    <t>Benztropine mesylate</t>
  </si>
  <si>
    <t>Benztropine is a dopamine transporter (DAT) inhibitor with IC50 of 118 nM.</t>
  </si>
  <si>
    <t>SK04B22</t>
  </si>
  <si>
    <t>Sodium Nitrite</t>
  </si>
  <si>
    <t>Sodium nitrite is a myeloperoxidase inhibitor with IC50 of 1.3 μM.</t>
  </si>
  <si>
    <t>SK04B23</t>
  </si>
  <si>
    <t>SK04B24</t>
  </si>
  <si>
    <t>SK04C01</t>
  </si>
  <si>
    <t>Trametinib (GSK1120212)</t>
  </si>
  <si>
    <t>Trametinib (GSK1120212) is a highly specific and potent MEK1/2 inhibitor with IC50 of 0.92 nM/1.8 nM, no inhibition of the kinase activities of c-Raf, B-Raf, ERK1/2. Phase 3.</t>
  </si>
  <si>
    <t>SK04C02</t>
  </si>
  <si>
    <t>GDC-0068</t>
  </si>
  <si>
    <t>GDC-0068 is a highly selective pan-Akt inhibitor targeting Akt1/2/3 with IC50 of 5 nM/18 nM/8 nM, 620-fold selectivity over PKA. Phase 2.</t>
  </si>
  <si>
    <t>SK04C03</t>
  </si>
  <si>
    <t>KW-2478</t>
  </si>
  <si>
    <t>KW-2478 is a nonansamycin HSP90 inhibitor with IC50 of 3.8 nM. Phase 1/2</t>
  </si>
  <si>
    <t>SK04C04</t>
  </si>
  <si>
    <t>CI994 (Tacedinaline)</t>
  </si>
  <si>
    <t>CI-994 (Tacedinaline) is an anti-cancer drug which inhibits HDAC1 with IC50 of 0.57 μM and causes G1 cell cycle arrest. Phase 3.</t>
  </si>
  <si>
    <t>SK04C05</t>
  </si>
  <si>
    <t>Resminostat</t>
  </si>
  <si>
    <t>Resminostat dose-dependently and selectively inhibits HDAC1/3/6 with IC50 of 42.5 nM/50.1 nM/71.8 nM, less potent to HDAC8 with IC50 of 877 nM.</t>
  </si>
  <si>
    <t>SK04C06</t>
  </si>
  <si>
    <t>Clindamycin</t>
  </si>
  <si>
    <t>Clindamycin inhibits protein synthesis by acting on the 50S ribosomal.</t>
  </si>
  <si>
    <t>SK04C07</t>
  </si>
  <si>
    <t>GSK1838705A</t>
  </si>
  <si>
    <t>GSK1838705A is a potent IGF-1R inhibitor with IC50 of 2.0 nM, modestly potent to IR and ALK with IC50 of 1.6 nM and 0.5 nM, respectively, and little activity to other protein kinases.</t>
  </si>
  <si>
    <t>SK04C08</t>
  </si>
  <si>
    <t>Baricitinib (LY3009104, INCB028050)</t>
  </si>
  <si>
    <t>Baricitinib is a selective JAK1 and JAK2 inhibitor with IC50 of 5.9 nM and 5.7 nM, ~70 and ~10-fold selective versus JAK3 and Tyk2, no inhibition to c-Met and Chk2. Phase 3.</t>
  </si>
  <si>
    <t>SK04C09</t>
  </si>
  <si>
    <t>Nilvadipine</t>
  </si>
  <si>
    <t>Nilvadipine is a potent calcium channel blocker with an IC50 of 0.03 nM.</t>
  </si>
  <si>
    <t>SK04C10</t>
  </si>
  <si>
    <t>Golvatinib (E7050)</t>
  </si>
  <si>
    <t xml:space="preserve">Golvatinib (E7050) is a dual c-Met and VEGFR-2 inhibitor with IC50 of 14 nM and 16 nM, does not inhibit bFGF-stimulated HUVEC growth (up to 1000 nM). Phase 1/2. </t>
  </si>
  <si>
    <t>SK04C11</t>
  </si>
  <si>
    <t>TG101348 (SAR302503)</t>
  </si>
  <si>
    <t>TG-101348 (SAR302503) is a selective inhibitor of JAK2 with IC50 of 3 nM, 35- and 334-fold more selective for JAK2 versus JAK1 and JAK3. Phase 1/2.</t>
  </si>
  <si>
    <t>SK04C12</t>
  </si>
  <si>
    <t>WHI-P154</t>
  </si>
  <si>
    <t>WHI-P154 is a potent JAK3 inhibitor with IC50 of 1.8 μM, no activity against JAK1 or JAK2, also inhibits EGFR, Src, Abl, VEGFR and MAPK, prevents Stat3, but not Stat5 phosphorylation.</t>
  </si>
  <si>
    <t>SK04C13</t>
  </si>
  <si>
    <t>BGT226 (NVP-BGT226)</t>
  </si>
  <si>
    <t>NVP-BGT226 is a novel class I PI3K/mTOR inhibitor for PI3Kα/β/γ with IC50 of 4 nM/63 nM/38 nM. Phase 1/2.</t>
  </si>
  <si>
    <t>SK04C14</t>
  </si>
  <si>
    <t>4-Aminohippuric Acid</t>
  </si>
  <si>
    <t>4-Aminohippuric acid is a typical substrate of organic anion transport systems.</t>
  </si>
  <si>
    <t>SK04C15</t>
  </si>
  <si>
    <t>MK-2048</t>
  </si>
  <si>
    <t>MK-2048 is a potent inhibitor of integrase (IN) and INR263K with IC50 of 2.6 nM and 1.5 nM, respectively.</t>
  </si>
  <si>
    <t>SK04C16</t>
  </si>
  <si>
    <t xml:space="preserve">Tyrphostin 9 </t>
  </si>
  <si>
    <t>Tyrphostin 9 is firstly designed as an EGFR inhibitor with IC50 of 460 μM, but is also found to be more potent to PDGFR with IC50 of 0.5 μM.</t>
  </si>
  <si>
    <t>SK04C17</t>
  </si>
  <si>
    <t>Nocodazole</t>
  </si>
  <si>
    <t>Nocodazole is a rapidly-reversible inhibitor of microtubule polymerization, also inhibits Abl, Abl(E255K) and Abl(T315I) with IC50 of 0.21 μM, 0.53 μM and 0.64 μM, respectively.</t>
  </si>
  <si>
    <t>SK04C18</t>
  </si>
  <si>
    <t>Lumiracoxib</t>
  </si>
  <si>
    <t>Lumiracoxib is a novel, selective COX-2 inhibitor with IC50 and Ki of 0.14 μM and 0.06 μM, exhibits 515-fold selectivity over COX-1. Phase 4.</t>
  </si>
  <si>
    <t>SK04C19</t>
  </si>
  <si>
    <t>TAK-285</t>
  </si>
  <si>
    <t>TAK-285 is a novel dual HER2 and EGFR(HER1) inhibitor with IC50 of 17 nM and 23 nM, &gt;10-fold selectivity for HER1/2 than HER4, less potent to MEK1/5, c-Met, Aurora B, Lck, CSK etc. Phase 1.</t>
  </si>
  <si>
    <t>SK04C20</t>
  </si>
  <si>
    <t>BAY 11-7082</t>
  </si>
  <si>
    <t>BAY 11-7082 is a NF-κB inhibitor, inhibits TNFα-induced IκBα phosphorylation with IC50 of 10 μM.</t>
  </si>
  <si>
    <t>SK04C21</t>
  </si>
  <si>
    <t>VU 0357121</t>
  </si>
  <si>
    <t>VU0357121 is a novel positive allosteric modulator (PAM) of mGlu5 with EC50 of 33 nM, is inactive or very weakly antagonizing at other mGlu receptor subtypes.</t>
  </si>
  <si>
    <t>SK04C22</t>
  </si>
  <si>
    <t>Salubrinal</t>
  </si>
  <si>
    <t>Salubrinal is a selective inhibitor of eIF2α dephosphorylation and inhibits ER stress-mediated apoptosis with EC50 of ~15 μM.</t>
  </si>
  <si>
    <t>SK04C23</t>
  </si>
  <si>
    <t>SK04C24</t>
  </si>
  <si>
    <t>SK04D01</t>
  </si>
  <si>
    <t>Carbazochrome sodium sulfonate (AC-17)</t>
  </si>
  <si>
    <t>Carbazochrome is an antihemorrhagic for use in the treatment of hemorrhoids.</t>
  </si>
  <si>
    <t>SK04D02</t>
  </si>
  <si>
    <t xml:space="preserve">Eletriptan HBr </t>
  </si>
  <si>
    <t>Eletriptan is a selective 5-HT1B and 5-HT1D receptor agonist with Ki of 0.92 nM and 3.14 nM, respectively.</t>
  </si>
  <si>
    <t>SK04D03</t>
  </si>
  <si>
    <t>Niflumic acid</t>
  </si>
  <si>
    <t>Niflumic acid is an inhibitor of cyclooxygenase-2 used for joint and muscular pain.</t>
  </si>
  <si>
    <t>SK04D04</t>
  </si>
  <si>
    <t>Azlocillin sodium salt</t>
  </si>
  <si>
    <t>Azlocillin is an acylampicillin with a broad spectrum against bacteria.</t>
  </si>
  <si>
    <t>SK04D05</t>
  </si>
  <si>
    <t>Fenoprofen calcium hydrate</t>
  </si>
  <si>
    <t>Fenoprofen calcium hydrate is a non-steroidal anti-inflammatory drug (NSAID).</t>
  </si>
  <si>
    <t>SK04D06</t>
  </si>
  <si>
    <t>Amidopyrine</t>
  </si>
  <si>
    <t>Amidopyrine is white crystalline substance used as an analgesic and antipyretic.</t>
  </si>
  <si>
    <t>SK04D07</t>
  </si>
  <si>
    <t>Fosaprepitant dimeglumine salt</t>
  </si>
  <si>
    <t>Fosaprepitant is a water-soluble phosphoryl prodrug for Aprepitant which is a NK1 antagonist.</t>
  </si>
  <si>
    <t>SK04D08</t>
  </si>
  <si>
    <t>Lithocholic acid</t>
  </si>
  <si>
    <t>Lithocholic acid is a toxic secondary bile acid, causes intrahepatic cholestasis, has tumor-promoting activity, its toxic effect can be protected after it activates the vitamin D receptor, PXR and FXR.</t>
  </si>
  <si>
    <t>SK04D09</t>
  </si>
  <si>
    <t>Alverine Citrate</t>
  </si>
  <si>
    <t>Alverine citrate is a drug used for functional gastrointestinal disorders.</t>
  </si>
  <si>
    <t>SK04D10</t>
  </si>
  <si>
    <t>Hyoscyamine</t>
  </si>
  <si>
    <t>Hyoscyamine is an AChR inhibitor with IC50 of 7.5 nM.</t>
  </si>
  <si>
    <t>SK04D11</t>
  </si>
  <si>
    <t>Chlorhexidine HCl</t>
  </si>
  <si>
    <t>Chlorhexidine hydrochloride is an antiseptic effective against a wide variety of gram-negative and gram-positive organisms.</t>
  </si>
  <si>
    <t>SK04D12</t>
  </si>
  <si>
    <t>Procaine HCl</t>
  </si>
  <si>
    <t>Procaine is an inhibitor of sodium channel, NMDA receptor and nAChR with IC50 of 60 μM, 0.296 mM and 45.5 μM, which is also an inhibitor of 5-HT3 with KD of 1.7 μM.</t>
  </si>
  <si>
    <t>SK04D13</t>
  </si>
  <si>
    <t>Etravirine (TMC125)</t>
  </si>
  <si>
    <t>Etravirine (TMC125) is a non-nucleoside reverse transcriptase inhibitor (NNRTI) used for the treatment of HIV.</t>
  </si>
  <si>
    <t>SK04D14</t>
  </si>
  <si>
    <t>Dibucaine HCl</t>
  </si>
  <si>
    <t>Dibucaine HCl is a local anesthetics.</t>
  </si>
  <si>
    <t>SK04D15</t>
  </si>
  <si>
    <t>Vitamin C</t>
  </si>
  <si>
    <t>Vitamin C is a water-soluble vitamin indicated for the prevention and treatment of scurvy.</t>
  </si>
  <si>
    <t>SK04D16</t>
  </si>
  <si>
    <t>Estradiol Cypionate</t>
  </si>
  <si>
    <t>Estradiol cypionate is the 17 β-cyclopentylpropinate ester of estradiol, which inhibits ET-1 synthesis via estrogen receptor.</t>
  </si>
  <si>
    <t>SK04D17</t>
  </si>
  <si>
    <t>Sulfamethazine</t>
  </si>
  <si>
    <t>Sulfamethazine is a sulfonamide antibacterial.</t>
  </si>
  <si>
    <t>SK04D18</t>
  </si>
  <si>
    <t>Retapamulin</t>
  </si>
  <si>
    <t>Retapamulin is a topical antibiotic, which binds to both E. coli and S. aureus ribosomes with similar potencies with Kd of 3 nM.</t>
  </si>
  <si>
    <t>SK04D19</t>
  </si>
  <si>
    <t>Articaine HCl</t>
  </si>
  <si>
    <t>Articaine is a dental local anesthetic which contains an additional ester group that is metabolized by estearases in blood and tissue.</t>
  </si>
  <si>
    <t>SK04D20</t>
  </si>
  <si>
    <t>Escitalopram Oxalate</t>
  </si>
  <si>
    <t>Escitalopram Oxalate is a selective serotonin (5-HT) reuptake inhibitor (SSRI) with Ki of 0.89 nM.</t>
  </si>
  <si>
    <t>SK04D21</t>
  </si>
  <si>
    <t>Altrenogest</t>
  </si>
  <si>
    <t>Altrenogest is a progestogen structurally related to veterinary steroid trenbolone.</t>
  </si>
  <si>
    <t>SK04D22</t>
  </si>
  <si>
    <t>Zinc Pyrithione</t>
  </si>
  <si>
    <t>Zinc pyrithione is an antifungal and antibacterial agent disrupting membrane transport by blocking the proton pump.</t>
  </si>
  <si>
    <t>SK04D23</t>
  </si>
  <si>
    <t>SK04D24</t>
  </si>
  <si>
    <t>SK04E01</t>
  </si>
  <si>
    <t>A922500</t>
  </si>
  <si>
    <t>A 922500 is an inhibitor for human and mouse DGAT-1 with IC50 of 7 nM and 24 nM, respectively, good selectivity over related acyltransferases, hERG, and a panel of anti-targets.</t>
  </si>
  <si>
    <t>SK04E02</t>
  </si>
  <si>
    <t>MPEP</t>
  </si>
  <si>
    <t>MPEP is a selective mGlu5 receptor antagonist with IC50 of 36 nM, exhibits no appreciable activity at mGlu1b/2/3/4a/7b/8a/6 receptors.</t>
  </si>
  <si>
    <t>SK04E03</t>
  </si>
  <si>
    <t>NVP-BSK805 2HCl</t>
  </si>
  <si>
    <t>NVP-BSK805 is a potent and selective ATP-competitive JAK2 inhibitor with IC50 of 0.5 nM,&gt;20-fold selectivity towards JAK1, JAK3 and TYK2.</t>
  </si>
  <si>
    <t>SK04E04</t>
  </si>
  <si>
    <t>AM251</t>
  </si>
  <si>
    <t>AM251 block the inhibitory effects of endocannabinoids and synthetic cannabinoid agonists on transmitter release through an action at presynaptic cannabinoid 1 receptors in brain.</t>
  </si>
  <si>
    <t>SK04E05</t>
  </si>
  <si>
    <t>XL335</t>
  </si>
  <si>
    <t>XL335 is a potent, selective FXR agonist with EC50 of 4 nM, highly selective versus other nuclear receptors, such as LXR, PPAR, ER and etc. Phase 1.</t>
  </si>
  <si>
    <t>SK04E06</t>
  </si>
  <si>
    <t>Epiandrosterone</t>
  </si>
  <si>
    <t>Epiandrosterone is a steroid hormone with weak androgenic activity, is a natural metabolite of DHEA.</t>
  </si>
  <si>
    <t>SK04E07</t>
  </si>
  <si>
    <t>YO-01027</t>
  </si>
  <si>
    <t>YO-01027 (Dibenzazepine, DBZ) is a dipeptidic γ-secretase inhibitor with IC50 of 2.6 nM and 2.9 nM for APPL and Notch cleavage, respectively.</t>
  </si>
  <si>
    <t>SK04E08</t>
  </si>
  <si>
    <t>BRL-54443</t>
  </si>
  <si>
    <t>BRL 54443 is a 5-HT1E and 5-HT1F receptor agonist with pKi of 8.7 and 9.25, respectively, witha weak binding affinity for 5-HT1A, 5-HT1B, 5-HT1D receptors.</t>
  </si>
  <si>
    <t>SK04E09</t>
  </si>
  <si>
    <t>JTC-801</t>
  </si>
  <si>
    <t>JTC-801 is a selective opioid receptor-like1 (ORL1) receptor antagonist with IC50 of 94 nM, weakly inhibits receptors δ, κ, and μ.</t>
  </si>
  <si>
    <t>SK04E10</t>
  </si>
  <si>
    <t>IEM 1754 dihydrobroMide</t>
  </si>
  <si>
    <t>IEM 1754 dihydrobroMide is a selective AMPA/kainate receptor blockers for GluR1 and GluR3 with IC50 of 6 μM.</t>
  </si>
  <si>
    <t>SK04E11</t>
  </si>
  <si>
    <t>PAC-1</t>
  </si>
  <si>
    <t>PAC-1 is a potent procaspase-3 activator with EC50 of 0.22 μM and the first small molecule known to directly activate procaspase-3 to caspase-3.</t>
  </si>
  <si>
    <t>SK04E12</t>
  </si>
  <si>
    <t>Alogliptin</t>
  </si>
  <si>
    <t>Alogliptin is a potent, selective inhibitor of DPP-4 with IC50 of &lt;10 nM, exhibits greater than 10,000-fold selectivity over DPP-8 and DPP-9. Phase 4.</t>
  </si>
  <si>
    <t>SK04E13</t>
  </si>
  <si>
    <t>GW788388</t>
  </si>
  <si>
    <t>GW788388 is a potent and selective inhibitor of ALK5 with IC50 of 18 nM, also inhibits TGF-β type II receptor and activin type II receptor activities, but does not inhibit BMP type II receptor.</t>
  </si>
  <si>
    <t>SK04E14</t>
  </si>
  <si>
    <t>Acesulfame Potassium</t>
  </si>
  <si>
    <t>Acesulfame potassium is a non-nutritive sweetener.</t>
  </si>
  <si>
    <t>SK04E15</t>
  </si>
  <si>
    <t>3-Methyladenine</t>
  </si>
  <si>
    <t>3-Methyladenine is a selective PI3K inhibitor for Vps34 and PI3Kγ with IC50 of 25 μM and 60 μM;  blocks class I PI3K consistently, whereas suppression of class III PI3K is transient, and also blocks autophagosome formation.</t>
  </si>
  <si>
    <t>SK04E16</t>
  </si>
  <si>
    <t>ZM 323881 HCl</t>
  </si>
  <si>
    <t>ZM 323881 is a potent and selective VEGFR2 inhibitor with IC50 of &lt;2 nM, almost no activity on VEGFR1, PDGFRβ, FGFR1, EGFR and ErbB2.</t>
  </si>
  <si>
    <t>SK04E17</t>
  </si>
  <si>
    <t>CPI-613</t>
  </si>
  <si>
    <t>CPI-613, a lipoate analog, inhibits mitochondrial enzymes pyruvate dehydrogenase (PDH) and α-ketoglutarate dehydrogenase, disrupts tumor cell mitochondrial metabolism. Phase 2.</t>
  </si>
  <si>
    <t>SK04E18</t>
  </si>
  <si>
    <t>PF-477736</t>
  </si>
  <si>
    <t xml:space="preserve">PF-477736 is a selective, potent and ATP-competitive Chk1 inhibitor with Ki of 0.49 nM and also inhibits VEGFR2, Aurora-A, FGFR3, Flt3, Fms (CSF1R), Ret and Yes. It shows ~100-fold selectivity for Chk1 than Chk2. Phase 1. </t>
  </si>
  <si>
    <t>SK04E19</t>
  </si>
  <si>
    <t>A-803467</t>
  </si>
  <si>
    <t>A-803467 is a selective NaV1.8 channel blocker with IC50 of 8 nM, blocks tetrodotoxin-resistant currents, exhibits &gt;100-fold selectivity against human NaV1.2, NaV1.3, NaV1.5, and NaV1.7.</t>
  </si>
  <si>
    <t>SK04E20</t>
  </si>
  <si>
    <t>Dapivirine (TMC120)</t>
  </si>
  <si>
    <t>Dapivirine is a non-nucleoside inhibitor for HIV reverse transcriptase with IC50 of 24 nM, inhibits a broad panel of HIV-1 isolates from different classes, inclucing a wide range of NNRTI-resistant isolates. Phase 3.</t>
  </si>
  <si>
    <t>SK04E21</t>
  </si>
  <si>
    <t>WP1066</t>
  </si>
  <si>
    <t>WP1066 is a novel inhibitor of JAK2 and STAT3 with IC50 of 2.30 μM and 2.43 μM in HEL cells; shows activity to JAK2, STAT3, STAT5, and ERK1/2 not JAK1 and JAK3.</t>
  </si>
  <si>
    <t>SK04E22</t>
  </si>
  <si>
    <t>CHIR-99021 (CT99021) HCl</t>
  </si>
  <si>
    <t>CHIR-99021 (CT99021) HCl is hydrochloride of CHIR-99021, which is a GSK-3α/β inhibitor with IC50 of 10 nM/6.7 nM; ability to distinguish between GSK-3 and its closest homologs Cdc2 and ERK2.</t>
  </si>
  <si>
    <t>SK04E23</t>
  </si>
  <si>
    <t>SK04E24</t>
  </si>
  <si>
    <t>SK04F01</t>
  </si>
  <si>
    <t xml:space="preserve">Clevudine </t>
  </si>
  <si>
    <t>Clevudine is an antiviral drug for the treatment of hepatitis B.</t>
  </si>
  <si>
    <t>SK04F02</t>
  </si>
  <si>
    <t>Flumequine</t>
  </si>
  <si>
    <t>Flumequine is a synthetic chemotherapeutic antibiotic, inhibiting topoisomerase II with IC50 of 15 μM.</t>
  </si>
  <si>
    <t>SK04F03</t>
  </si>
  <si>
    <t>Ciclopirox ethanolamine</t>
  </si>
  <si>
    <t>Ciclopirox ethanolamine (Ciclopirox olamine, HOE 296) is a broad-spectrum antifungal agent working as an iron chelator.</t>
  </si>
  <si>
    <t>SK04F04</t>
  </si>
  <si>
    <t>Azacyclonol</t>
  </si>
  <si>
    <t>Azacyclonol, also known as γ-pipradol, is a drug used to diminish hallucinations in psychotic individuals.</t>
  </si>
  <si>
    <t>SK04F05</t>
  </si>
  <si>
    <t>Linagliptin</t>
  </si>
  <si>
    <t>Linagliptin is a highly potent, selective DPP-4 inhibitor with IC50 of 1 nM.</t>
  </si>
  <si>
    <t>SK04F06</t>
  </si>
  <si>
    <t>Moclobemide (Ro 111163)</t>
  </si>
  <si>
    <t>Moclobemide is MAO-A (5-HT) inhibitor with IC50 of 6.1 μM.</t>
  </si>
  <si>
    <t>SK04F07</t>
  </si>
  <si>
    <t xml:space="preserve">Rofecoxib </t>
  </si>
  <si>
    <t>Rofecoxib is a COX-2 inhibitor with IC50 of 18 nM.</t>
  </si>
  <si>
    <t>SK04F08</t>
  </si>
  <si>
    <t>Ethambutol HCl</t>
  </si>
  <si>
    <t>Ethambutol is a bacteriostatic antimycobacterial agent, which obstructs the formation of cell wall by inhibiting arabinosyl transferases.</t>
  </si>
  <si>
    <t>SK04F09</t>
  </si>
  <si>
    <t>Azilsartan Medoxomil</t>
  </si>
  <si>
    <t>Azilsartan Medoxomil is a potent angiotensin II type 1 (AT1) receptor antagonist, inhibits the RAAS, with an IC50 of 2.6 nM, exhibits &gt;10,000-fold selectivity over AT2. Phase 3.</t>
  </si>
  <si>
    <t>SK04F10</t>
  </si>
  <si>
    <t>Cyclamic  acid</t>
  </si>
  <si>
    <t>Cyclamic acid in the form of its sodium or calcium salt is one of the most widely used artificial sweeteners.</t>
  </si>
  <si>
    <t>SK04F11</t>
  </si>
  <si>
    <t>Piracetam</t>
  </si>
  <si>
    <t>Piracetam is a cyclic derivative of the neurotransmitter  gamma-aminobutyric acid (GABA), used in treatment of a wide range of cognitive disorders.</t>
  </si>
  <si>
    <t>SK04F12</t>
  </si>
  <si>
    <t>Homatropine Methylbromide</t>
  </si>
  <si>
    <t>Homatropine Methylbromide is muscarinic AChR antagonist, inhibits endothelial and smooth muscle muscarinic receptors of WKY-E and SHR-E with IC50 of 162.5 nM and 170.3 nM, respectively.</t>
  </si>
  <si>
    <t>SK04F13</t>
  </si>
  <si>
    <t>Ulipristal</t>
  </si>
  <si>
    <t>Ulipristal is a selective SPRM for emergency contraception after an unprotected intercourse or contraceptive failure.</t>
  </si>
  <si>
    <t>SK04F14</t>
  </si>
  <si>
    <t>Methazolamide</t>
  </si>
  <si>
    <t>Methazolamide is a carbonic anhydrase inhibitor with Ki of 50 nM, 14 nM and 36 nM for hCA I, hCA II and bCA IV isoforms, respectively.</t>
  </si>
  <si>
    <t>SK04F15</t>
  </si>
  <si>
    <t>Sulfathiazole</t>
  </si>
  <si>
    <t>Sulfathiazole is an organosulfur compound that has been used as a short-acting sulfa drug.</t>
  </si>
  <si>
    <t>SK04F16</t>
  </si>
  <si>
    <t>Bisacodyl</t>
  </si>
  <si>
    <t>Bisacodyl (INN) is a stimulant laxative drug that works directly on the colon to produce a bowel movement.</t>
  </si>
  <si>
    <t>SK04F17</t>
  </si>
  <si>
    <t>Sodium salicylate</t>
  </si>
  <si>
    <t>Sodium salicylate is used in medicine as an analgesic and antipyretic.</t>
  </si>
  <si>
    <t>SK04F18</t>
  </si>
  <si>
    <t>Methyclothiazide</t>
  </si>
  <si>
    <t>Methyclothiazide is a substituted benzothiadiazide, used to treat high blood pressure and fluid retention caused by various conditions including heart disease.</t>
  </si>
  <si>
    <t>SK04F19</t>
  </si>
  <si>
    <t>Gliquidone</t>
  </si>
  <si>
    <t>Gliquidone is an ATP-sensitive K+ channel antagonist with IC50 of 27.2 nM.</t>
  </si>
  <si>
    <t>SK04F20</t>
  </si>
  <si>
    <t>Guanabenz Acetate</t>
  </si>
  <si>
    <t>Guanabenz Acetate is an selective agonist of α2a-adrenergic receptor, α2b-adrenergic receptor and α2c-adrenergic receptor with pEC50 of 8.25, 7.01 and ~5, respectively.</t>
  </si>
  <si>
    <t>SK04F21</t>
  </si>
  <si>
    <t>Ampicillin sodium</t>
  </si>
  <si>
    <t>Ampicillin is a beta-lactam antibiotic that is part of the aminopenicillin family.</t>
  </si>
  <si>
    <t>SK04F22</t>
  </si>
  <si>
    <t>Propranolol HCl</t>
  </si>
  <si>
    <t>Propranolol HCl is a competitive non-selective beta-adrenergic receptors inhibitor with IC50 of 12 nM.</t>
  </si>
  <si>
    <t>SK04F23</t>
  </si>
  <si>
    <t>SK04F24</t>
  </si>
  <si>
    <t>SK04G01</t>
  </si>
  <si>
    <t>BRL-15572</t>
  </si>
  <si>
    <t xml:space="preserve">BRL-15572 is a 5-HT1D receptor antagonist with pKi of 7.9, also shows a considerable affinity at 5-HT1A and 5-HT2B receptors, exhibiting 60-fold selectivity over 5-HT1B receptor.   </t>
  </si>
  <si>
    <t>SK04G02</t>
  </si>
  <si>
    <t>INK 128 (MLN0128)</t>
  </si>
  <si>
    <t>INK 128 is a potent and selective mTOR inhibitor with IC50 of 1 nM; &gt;200-fold less potent to class I PI3K isoforms, superior in blocking mTORC1/2 and sensitive to pro-invasion genes (vs Rapamycin). Phase 1.</t>
  </si>
  <si>
    <t>SK04G03</t>
  </si>
  <si>
    <t>PF-2545920</t>
  </si>
  <si>
    <t xml:space="preserve">PF-2545920 is a potent and selective &lt;b&gt;PDE10A&lt;/b&gt; inhibitor with &lt;b&gt;IC50&lt;/b&gt; of 0.37 nM, with &gt;1000-fold selectivity over the PDE. </t>
  </si>
  <si>
    <t>SK04G04</t>
  </si>
  <si>
    <t>TAE226 (NVP-TAE226)</t>
  </si>
  <si>
    <t>NVP-TAE226 is a potent FAK inhibitor with IC50 of 5.5 nM and modestly potent to Pyk2, ~10- to 100-fold less potent against InsR, IGF-1R, ALK, and c-Met.</t>
  </si>
  <si>
    <t>SK04G05</t>
  </si>
  <si>
    <t>Nepicastat (SYN-117) HCl</t>
  </si>
  <si>
    <t>Nepicastat (SYN-117) HCl is a potent and selective inhibitor of both bovine and human &lt;b&gt;dopamine-β-hydroxylase&lt;/b&gt; with &lt;b&gt;IC50&lt;/b&gt; of 8.5 nM and 9 nM, with negligible affinity for twelve other enzymes and thirteen neurotransmitter receptors. Phase 2.</t>
  </si>
  <si>
    <t>SK04G06</t>
  </si>
  <si>
    <t>ARN-509</t>
  </si>
  <si>
    <t>ARN-509 is a selective and competitive androgen receptor inhibitor with IC50 of 16 nM, useful for prostate cancer treatment. Phase 2.</t>
  </si>
  <si>
    <t>SK04G07</t>
  </si>
  <si>
    <t>Geldanamycin</t>
  </si>
  <si>
    <t>Geldanamycin is a natural existing HSP90 inhibitor with Kd of 1.2 μM, specifically disrupts glucocorticoid receptor (GR)/HSP association.</t>
  </si>
  <si>
    <t>SK04G08</t>
  </si>
  <si>
    <t>Carfilzomib (PR-171)</t>
  </si>
  <si>
    <t>Carfilzomib (PR-171) is an irreversible proteasome inhibitor with IC50 of &lt;5 nM, displayed preferential in vitro inhibitory potency against the ChT-L activity in the β5 subunit, but little or no effect on the PGPH and T-L activities.</t>
  </si>
  <si>
    <t>SK04G09</t>
  </si>
  <si>
    <t>PH-797804</t>
  </si>
  <si>
    <t>PH-797804 is a novel pyridinone inhibitor of p38α with IC50 of 26 nM; 4-fold more selective versus p38β and does not inhibit JNK2. Phase 2.</t>
  </si>
  <si>
    <t>SK04G10</t>
  </si>
  <si>
    <t>CTEP (RO4956371)</t>
  </si>
  <si>
    <t>CTEP is a novel, long-acting, orally bioavailable allosteric antagonist of mGlu5 receptor with IC50 of 2.2 nM, shows &gt;1000-fold selectivity over other mGlu receptors.</t>
  </si>
  <si>
    <t>SK04G11</t>
  </si>
  <si>
    <t>GSK1070916</t>
  </si>
  <si>
    <t>GSK1070916 is a reversible and ATP-competitive inhibitor of Aurora B/C with IC50 of 3.5 nM/6.5 nM. It displays &gt;100-fold selectivity against the closely related Aurora A-TPX2 complex. Phase 1.</t>
  </si>
  <si>
    <t>SK04G12</t>
  </si>
  <si>
    <t>T0070907</t>
  </si>
  <si>
    <t>T0070907 is a potent and selective PPARγ inhibitor with IC50 of 1 nM, with a &gt;800-fold selectivity over PPARα and PPARδ.</t>
  </si>
  <si>
    <t>SK04G13</t>
  </si>
  <si>
    <t>Milciclib (PHA-848125)</t>
  </si>
  <si>
    <t>PHA-848125 is a potent, ATP-competitive CDK inhibitor for CDK2 with IC50 of 45 nM. It is &gt;3-fold more selective for CDK2 than CDK1, 2, 4, 5, and 7. Phase 2.</t>
  </si>
  <si>
    <t>SK04G14</t>
  </si>
  <si>
    <t>A-205804</t>
  </si>
  <si>
    <t>A-205804 is a potent and selective inhibitor of E-selectin and ICAM-1 expression with IC50 of 20 nM and 25 nM respectively.</t>
  </si>
  <si>
    <t>SK04G15</t>
  </si>
  <si>
    <t>Dinaciclib (SCH727965)</t>
  </si>
  <si>
    <t>Dinaciclib (SCH727965) is a novel and potent CDK inhibitor for CDK2, CDK5, CDK1 and CDK9 with IC50 of 1 nM, 1 nM, 3 nM and 4 nM, respectively. It also blocks thymidine (dThd) DNA incorporation. Phase 3.</t>
  </si>
  <si>
    <t>SK04G16</t>
  </si>
  <si>
    <t>ZM 306416</t>
  </si>
  <si>
    <t>ZM 306416 is a VEGFR (Flt and KDR) inhibitor for VEGFR1 with IC50 of 0.33 μM, but also found to inhibit EGFR with IC50 of &lt;10 nM.</t>
  </si>
  <si>
    <t>SK04G17</t>
  </si>
  <si>
    <t>PF-5274857</t>
  </si>
  <si>
    <t>PF-5274857 is a potent and selective Smoothened (Smo) antagonist, inhibits Hedgehog (Hh) signaling with IC50 and Ki of 5.8 nM and 4.6 nM, respectively, and can penetrate the blood–brain barrier.</t>
  </si>
  <si>
    <t>SK04G18</t>
  </si>
  <si>
    <t>JNJ-7777120</t>
  </si>
  <si>
    <t>JNJ-7777120 is the first potent and selective non-imidazole histamine H4 receptor antagonist with Ki of 4.5 nM, exhibits &gt;1000-fold selectivity over the other histamin receptors.</t>
  </si>
  <si>
    <t>SK04G19</t>
  </si>
  <si>
    <t>Laquinimod</t>
  </si>
  <si>
    <t>Laquinimod is a potent immunomodulator.</t>
  </si>
  <si>
    <t>SK04G20</t>
  </si>
  <si>
    <t>GW9662</t>
  </si>
  <si>
    <t>GW9662 is a selective PPAR antagonist for PPARγ with IC50 of 3.3 nM, with at least 100 to 1000-fold functional selectivity in cells with PPARγversus PPARα and PPARδ.</t>
  </si>
  <si>
    <t>SK04G21</t>
  </si>
  <si>
    <t>Lonafarnib</t>
  </si>
  <si>
    <t>Lonafarnib is an orally bioavailable FPTase inhibitor for H-ras, K-ras-4B and N-ras with IC50 of 1.9 nM, 5.2 nM and 2.8 nM, respectively. Phase 3.</t>
  </si>
  <si>
    <t>SK04G22</t>
  </si>
  <si>
    <t>Evacetrapib (LY2484595)</t>
  </si>
  <si>
    <t xml:space="preserve">Evacetrapib (LY2484595) is a potent and selective inhibitor of CETP with IC50 of 5.5 nM, elevates HDL cholesterol without increases in aldosterone or blood pressure. Phase 3. </t>
  </si>
  <si>
    <t>SK04G23</t>
  </si>
  <si>
    <t>SK04G24</t>
  </si>
  <si>
    <t>SK04H01</t>
  </si>
  <si>
    <t>Rivaroxaban</t>
  </si>
  <si>
    <t>Rivaroxaban is a direct inhibitor of Factor Xa with Ki and IC50 of 0.4 nM and  0.7 nM, respectively.</t>
  </si>
  <si>
    <t>SK04H02</t>
  </si>
  <si>
    <t xml:space="preserve">Amitriptyline HCl </t>
  </si>
  <si>
    <t>Amitriptyline inhibits serotonin receptor, norepinephrine receptor, 5-HT4, 5-HT2 and sigma 1 receptor with IC50 of 3.45 nM, 13.3 nM, 7.31 nM, 235 nM and 287 nM, respectively.</t>
  </si>
  <si>
    <t>SK04H03</t>
  </si>
  <si>
    <t>Rimonabant</t>
  </si>
  <si>
    <t>Rimonabant is a selective antagonist of CB1 with IC50 of 13.6 nM and EC50 of 17.3 nM in hCB1 transfected HEK 293 membrane.</t>
  </si>
  <si>
    <t>SK04H04</t>
  </si>
  <si>
    <t>Reboxetine mesylate</t>
  </si>
  <si>
    <t>Reboxetine is a norepinephrine reuptake inhibitor with Ki of 8.2 nM.</t>
  </si>
  <si>
    <t>SK04H05</t>
  </si>
  <si>
    <t xml:space="preserve">Bindarit </t>
  </si>
  <si>
    <t>Bindarit exhibits selective inhibition against monocyte chemotactic proteins MCP-1/CCL2, MCP-3/CCL7 and MCP-2/CCL8.</t>
  </si>
  <si>
    <t>SK04H06</t>
  </si>
  <si>
    <t>Schisandrin B (Sch B)</t>
  </si>
  <si>
    <t>Schisandrin B is the most abundant dibenzocyclooctadiene lignan present in the traditional Chinese medicinal herb Schisandra chinensis (Turcz.) Baill.</t>
  </si>
  <si>
    <t>SK04H07</t>
  </si>
  <si>
    <t>Cinepazide maleate</t>
  </si>
  <si>
    <t>Cinepazide maleate is a maleate salt form of cinepazide which is a vasodilator.</t>
  </si>
  <si>
    <t>SK04H08</t>
  </si>
  <si>
    <t>Doxycycline HCl</t>
  </si>
  <si>
    <t>Doxycycline HCl is a tetracycline antibiotic that commonly used to treat a variety of infections, and also a MMP inhibitor.</t>
  </si>
  <si>
    <t>SK04H09</t>
  </si>
  <si>
    <t>Medetomidine HCl</t>
  </si>
  <si>
    <t>Medetomidine is a selective α2-adrenoceptor agonist, with Ki of 1.08 nM, exhibts 1620-fold selectivity over α1-adrenoceptor.</t>
  </si>
  <si>
    <t>SK04H10</t>
  </si>
  <si>
    <t>Ouabain</t>
  </si>
  <si>
    <t>Ouabain is a selective Na+/K+, -ATPase inhibitor, binds to α2 /α3 subunit with Ki of 41 nM/15 nM.</t>
  </si>
  <si>
    <t>SK04H11</t>
  </si>
  <si>
    <t xml:space="preserve">Vanillin </t>
  </si>
  <si>
    <t>Vanillin, 4-hydroxy-3-methoxybenzaldehyde, is a food additive.</t>
  </si>
  <si>
    <t>SK04H12</t>
  </si>
  <si>
    <t>Homatropine Bromide</t>
  </si>
  <si>
    <t>Homatropine Bromide is muscarinic AChR antagonist, inhibits endothelial and smooth muscle muscarinic receptors of WKY-E and SHR-E with IC50 of 162.5 nM and 170.3 nM, respectively.</t>
  </si>
  <si>
    <t>SK04H13</t>
  </si>
  <si>
    <t>Indacaterol Maleate</t>
  </si>
  <si>
    <t>Indacaterol is an ultra-long-acting β-adrenoceptor agonist with pKi of 7.36.</t>
  </si>
  <si>
    <t>SK04H14</t>
  </si>
  <si>
    <t>Norethindrone</t>
  </si>
  <si>
    <t>Norethindrone is a synthetic progestin, which mimic the actions of the endogenous ovarian hormone progesterone.</t>
  </si>
  <si>
    <t>SK04H15</t>
  </si>
  <si>
    <t>Oxybutynin chloride</t>
  </si>
  <si>
    <t>Oxybutynin is an anticholinergic medication used to relieve urinary and bladder difficulties.</t>
  </si>
  <si>
    <t>SK04H16</t>
  </si>
  <si>
    <t>Carbimazole</t>
  </si>
  <si>
    <t xml:space="preserve">Carbimazole is an imidazole antithyroid agent. </t>
  </si>
  <si>
    <t>SK04H17</t>
  </si>
  <si>
    <t>Methylthiouracil</t>
  </si>
  <si>
    <t>Methylthiouracil is an antithyroid preparation.</t>
  </si>
  <si>
    <t>SK04H18</t>
  </si>
  <si>
    <t>Ropivacaine HCl</t>
  </si>
  <si>
    <t>Ropivacaine HCl is an anaesthetic agent and blocks impulse conduction in nerve fibres through inhibiting sodium ion influx reversibly.</t>
  </si>
  <si>
    <t>SK04H19</t>
  </si>
  <si>
    <t>Butenafine HCl</t>
  </si>
  <si>
    <t>Butenafine HCl is a synthetic benzylamine antifungal, works by inhibiting the synthesis of sterols by inhibiting squalene epoxidase.</t>
  </si>
  <si>
    <t>SK04H20</t>
  </si>
  <si>
    <t>Tinidazole</t>
  </si>
  <si>
    <t>Tinidazole is an anti-parasitic drug.</t>
  </si>
  <si>
    <t>SK04H21</t>
  </si>
  <si>
    <t>Anagrelide HCl</t>
  </si>
  <si>
    <t>Anagrelide is a drug used for the treatment of essential thrombocytosis.</t>
  </si>
  <si>
    <t>SK04H22</t>
  </si>
  <si>
    <t>Mequinol</t>
  </si>
  <si>
    <t>Mequinol (4-Methoxyphenol) is a depigmentation agent.</t>
  </si>
  <si>
    <t>SK04H23</t>
  </si>
  <si>
    <t>SK04H24</t>
  </si>
  <si>
    <t>SK04I01</t>
  </si>
  <si>
    <t>Flavopiridol HCl</t>
  </si>
  <si>
    <t>Flavopiridol competes with ATP to inhibit CDKs including CDK1, CDK2, CDK4 and CDK6 with IC50 of ~ 40 nM. It is 7.5-fold more selective for CDK1/2/4/6 than CDK7. Flavopiridol is initially found to inhibit EGFR and PKA. Phase 1/2.</t>
  </si>
  <si>
    <t>SK04I02</t>
  </si>
  <si>
    <t>AT101</t>
  </si>
  <si>
    <t>AT101, the R-(-) enantiomer of Gossypol acetic acid, binds with Bcl-2, Bcl-xL and Mcl-1 with Ki of 0.32 μM, 0.48 μM and 0.18 μM; does not inhibit BIR3 domain and BID. Phase 1/2.</t>
  </si>
  <si>
    <t>SK04I03</t>
  </si>
  <si>
    <t>R547</t>
  </si>
  <si>
    <t>R547 is a potent ATP-competitive inhibitor of CDK1/2/4 with Ki of 2 nM/3 nM/1 nM. It is less potent to CDK7 and GSK3α/β, while inactive to other kinases.</t>
  </si>
  <si>
    <t>SK04I04</t>
  </si>
  <si>
    <t>RG108</t>
  </si>
  <si>
    <t>RG108 is an inhibitor of DNA methyltransferase with IC50 of 115 nM, does not cause trapping of covalent enzymes.</t>
  </si>
  <si>
    <t>SK04I05</t>
  </si>
  <si>
    <t>GDC-0980 (RG7422)</t>
  </si>
  <si>
    <t>GDC-0980 (RG7422) is a potent, class I PI3K inhibitor for PI3Kα/β/δ/γ with IC50 of 5 nM/27 nM/7 nM/14 nM, respectively. Also a mTOR inhibitor with Ki of 17 nM, and highly selective versus others PIKK family kinases. Phase 2.</t>
  </si>
  <si>
    <t>SK04I06</t>
  </si>
  <si>
    <t>SAR131675</t>
  </si>
  <si>
    <t>SAR131675 is a VEGFR3 inhibitor with IC50/Ki of 23 nM/12 nM in cell-free assays, about 50- and 10-fold more selective for VEGFR3 than VEGFR1/2, little activity against Akt1, CDKs, PLK1, EGFR, IGF-1R, c-Met, Flt2 etc.</t>
  </si>
  <si>
    <t>SK04I07</t>
  </si>
  <si>
    <t>LY411575</t>
  </si>
  <si>
    <t>LY411575 is a potent γ-secretase inhibitor with IC50 of 0.078 nM/0.082 nM (membrane/cell-based), also inhibits Notch clevage with withIC50 of 0.39 nM.</t>
  </si>
  <si>
    <t>SK04I08</t>
  </si>
  <si>
    <t>BML-190</t>
  </si>
  <si>
    <t>BML-190 is a selective cannabinoid CB2 receptor inverse agonist with Ki of 435 nM, with 50-fold selectivity over CB1 receptor.</t>
  </si>
  <si>
    <t>SK04I09</t>
  </si>
  <si>
    <t>Dacomitinib (PF299804, PF299)</t>
  </si>
  <si>
    <t>PF-299804 is a potent, irreversible pan-ErbB inhibitor, mostly to EGFR with IC50 of 6 nM, effective against NSCLCs with EGFR or ERBB2 mutations (resistant to gefitinib) as well as those harboring the EGFR T790M mutation. Phase 2.</t>
  </si>
  <si>
    <t>SK04I10</t>
  </si>
  <si>
    <t>VU 0364770</t>
  </si>
  <si>
    <t>VU 0364770 is a positive allosteric modulator(PAM) of mGlu4 with EC50 of 1.1 μM, exhibits insignificant activity at 68 other receptors, including other mGlu subtypes.</t>
  </si>
  <si>
    <t>SK04I11</t>
  </si>
  <si>
    <t>PHA-767491</t>
  </si>
  <si>
    <t>PHA-767491 is a potent ATP-competitive dual Cdc7/CDK9 inhibitor with IC50 of 10 nM and 34 nM in cell-free assays, respectively.It displays ~20-fold selectivity against CDK1/2 and GSK3-β, 50-fold selectivity against MK2 and CDK5, 100-fold selectivity against PLK1 and CHK2.</t>
  </si>
  <si>
    <t>SK04I12</t>
  </si>
  <si>
    <t>GW5074</t>
  </si>
  <si>
    <t>GW5074 is a potent and selective c-Raf inhibitor with IC50 of 9 nM, no effect on the activities of JNK1/2/3, MEK1, MKK6/7, CDK1/2, c-Src, p38 MAP, VEGFR2 or c-Fms is noted.</t>
  </si>
  <si>
    <t>SK04I13</t>
  </si>
  <si>
    <t>Tivantinib (ARQ 197)</t>
  </si>
  <si>
    <t>Tivantinib (ARQ 197) is the first non-ATP-competitive &lt;b&gt;c-Met&lt;/b&gt; inhibitor with &lt;b&gt;K&lt;sub&gt;i&lt;/sub&gt;&lt;/b&gt; of 0.355 μM in a cell-free assay, little activity to Ron, and no inhibition to EGFR, InsR, PDGFRα or FGFR1/4. Phase 3.</t>
  </si>
  <si>
    <t>SK04I14</t>
  </si>
  <si>
    <t>PJ34</t>
  </si>
  <si>
    <t>PJ-34 is a PARP inhibitor with EC50 of 20 nM and is equally potent to PARP1/2.</t>
  </si>
  <si>
    <t>SK04I15</t>
  </si>
  <si>
    <t xml:space="preserve">Dovitinib (TKI-258) Dilactic Acid  </t>
  </si>
  <si>
    <t>Dovitinib Dilactic acid (TKI258 Dilactic acid) is the Dilactic acid of Dovitinib, which is a multitargeted RTK inhibitor, mostly for class III (FLT3/c-Kit) with IC50 of 1 nM/2 nM, also potent to class IV (FGFR1/3) and class V (VEGFR1-4) RTKs with IC50 of 8-13 nM, less potent to InsR, EGFR, c-Met, EphA2, Tie2, IGFR1 and HER2. Phase 4.</t>
  </si>
  <si>
    <t>SK04I16</t>
  </si>
  <si>
    <t>MLN0905</t>
  </si>
  <si>
    <t>MLN0905 is a potent inhibitor of &lt;b&gt;PLK1&lt;/b&gt; with &lt;b&gt;IC50&lt;/b&gt; of 2 nM.</t>
  </si>
  <si>
    <t>SK04I17</t>
  </si>
  <si>
    <t>GW842166X</t>
  </si>
  <si>
    <t>GW842166X is a potent and highly selective agonist of cannabinoid receptor CB2 receptor with EC50 of 63 nM, shows no significant activity at CB1 receptor. Phase 2.</t>
  </si>
  <si>
    <t>SK04I18</t>
  </si>
  <si>
    <t>Ki16198</t>
  </si>
  <si>
    <t>Ki16198 is the methyl ester of Ki16425, which is a LPA antagonist and inhibits LPA1- and LPA3-induced inositol phosphate production with Ki of 0.34 μM and 0.93 μM, respectively, shows weaker inhibition for LPA2, no activity at LPA4, LPA5, LPA6.</t>
  </si>
  <si>
    <t>SK04I19</t>
  </si>
  <si>
    <t>Tofacitinib (CP-690550,Tasocitinib)</t>
  </si>
  <si>
    <t>Tofacitinib is a novel inhibitor of JAK3 with IC50 of 1 nM, 20- to 100-fold less potent against JAK2 and JAK1.</t>
  </si>
  <si>
    <t>SK04I20</t>
  </si>
  <si>
    <t>ML161</t>
  </si>
  <si>
    <t>ML-161 is an allosteric inhibitor of PAR1 with IC50 of 0.26 μM.</t>
  </si>
  <si>
    <t>SK04I21</t>
  </si>
  <si>
    <t>AZD4547</t>
  </si>
  <si>
    <t>AZD4547 is a novel selective FGFR inhibitor targeting FGFR1/2/3 with IC50 of 0.2 nM/2.5 nM/1.8 nM, weaker activity against FGFR4, VEGFR2(KDR), and little activity observed against IGFR, CDK2, and p38. Phase 1/2.</t>
  </si>
  <si>
    <t>SK04I22</t>
  </si>
  <si>
    <t>TDZD-8</t>
  </si>
  <si>
    <t>TDZD-8 is a non-ATP competitive &lt;b&gt;GSK-3β&lt;/b&gt; inhibitor with &lt;b&gt;IC50&lt;/b&gt; of 2 μM; minimal inhibitory effect observed on CDK1, casein kinase II, PKA and PKC.</t>
  </si>
  <si>
    <t>SK04I23</t>
  </si>
  <si>
    <t>SK04I24</t>
  </si>
  <si>
    <t>SK04J01</t>
  </si>
  <si>
    <t>Paroxetine HCl</t>
  </si>
  <si>
    <t>Paroxetine is an antidepressant drug of the SSRI type.</t>
  </si>
  <si>
    <t>SK04J02</t>
  </si>
  <si>
    <t>Adrenalone HCl</t>
  </si>
  <si>
    <t>Adrenalone is an adrenergic agonist used as a topical vasoconstrictor and hemostatic, mainly acts on alpha-1 adrenergic receptors.</t>
  </si>
  <si>
    <t>SK04J03</t>
  </si>
  <si>
    <t xml:space="preserve">Cabazitaxel </t>
  </si>
  <si>
    <t>Cabazitaxel (XRP6258) is a semi-synthetic derivative of a natural taxoid.</t>
  </si>
  <si>
    <t>SK04J04</t>
  </si>
  <si>
    <t>Triflusal</t>
  </si>
  <si>
    <t>Triflusal irreversibly inhibits the production of thromboxane-B2 in platelets by acetylating cycloxygenase-1.</t>
  </si>
  <si>
    <t>SK04J05</t>
  </si>
  <si>
    <t>Vildagliptin (LAF-237)</t>
  </si>
  <si>
    <t>Vildagliptin (LAF-237) inhibits DPP−4 with IC50 of 2.3 nM.</t>
  </si>
  <si>
    <t>SK04J06</t>
  </si>
  <si>
    <t>Betulinic acid</t>
  </si>
  <si>
    <t>Betulinic acid, a pentacyclic triterpenoid from Syzigium claviflorum, is a inhibitor of HIV-1 with EC50 of 1.4 &amp;mu; M.</t>
  </si>
  <si>
    <t>SK04J07</t>
  </si>
  <si>
    <t>Azilsartan</t>
  </si>
  <si>
    <t>Azilsartan is an angiotensin II type 1 (AT1) receptor antagonist with IC50 of 2.6 nM.</t>
  </si>
  <si>
    <t>SK04J08</t>
  </si>
  <si>
    <t>Pentamidine</t>
  </si>
  <si>
    <t>Pentamidine is an inhibitor of &lt;i&gt;PRL Phosphatases&lt;/i&gt; and also inhibits synthesis of DNA, RNA and protein.</t>
  </si>
  <si>
    <t>SK04J09</t>
  </si>
  <si>
    <t>Epinephrine HCl</t>
  </si>
  <si>
    <t>Epinephrine HCl is a hormone and a neurotransmitter.</t>
  </si>
  <si>
    <t>SK04J10</t>
  </si>
  <si>
    <t>Allylthiourea</t>
  </si>
  <si>
    <t>Allylthiourea is a metabolic inhibitor that selective inhibits ammonia oxidation.</t>
  </si>
  <si>
    <t>SK04J11</t>
  </si>
  <si>
    <t>Caspofungin Acetate</t>
  </si>
  <si>
    <t>Caspofungin acetate is a lipopeptide antifungal drug.</t>
  </si>
  <si>
    <t>SK04J12</t>
  </si>
  <si>
    <t>Hydroxyzine 2HCl</t>
  </si>
  <si>
    <t>Hydroxyzine is a histamine H1-receptor antagonist, inhibits binding of [3H]pyrilamine/[3H]desloratadine to human histamine H1 receptor with IC50 of 10 nM/19 nM.</t>
  </si>
  <si>
    <t>SK04J13</t>
  </si>
  <si>
    <t>2-Thiouracil</t>
  </si>
  <si>
    <t>2-Thiouracil is a thiolated uracil derivative that is a known antihyperthyroid agent.</t>
  </si>
  <si>
    <t>SK04J14</t>
  </si>
  <si>
    <t>Olsalazine Sodium</t>
  </si>
  <si>
    <t>Olsalazine Sodium is a anti-inflammatory prodrug, which consists of two 5-ASA moieties linked by an azo bond.</t>
  </si>
  <si>
    <t>SK04J15</t>
  </si>
  <si>
    <t>Ornidazole</t>
  </si>
  <si>
    <t>Ornidazole is a 5-nitroimidazole derivative with antiprotozoal and antibacterial properties against anaerobic bacteria.</t>
  </si>
  <si>
    <t>SK04J16</t>
  </si>
  <si>
    <t>Valdecoxib</t>
  </si>
  <si>
    <t>Valdecoxib is a potent and selective inhibitor of COX-2 with IC50 of 5 nM.</t>
  </si>
  <si>
    <t>SK04J17</t>
  </si>
  <si>
    <t xml:space="preserve">Methenamine </t>
  </si>
  <si>
    <t>Methenamine is an antibiotic used for the treatment of urinary tract infection.</t>
  </si>
  <si>
    <t>SK04J18</t>
  </si>
  <si>
    <t>Sodium Nitroprusside</t>
  </si>
  <si>
    <t>Sodium Nitroprusside is a potent vasodilator working through releasing NO spontaneously in blood.</t>
  </si>
  <si>
    <t>SK04J19</t>
  </si>
  <si>
    <t>Mepivacaine HCl</t>
  </si>
  <si>
    <t>Mepivacaine is a tertiary amine used as a local anesthetic.</t>
  </si>
  <si>
    <t>SK04J20</t>
  </si>
  <si>
    <t>Guanidine HCl</t>
  </si>
  <si>
    <t>Guanidine HCl, the crystalline compound of strong alkalinity formed by the oxidation of guanine, is a normal product of protein metabolism and a protein denaturant.</t>
  </si>
  <si>
    <t>SK04J21</t>
  </si>
  <si>
    <t>Antipyrine</t>
  </si>
  <si>
    <t>Antipyrine is an analgesic and antipyretic agent.</t>
  </si>
  <si>
    <t>SK04J22</t>
  </si>
  <si>
    <t>Mefenamic Acid</t>
  </si>
  <si>
    <t>Mefenamic acid is a competitive inhibitor of COX-1 and COX-2.</t>
  </si>
  <si>
    <t>SK04J23</t>
  </si>
  <si>
    <t>SK04J24</t>
  </si>
  <si>
    <t>SK04K01</t>
  </si>
  <si>
    <t>Ibrutinib (PCI-32765)</t>
  </si>
  <si>
    <t>Ibrutinib is a potent and highly selective Btk inhibitor with IC50 of 0.5 nM, modestly potent to Bmx, CSK, FGR, BRK, HCK, less potent to EGFR, Yes, ErbB2, JAK3, etc.</t>
  </si>
  <si>
    <t>SK04K02</t>
  </si>
  <si>
    <t>Ciproxifan</t>
  </si>
  <si>
    <t>Ciproxifan is a highly potent and selective histamin H3-receptor antagonist with IC50 of 9.2 nM, with low apparent affinity at other receptor subtypes.</t>
  </si>
  <si>
    <t>SK04K03</t>
  </si>
  <si>
    <t>WAY-600</t>
  </si>
  <si>
    <t xml:space="preserve">WAY-600 is a potent, ATP-competitive and selective inhibitor of mTOR with IC50 of 9 nM; blocks mTORC1/P-S6K(T389) and mTORC2/P-AKT(S473) but not P-AKT(T308); selective for mTOR than PI3Kα (&gt;100-fold) and PI3Kγ (&gt;500-fold). </t>
  </si>
  <si>
    <t>SK04K04</t>
  </si>
  <si>
    <t>OC000459</t>
  </si>
  <si>
    <t>OC000459 is a potent and selective D prostanoid receptor 2 (DP2) antagonist with IC50 of 13 nM.</t>
  </si>
  <si>
    <t>SK04K05</t>
  </si>
  <si>
    <t>A-769662</t>
  </si>
  <si>
    <t>A-769662 is a potent, reversible AMPK activator with EC50of 0.8 μM, little effect on GPPase/FBPase activity.</t>
  </si>
  <si>
    <t>SK04K06</t>
  </si>
  <si>
    <t>BI-D1870</t>
  </si>
  <si>
    <t>BI-D1870 is an ATP-competitive inhibitor of S6 ribosome for RSK1/2/3/4 with IC50 of 31 nM/24 nM/18 nM/15 nM, respectively; 10- to 100-fold selectivity for RSK than MST2, GSK-3β, MARK3, CK1 and Aurora B.</t>
  </si>
  <si>
    <t>SK04K07</t>
  </si>
  <si>
    <t>CP-91149</t>
  </si>
  <si>
    <t>CP-91149 is a selective glycogen phosphorylase (GP) inhibitor with IC50 of 0.13 μM in the presence of glucose, 5- to 10-fold less potent in the absence of glucose.</t>
  </si>
  <si>
    <t>SK04K08</t>
  </si>
  <si>
    <t>MRS 2578</t>
  </si>
  <si>
    <t>MRS2578 is a potent P2Y6 receptor antagonist with IC50 of 37 nM, exhibits insignificant activity at P2Y1, P2Y2, P2Y4,and P2Y11 receptors.</t>
  </si>
  <si>
    <t>SK04K09</t>
  </si>
  <si>
    <t>AG-1478 (Tyrphostin AG-1478)</t>
  </si>
  <si>
    <t>AG-1478 (Tyrphostin AG-1478) is a selective EGFR inhibitor with IC50 of 3 nM, almost no activity on HER2-Neu, PDGFR, Trk, Bcr-Abl and InsR.</t>
  </si>
  <si>
    <t>SK04K10</t>
  </si>
  <si>
    <t>ML130 (Nodinitib-1)</t>
  </si>
  <si>
    <t>ML130 is a potent and selective inhibitor of NOD1 with IC50 of 0.56 μM, inhibits NF-κB activation, exhibits 36-fold selectivity over NOD2.</t>
  </si>
  <si>
    <t>SK04K11</t>
  </si>
  <si>
    <t>PF-04691502</t>
  </si>
  <si>
    <t>PF-04691502 is an ATP-competitive PI3K(α/β/δ/γ)/mTOR dual inhibitor with Ki of 1.8 nM/2.1 nM/1.6 nM/1.9 nM and 16 nM, little activity against either Vps34, AKT, PDK1, p70S6K, MEK, ERK, p38, or JNK. Phase 2.</t>
  </si>
  <si>
    <t>SK04K12</t>
  </si>
  <si>
    <t>Camostat Mesilate</t>
  </si>
  <si>
    <t>Camostat is a trypsin-like protease inhibitor, inhibits airway epithelial sodium channel (ENaC) function with IC50 of 50 nM, less potent to trpsin, prostasin and matriptase.</t>
  </si>
  <si>
    <t>SK04K13</t>
  </si>
  <si>
    <t>Varlitinib</t>
  </si>
  <si>
    <t>ARRY334543 is a selective and potent ErbB1(EGFR) and ErbB2(HER2) inhibitor with IC50 of 7 nM and 2 nM, respectively. Phase 2.</t>
  </si>
  <si>
    <t>SK04K14</t>
  </si>
  <si>
    <t>PF-562271</t>
  </si>
  <si>
    <t>PF-562271 is a potent, ATP-competitive, reversible inhibitor of FAK with IC50 of 1.5 nM, ~10-fold less potent for Pyk2 than FAK and &gt;100-fold selectivity against other protein kinases, except for some CDKs.</t>
  </si>
  <si>
    <t>SK04K15</t>
  </si>
  <si>
    <t>MK-5108 (VX-689)</t>
  </si>
  <si>
    <t>MK-5108 (VX-689) is a highly selective Aurora A inhibitor with IC50 of 0.064 nM and is 220- and 190-fold more selective for Aurora A than Aurora B/C, while it inhibits TrkA with less than 100-fold selectivity. Phase 1.</t>
  </si>
  <si>
    <t>SK04K16</t>
  </si>
  <si>
    <t>GNF-2</t>
  </si>
  <si>
    <t>GNF-2 is a highly selective non-ATP competitive inhibitor of Bcr-Abl, shows no activity to Flt3-ITD, Tel-PDGFR, TPR-MET and Tel-JAK1 transformed tumor cells.</t>
  </si>
  <si>
    <t>SK04K17</t>
  </si>
  <si>
    <t>M344</t>
  </si>
  <si>
    <t>M344 is a potent HDAC inhibitor with IC50 of 100 nM and able to induce cell differentiation.</t>
  </si>
  <si>
    <t>SK04K18</t>
  </si>
  <si>
    <t>Pirfenidone</t>
  </si>
  <si>
    <t>Pirfenidone is an inhibitor for TGF-β production and TGF-β stimulated collagen production, reduces production of TNF-α and IL-1β, and also has anti-fibrotic and anti-inflammatory properties. Phase 3.</t>
  </si>
  <si>
    <t>SK04K19</t>
  </si>
  <si>
    <t>Istradefylline</t>
  </si>
  <si>
    <t>Istradefylline is a selective adenosine A2A receptor (A2AR) antagonist with Ki of 2.2 nM.</t>
  </si>
  <si>
    <t>SK04K20</t>
  </si>
  <si>
    <t>HC-030031</t>
  </si>
  <si>
    <t>HC-030031 is a selective TRPA1 channel blocker that antagonizes AITC- and formalin-evoked calcium influx with IC50 of 6.2 μM and 5.3 μM respectively.</t>
  </si>
  <si>
    <t>SK04K21</t>
  </si>
  <si>
    <t>Galeterone</t>
  </si>
  <si>
    <t>Galeterone is a selective CYP17 inhibitor and androgen receptor (AR) antagonist with IC50 of 300 nM and 384 nM, respectively, and is a potent inhibitor of human prostate tumor growth. Phase 2.</t>
  </si>
  <si>
    <t>SK04K22</t>
  </si>
  <si>
    <t>Apoptosis Activator 2</t>
  </si>
  <si>
    <t>Apoptosis Activator 2 strongly induces caspase-3 activation, PARP cleavage, and DNA fragmentation which leads to the destruction of cells (Apaf-1 dependent) with IC50 of ~4 μM, inactive to HMEC, PREC, or MCF-10A cells.</t>
  </si>
  <si>
    <t>SK04K23</t>
  </si>
  <si>
    <t>SK04K24</t>
  </si>
  <si>
    <t>SK04L01</t>
  </si>
  <si>
    <t>Zaltoprofen</t>
  </si>
  <si>
    <t>Zaltoprofen is an inhibitor of Cox-1 and Cox-2 for treatment of arthritis.</t>
  </si>
  <si>
    <t>SK04L02</t>
  </si>
  <si>
    <t>Azatadine dimaleate</t>
  </si>
  <si>
    <t>Azatadine is an histamine and cholinergic inhibitor with IC50 of 6.5 nM and 10 nM, respectively.</t>
  </si>
  <si>
    <t>SK04L03</t>
  </si>
  <si>
    <t>Bufexamac</t>
  </si>
  <si>
    <t>Bufexamac is a COX inhibitor for IFN-α release with EC50 of 8.9 μM.</t>
  </si>
  <si>
    <t>SK04L04</t>
  </si>
  <si>
    <t>Trifluoperazine 2HCl</t>
  </si>
  <si>
    <t>Trifluoperazine is a dopamine D2 receptor inhibitor with IC50 of 1.1 nM.</t>
  </si>
  <si>
    <t>SK04L05</t>
  </si>
  <si>
    <t>Sitaxentan sodium</t>
  </si>
  <si>
    <t>Sitaxentan sodium is a selective endothelin A receptor (ETA) antagonist with IC50 and Ki of 1.4 nM and 0.43 nM, respectively, exhibits 7000-fold selectivity over ETB. Phase 3.</t>
  </si>
  <si>
    <t>SK04L06</t>
  </si>
  <si>
    <t>Triptolide (PG490)</t>
  </si>
  <si>
    <t xml:space="preserve">Triptolide is a diterpene triepoxide, immunosuppresive agent extracted from the Chinese herb Tripterygium wilfordii. </t>
  </si>
  <si>
    <t>SK04L07</t>
  </si>
  <si>
    <t>Otilonium Bromide</t>
  </si>
  <si>
    <t>Otilonium bromide is an antimuscarinic.</t>
  </si>
  <si>
    <t>SK04L08</t>
  </si>
  <si>
    <t>Mirabegron</t>
  </si>
  <si>
    <t>Mirabegron is a selective β3-adrenoceptor agonist with EC50 of 22.4 nM.</t>
  </si>
  <si>
    <t>SK04L09</t>
  </si>
  <si>
    <t>Diclofenac Potassium</t>
  </si>
  <si>
    <t>Diclofenac potassium is a nonsteroidal anti-inflammatory drug taken to reduce inflammation and as an analgesic reducing pain in certain conditions.</t>
  </si>
  <si>
    <t>SK04L10</t>
  </si>
  <si>
    <t>Avanafil</t>
  </si>
  <si>
    <t>Avanafil is a highly selective PDE5 inhibitor with IC50 of 1 nM.</t>
  </si>
  <si>
    <t>SK04L11</t>
  </si>
  <si>
    <t>Dexmedetomidine</t>
  </si>
  <si>
    <t>Dexmedetomidine is a sedative medication used by intensive care units and anesthetists.</t>
  </si>
  <si>
    <t>SK04L12</t>
  </si>
  <si>
    <t>Aclidinium Bromide</t>
  </si>
  <si>
    <t>Aclidinium Bromide inhibits human muscarinic AChR M1, M2, M3, M4 and M5 with Ki of 0.1 nM, 0.14 nM, 0.14 nM, 0.21 nM and 0.16 nM, respectively.</t>
  </si>
  <si>
    <t>SK04L13</t>
  </si>
  <si>
    <t>Moguisteine</t>
  </si>
  <si>
    <t>Moguisteine is a novel peripheral non-narcotic antitussive drug.</t>
  </si>
  <si>
    <t>SK04L14</t>
  </si>
  <si>
    <t>Nafcillin Sodium</t>
  </si>
  <si>
    <t>Nafcillin sodium reversibly inhibits β-lactamase with Kd of 33 mM.</t>
  </si>
  <si>
    <t>SK04L15</t>
  </si>
  <si>
    <t>Dexamethasone Acetate</t>
  </si>
  <si>
    <t>Dexamethasone is a potent synthetic member of the glucocorticoid class of steroid drugs, and an &lt;b&gt;interleukin receptor&lt;/b&gt; modulator  that has anti-inflammatory and immunosuppressant effects.</t>
  </si>
  <si>
    <t>SK04L16</t>
  </si>
  <si>
    <t>Valganciclovir HCl</t>
  </si>
  <si>
    <t xml:space="preserve">Valganciclovir HCl is a prodrug for ganciclovir with antiviral activity used to treat cytomegalovirus infections. </t>
  </si>
  <si>
    <t>SK04L17</t>
  </si>
  <si>
    <t>Milnacipran HCl</t>
  </si>
  <si>
    <t>Milnacipran inhibits both norepinephrine transporter (NET) and norepinephrine transporter (SERT) with IC50 of 77 nM and 420 nM, respectively.</t>
  </si>
  <si>
    <t>SK04L18</t>
  </si>
  <si>
    <t>Erythromycin Ethylsuccinate</t>
  </si>
  <si>
    <t>Erythromycin Ethylsuccinate, an oral macrolide antibiotic produced by &lt;i&gt;Streptomyces erythreus&lt;/i&gt;, reversibly binds to the &lt;b&gt;50S ribosome&lt;/b&gt; of bacteria, and inhibits protein synthesis.</t>
  </si>
  <si>
    <t>SK04L19</t>
  </si>
  <si>
    <t>Ethynodiol diacetate</t>
  </si>
  <si>
    <t>Ethynodiol diacetate is one of the first synthetic progestogens used in contraceptive pills.</t>
  </si>
  <si>
    <t>SK04L20</t>
  </si>
  <si>
    <t>Griseofulvin</t>
  </si>
  <si>
    <t>Griseofulvin, a production from some strains of the mold Penicillium griseofulvumam, is able to inhibit cell mitosis by interfering with microtubule function.</t>
  </si>
  <si>
    <t>SK04L21</t>
  </si>
  <si>
    <t>Atomoxetine HCl</t>
  </si>
  <si>
    <t>Atomoxetine is a selective norepinephrine (NE) transporter inhibitor with Ki of 5 nM, with 15- and 290-fold lower affinity for human 5-HT and DA transporters.Phase 4.</t>
  </si>
  <si>
    <t>SK04L22</t>
  </si>
  <si>
    <t>Ticagrelor</t>
  </si>
  <si>
    <t>Ticagrelor is the first reversibly binding oral P2Y12 receptor antagonist, also inhibits CYP2C9 and 4-hydroxylation with IC50 of 10.5 μM and 8.2 μM respectively.</t>
  </si>
  <si>
    <t>SK04L23</t>
  </si>
  <si>
    <t>SK04L24</t>
  </si>
  <si>
    <t>SK04M01</t>
  </si>
  <si>
    <t>AS-604850</t>
  </si>
  <si>
    <t>AS-604850 is a selective, ATP-competitive PI3Kγ inhibitor with IC50 of 250 nM, over 80-fold selectivity for PI3Kγ than PI3Kδ/β, and 18-fold more selective for PI3Kγ than PI3Kα.</t>
  </si>
  <si>
    <t>SK04M02</t>
  </si>
  <si>
    <t>BYL719</t>
  </si>
  <si>
    <t>BYL719 is a potent and selective PI3Kα inhibitor with IC50 of 5 nM, and minimal effect on PI3Kβ/γ/δ. Phase 1/2.</t>
  </si>
  <si>
    <t>SK04M03</t>
  </si>
  <si>
    <t>ADX-47273</t>
  </si>
  <si>
    <t>ADX47273 is a potent and specific mGlu5 positive allosteric modulator(PAM) with EC50 of 0.17 μM, showing no activity at other mGlu subtypes.</t>
  </si>
  <si>
    <t>SK04M04</t>
  </si>
  <si>
    <t>TPCA-1</t>
  </si>
  <si>
    <t>TPCA-1 is an inhibitor of IKK-2 with IC50 of 17.9 nM, inhibits NF-κB pathway, exhibits 22-fold selectivity over IKK-1.</t>
  </si>
  <si>
    <t>SK04M05</t>
  </si>
  <si>
    <t>RS-127445</t>
  </si>
  <si>
    <t>RS-127445 is a selective 5-HT2B receptor antagonist with pKi of 9.5 and pIC50 of 10.4, exhibits &gt;1000-fold selectivity against other 5-HT receptors.</t>
  </si>
  <si>
    <t>SK04M06</t>
  </si>
  <si>
    <t>Semaxanib (SU5416)</t>
  </si>
  <si>
    <t>Semaxanib (SU5416) is a potent and selective VEGFR(Flk-1/KDR) inhibitor with IC50 of 1.23 μM, 20-fold more selective for VEGFR than PDGFRβ, lack of activity against EGFR, InsR and FGFR. Phase 3.</t>
  </si>
  <si>
    <t>SK04M07</t>
  </si>
  <si>
    <t>TAK-901</t>
  </si>
  <si>
    <t>TAK-901 is a novel inhibitor of Aurora A/B with IC50 of 21 nM/15 nM. It is not a potent inhibitor of cellular JAK2, c-Src or Abl. Phase 1.</t>
  </si>
  <si>
    <t>SK04M08</t>
  </si>
  <si>
    <t>SB271046</t>
  </si>
  <si>
    <t>SB271046 is a potent, selective and orally active 5-HT6 receptor antagonist with pKi of 8.9, exhibits 200-fold greater selectivity over other 5-HT receptor subtypes.</t>
  </si>
  <si>
    <t>SK04M09</t>
  </si>
  <si>
    <t>SB415286</t>
  </si>
  <si>
    <t>SB415286 is a potent GSK3α inhibitor with IC50/Ki of 78 nM/31 nM with equally effective inhibition of GSK-3β.</t>
  </si>
  <si>
    <t>SK04M10</t>
  </si>
  <si>
    <t>IMD 0354</t>
  </si>
  <si>
    <t>IMD-0354 is an IKKβ inhibitor and blocks IκBα phosphorylation in NF-κB pathway.</t>
  </si>
  <si>
    <t>SK04M11</t>
  </si>
  <si>
    <t>AZ 628</t>
  </si>
  <si>
    <t>AZ628 is a new pan-Raf inhibitor for BRAF, BRAFV600E, and c-Raf-1 with IC50 of 105 nM, 34 nM and 29 nM, also inhibits VEGFR2, DDR2, Lyn, Flt1, FMS, etc.</t>
  </si>
  <si>
    <t>SK04M12</t>
  </si>
  <si>
    <t>Prucalopride</t>
  </si>
  <si>
    <t>Prucalopride is a selective, high affinity 5-HT receptor agonist for 5-HT4A and 5-HT4B receptor with Ki of 2.5 nM and 8 nM, respectively, exhibits &gt;290-fold selectivity against other 5-HT receptor subtypes. Phase 3.</t>
  </si>
  <si>
    <t>SK04M13</t>
  </si>
  <si>
    <t>CUDC-907</t>
  </si>
  <si>
    <t>CUDC-907 is a dual PI3K and HDAC inhibitor for PI3Kα and HDAC1/2/3/10 with IC50 of 19 nM and 1.7 nM/5 nM/1.8 nM/2.8 nM, respectively. Phase 1.</t>
  </si>
  <si>
    <t>SK04M14</t>
  </si>
  <si>
    <t>GW441756</t>
  </si>
  <si>
    <t>GW441756 is a potent, selective inhibitor of &lt;b&gt;TrkA&lt;/b&gt; with &lt;b&gt;IC50&lt;/b&gt; of 2 nM, with very little activity to c-Raf1 and CDK2.</t>
  </si>
  <si>
    <t>SK04M15</t>
  </si>
  <si>
    <t>Dalcetrapib (JTT-705, RO4607381)</t>
  </si>
  <si>
    <t>Dalcetrapib (JTT-705) is a rhCETP inhibitor with IC50 of 0.2 μM that increases the plasma HDL cholesterol. Phase 3.</t>
  </si>
  <si>
    <t>SK04M16</t>
  </si>
  <si>
    <t>Cobicistat (GS-9350)</t>
  </si>
  <si>
    <t>Cobicistat (GS-9350) is a potent and selective inhibitor of CYP3A with IC50 of 30-285 nM.</t>
  </si>
  <si>
    <t>SK04M17</t>
  </si>
  <si>
    <t>RITA (NSC 652287)</t>
  </si>
  <si>
    <t>RITA (NSC 652287) induces both DNA-protein and DNA-DNA cross-links with no detectable DNA single-strand breaks, and also inhibits MDM2-p53 interaction by targeting p53.</t>
  </si>
  <si>
    <t>SK04M18</t>
  </si>
  <si>
    <t>Tempol</t>
  </si>
  <si>
    <t>TEMPOL is a superoxide scavenger that displays neuroprotective, anti-inflammatory and analgesic effects.</t>
  </si>
  <si>
    <t>SK04M19</t>
  </si>
  <si>
    <t>Sotrastaurin</t>
  </si>
  <si>
    <t>Sotrastaurin is a potent and selective pan-PKC inhibitor, mostly for PKCθ with Ki of 0.22 nM; inactive to PKCζ. Phase 1/2.</t>
  </si>
  <si>
    <t>SK04M20</t>
  </si>
  <si>
    <t>IOX2</t>
  </si>
  <si>
    <t>IOX2 is a potent inhibitor of HIF-1α prolyl hydroxylase-2 (PHD2) with IC50 of 21 nM, &gt;100-fold selectivity over JMJD2A, JMJD2C, JMJD2E, JMJD3, or the 2OG oxygenase FIH.</t>
  </si>
  <si>
    <t>SK04M21</t>
  </si>
  <si>
    <t>Sirtinol</t>
  </si>
  <si>
    <t>Sirtinol is a specific SIRT1 and SIRT2 inhibitor with IC50 of 131 μM and 38 μM, respectively.</t>
  </si>
  <si>
    <t>SK04M22</t>
  </si>
  <si>
    <t>TAK-715</t>
  </si>
  <si>
    <t>TAK-715 is a p38 MAPK inhibitor for p38α with IC50 of 7.1 nM, 28-fold more selective for p38α over p38β, no inhibition to p38γ/δ, JNK1, ERK1, IKKβ, MEKK1 or TAK1. Phase 2.</t>
  </si>
  <si>
    <t>SK04M23</t>
  </si>
  <si>
    <t>SK04M24</t>
  </si>
  <si>
    <t>SK04N01</t>
  </si>
  <si>
    <t>Pazopanib</t>
  </si>
  <si>
    <t>Pazopanib is a novel multi-target inhibitor of VEGFR1, VEGFR2, VEGFR3, PDGFR, FGFR, c-Kit and c-Fms with IC50 of 10 nM, 30 nM, 47 nM, 84 nM, 74 nM, 140 nM and 146 nM, respectively.</t>
  </si>
  <si>
    <t>SK04N02</t>
  </si>
  <si>
    <t>(+,-)-Octopamine HCl</t>
  </si>
  <si>
    <t>Octopamine (OA), a biogenic monoamine structurally related to noradrenaline, acts as a neurohormone, a neuromodulator and a neurotransmitter in invertebrates.</t>
  </si>
  <si>
    <t>SK04N03</t>
  </si>
  <si>
    <t>Lamotrigine</t>
  </si>
  <si>
    <t>Lamotrigine is a novel anticonvulsant drug for inhibition of 5-HT with IC50 of 240 μM and 474 μM in human platelets and rat brain synaptosomes, and also is a sodium channel blocker.</t>
  </si>
  <si>
    <t>SK04N04</t>
  </si>
  <si>
    <t>Catharanthine</t>
  </si>
  <si>
    <t>Catharanthine inhibits &lt;b&gt;nicotinic receptor&lt;/b&gt; mediated diaphragm contractions with &lt;b&gt;IC50&lt;/b&gt; of 59.6 μM.</t>
  </si>
  <si>
    <t>SK04N05</t>
  </si>
  <si>
    <t>Daunorubicin HCl</t>
  </si>
  <si>
    <t>Daunorubicin HCl inhibits both DNA and RNA synthesis and inhibits DNA synthesis with Ki of 0.02 μM.</t>
  </si>
  <si>
    <t>SK04N06</t>
  </si>
  <si>
    <t>Pergolide mesylate</t>
  </si>
  <si>
    <t>Pergolide mesylate is an antiparkinsonian agent which functions as a dopaminergic agonist.</t>
  </si>
  <si>
    <t>SK04N07</t>
  </si>
  <si>
    <t>Bosentan Hydrate</t>
  </si>
  <si>
    <t xml:space="preserve">Bosentan is an endothelin (ET) receptors antagonist for ET-A and ET-B with Ki of 4.7 nM and 95 nM, respectively. </t>
  </si>
  <si>
    <t>SK04N08</t>
  </si>
  <si>
    <t>Acebutolol HCl</t>
  </si>
  <si>
    <t>Acebutolol is a β-adrenergic receptors antagonist used in the treatment of hypertension, angina pectoris and cardiac arrhythmias.</t>
  </si>
  <si>
    <t>SK04N09</t>
  </si>
  <si>
    <t>Diclofenac Diethylamine</t>
  </si>
  <si>
    <t>Diclofenac diethylamine is a nonsteroidal anti-inflammatory drug taken to reduce inflammation and as an analgesic reducing pain in certain conditions.</t>
  </si>
  <si>
    <t>SK04N10</t>
  </si>
  <si>
    <t>Sodium Picosulfate</t>
  </si>
  <si>
    <t>Sodium Picosulfate inhibits absorption of water and electrolytes, and increases their secretion.</t>
  </si>
  <si>
    <t>SK04N11</t>
  </si>
  <si>
    <t>Foscarnet Sodium</t>
  </si>
  <si>
    <t>Foscarnet Sodium inhibits viral RNA polymerases, reverse transcriptase, and DNA polymerases through noncompetitive inhibition with dNTPs.</t>
  </si>
  <si>
    <t>SK04N12</t>
  </si>
  <si>
    <t>Diphemanil Methylsulfate</t>
  </si>
  <si>
    <t>Diphemanil Methylsulfate is a quaternary ammonium anticholinergic, it binds muscarinic acetycholine receptors (mAchR).</t>
  </si>
  <si>
    <t>SK04N13</t>
  </si>
  <si>
    <t xml:space="preserve">Nadifloxacin </t>
  </si>
  <si>
    <t>Nadifloxacin is a topical fluoroquinolone antibiotic for the treatment of acne vulgaris.</t>
  </si>
  <si>
    <t>SK04N14</t>
  </si>
  <si>
    <t>Tetrahydrozoline HCl</t>
  </si>
  <si>
    <t>Tetrahydrozoline HCl is an imidazoline derivative with alpha receptor agonist activity.</t>
  </si>
  <si>
    <t>SK04N15</t>
  </si>
  <si>
    <t>Trimethoprim</t>
  </si>
  <si>
    <t>Trimethoprim is a bacteriostatic antibiotic mainly used in the prophylaxis and treatment of urinary tract infections.</t>
  </si>
  <si>
    <t>SK04N16</t>
  </si>
  <si>
    <t>Nabumetone</t>
  </si>
  <si>
    <t>Nabumetone is a non-steroidal anti-inflammatory drug and its active metabolite inhibits the COX.</t>
  </si>
  <si>
    <t>SK04N17</t>
  </si>
  <si>
    <t>Darifenacin HBr</t>
  </si>
  <si>
    <t>Darifenacin is a selective M3 muscarinic receptor antagonist with pKi of 8.9.</t>
  </si>
  <si>
    <t>SK04N18</t>
  </si>
  <si>
    <t>Levobupivacaine HCl</t>
  </si>
  <si>
    <t xml:space="preserve">Levobupivacaine HCl, the pure S(-)-enantiomer of bupivacaine, is a reversible neuronal &lt;b&gt;sodium channel&lt;/b&gt; inhibitor, used as a long-acting local anesthetic.
</t>
  </si>
  <si>
    <t>SK04N19</t>
  </si>
  <si>
    <t>Sertaconazole nitrate</t>
  </si>
  <si>
    <t>Sertaconazole nitrate is a topical broad-spectrum antifungal that is developed to provide an additional agent for the treatment of superficial cutaneous and mucosal infections.</t>
  </si>
  <si>
    <t>SK04N20</t>
  </si>
  <si>
    <t>Decamethonium Bromide</t>
  </si>
  <si>
    <t>Decamethonium Bromide is a nicotinic AChR partial agonist and neuromuscular blocking agent.</t>
  </si>
  <si>
    <t>SK04N21</t>
  </si>
  <si>
    <t>Betahistine 2HCl</t>
  </si>
  <si>
    <t>Betahistine is a &lt;b&gt;histamine H3&lt;/b&gt; receptor inhibitor with &lt;b&gt;IC50&lt;/b&gt; of 1.9 μM.</t>
  </si>
  <si>
    <t>SK04N22</t>
  </si>
  <si>
    <t>Triamterene</t>
  </si>
  <si>
    <t>Triamterene blocks epithelial Na+ channel (ENaC) in a voltage-dependent manner with IC50 of 4.5 μM.</t>
  </si>
  <si>
    <t>SK04N23</t>
  </si>
  <si>
    <t>SK04N24</t>
  </si>
  <si>
    <t>SK04O01</t>
  </si>
  <si>
    <t>CAY10505</t>
  </si>
  <si>
    <t>CAY10505 is dehydroxyl of AS-252424, which is a PI3Kγ inhibitor with IC50 of 33 nM.</t>
  </si>
  <si>
    <t>SK04O02</t>
  </si>
  <si>
    <t>Tyrphostin AG 879</t>
  </si>
  <si>
    <t>Tyrphostin AG 879 potently inhibits HER2/ErbB2 with IC50 of 1 μM, 100- and 500-fold higher selective to ErbB2 than PDGFR and EGFR.</t>
  </si>
  <si>
    <t>SK04O03</t>
  </si>
  <si>
    <t>BMY 7378</t>
  </si>
  <si>
    <t>BMY 7378 is a multi-targeted inhibitor of α2C-adrenoceptor and α1D-adrenoceptor with pKi of 6.54 and 8.2, respectively, and acts as a mixed agonist and antagonist for 5-HT1A receptor with pKi of 8.3.</t>
  </si>
  <si>
    <t>SK04O04</t>
  </si>
  <si>
    <t>ML133 HCl</t>
  </si>
  <si>
    <t>ML133 is a selective potassium channel inhibitor for Kir2.1 with IC50 of 1.8 μM (pH 7.4) and 290 nM (pH 8.5), has no effect on Kir1.1 and weak activity for Kir4.1 and Kir7.1.</t>
  </si>
  <si>
    <t>SK04O05</t>
  </si>
  <si>
    <t>CH5132799</t>
  </si>
  <si>
    <t>CH5132799 inhibits class I PI3Ks, particularly PI3Kα with IC50 of 14 nM; less potent to PI3Kβδγ, while sensitive in PIK3CA mutations cell lines. Phase 1.</t>
  </si>
  <si>
    <t>SK04O06</t>
  </si>
  <si>
    <t>Cathepsin Inhibitor 1</t>
  </si>
  <si>
    <t xml:space="preserve">Cathepsin Inhibitor 1 is an inhibitor of Cathepsin (L, L2, S, K, B) with pIC50 of 7.9, 6.7, 6.0, 5.5 and 5.2, respectively. </t>
  </si>
  <si>
    <t>SK04O07</t>
  </si>
  <si>
    <t>AMG-900</t>
  </si>
  <si>
    <t>AMG 900 is a potent and highly selective pan-Aurora kinases inhibitor for Aurora A/B/C with IC50 of 5 nM/4 nM /1 nM. It is &gt;10-fold selective for Aurora kinases than p38α, Tyk2, JNK2, Met and Tie2. Phase 1.</t>
  </si>
  <si>
    <t>SK04O08</t>
  </si>
  <si>
    <t>MK-801 (Dizocilpine)</t>
  </si>
  <si>
    <t>Dizocilpine is a potent N-methyl-D-aspartate (NMDA) receptor antagonist with Ki of 30.5 nM.</t>
  </si>
  <si>
    <t>SK04O09</t>
  </si>
  <si>
    <t>Crenolanib (CP-868596)</t>
  </si>
  <si>
    <t>Crenolanib (CP-868596) is a potent and selective inhibitor of PDGFRα/β with Kd of 2.1 nM/3.2 nM, also potently inhibits FLT3, sensitive to D842V mutation not V561D mutation, &gt;100-fold more selective for PDGFR than c-Kit, VEGFR-2, TIE-2, FGFR-2, EGFR, erbB2, and Src.</t>
  </si>
  <si>
    <t>SK04O10</t>
  </si>
  <si>
    <t>VUF 10166</t>
  </si>
  <si>
    <t>VUF10166 is a novel, potent and competitive antagonist for 5-HT3A receptor with Ki of 0.04 nM, its affinity at 5-HT3AB receptor is significantly lower.</t>
  </si>
  <si>
    <t>SK04O11</t>
  </si>
  <si>
    <t>AMG-458</t>
  </si>
  <si>
    <t>AMG 458 is a potent c-Met inhibitor with Ki of 1.2 nM, ~350-fold selectivity for c-Met than VEGFR2 in cells.</t>
  </si>
  <si>
    <t>SK04O12</t>
  </si>
  <si>
    <t>(-)-MK 801 Maleate</t>
  </si>
  <si>
    <t>MK-801 is a potent, selective and non-competitive NMDA receptor antagonist with Kd of 37.2 nM in rat brain membranes.</t>
  </si>
  <si>
    <t>SK04O13</t>
  </si>
  <si>
    <t>Canagliflozin</t>
  </si>
  <si>
    <t>Canagliflozin is a highly potent and selective SGLT2 inhibitor for hSGLT2 with IC50 of 2.2 nM, exhibits 413-fold selectivity over hSGLT1.</t>
  </si>
  <si>
    <t>SK04O14</t>
  </si>
  <si>
    <t>VU 0361737</t>
  </si>
  <si>
    <t>VU 0361737 is a selective positive allosteric modulator (PAM) for mGlu4 receptor with EC50 of 240 nM and 110 nM at human and rat receptors, respectively, displays weak activity at mGlu5 and mGlu8 receptors, is inactive at mGlu1, mGlu2, mGlu3, mGlu6 and mGlu7 receptors, can penetrate into CNS.</t>
  </si>
  <si>
    <t>SK04O15</t>
  </si>
  <si>
    <t>SB705498</t>
  </si>
  <si>
    <t>SB705498 is a TRPV1 antagonist for hTRPV1, antagonizes capsaicin, acid, and heat activation of TRPV1 with IC50 of 3 nM, 0.1 nM and 6 nM, shows a degree of voltage dependence, exhibits &gt;100-fold selectivity for TRPV1 over TRPM8. Phase 2.</t>
  </si>
  <si>
    <t>SK04O16</t>
  </si>
  <si>
    <t>CCG 50014</t>
  </si>
  <si>
    <t>CCG 50014 is a potent and selective inhibitor of RGS4 with IC50 of 30 nM.</t>
  </si>
  <si>
    <t>SK04O17</t>
  </si>
  <si>
    <t>GW4064</t>
  </si>
  <si>
    <t>GW4064 is an agonist of farnesoid X receptor (FXR) with EC50 of 65 nM.</t>
  </si>
  <si>
    <t>SK04O18</t>
  </si>
  <si>
    <t>Go 6983</t>
  </si>
  <si>
    <t>Go 6983 is a pan-PKC inhibitor against for PKCα, PKCβ, PKCγ and PKCδ with IC50 of 7 nM, 7 nM, 6 nM and 10 nM, respectively; less potent to PKCζ and inactive to PKCμ.</t>
  </si>
  <si>
    <t>SK04O19</t>
  </si>
  <si>
    <t>Torcetrapib</t>
  </si>
  <si>
    <t>Torcetrapib is a CETP inhibitor with IC50 of 37 nM, elevates HDL-C and reduces nonHDL-C in plasma. Phase 3.</t>
  </si>
  <si>
    <t>SK04O20</t>
  </si>
  <si>
    <t>PF-4981517</t>
  </si>
  <si>
    <t>PF-4981517 is a potent and selective inhibitor of CYP3A4 (P450) with IC50 of 0.03 μM, exhibits &gt;500-fold selectivity over CYP3A5 and CYP3A7.</t>
  </si>
  <si>
    <t>SK04O21</t>
  </si>
  <si>
    <t>CEP-33779</t>
  </si>
  <si>
    <t>CEP33779 is a selective JAK2 inhibitor with IC50 of 1.8 nM, &gt;40- and &gt;800-fold versus JAK1 and TYK2.</t>
  </si>
  <si>
    <t>SK04O22</t>
  </si>
  <si>
    <t>Pifithrin-α (PFTα)</t>
  </si>
  <si>
    <t>Pifithrin-α is an inhibitor of p53, inhibiting p53-dependent transactivation of p53-responsive genes.</t>
  </si>
  <si>
    <t>SK04O23</t>
  </si>
  <si>
    <t>SK04O24</t>
  </si>
  <si>
    <t>SK04P01</t>
  </si>
  <si>
    <t>Amoxicillin</t>
  </si>
  <si>
    <t>Amoxicillin is a moderate-spectrum, bacteriolytic, β-lactam antibiotic used to treat bacterial infections caused by susceptible microorganisms.</t>
  </si>
  <si>
    <t>SK04P02</t>
  </si>
  <si>
    <t>Ropinirole HCl</t>
  </si>
  <si>
    <t>Ropinirole a selective dopamine D2 receptors inhibitor with IC50 of 29 nM.</t>
  </si>
  <si>
    <t>SK04P03</t>
  </si>
  <si>
    <t xml:space="preserve">PMSF </t>
  </si>
  <si>
    <t>PMSF is an irreversible serine/cysteine protease inhibitor.</t>
  </si>
  <si>
    <t>SK04P04</t>
  </si>
  <si>
    <t>Meptazinol HCl</t>
  </si>
  <si>
    <t>Meptazinol is a unique centrally active &lt;b&gt;opioid analgesic&lt;/b&gt;, which inhibits [&lt;sup&gt;3&lt;/sup&gt;H]dihydromorphine binding with &lt;b&gt;IC50&lt;/b&gt; of 58 nM.</t>
  </si>
  <si>
    <t>SK04P05</t>
  </si>
  <si>
    <t>Pravastatin sodium</t>
  </si>
  <si>
    <t>Pravastatin sodium is an HMG-CoA reductase inhibitor against sterol synthesis with IC50 of 5.6 μM.</t>
  </si>
  <si>
    <t>SK04P06</t>
  </si>
  <si>
    <t>Cabozantinib malate (XL184)</t>
  </si>
  <si>
    <t>Cabozantinib malate is the malate of Cabozantinib, a potent VEGFR2 inhibitor with IC50 of 0.035 nM and also inhibits c-Met, Ret, Kit, Flt-1/3/4, Tie2, and AXL with IC50 of 1.3 nM, 4 nM, 4.6 nM, 12 nM/11.3 nM/6 nM, 14.3 nM and 7 nM, respectively.</t>
  </si>
  <si>
    <t>SK04P07</t>
  </si>
  <si>
    <t>Rupatadine Fumarate</t>
  </si>
  <si>
    <t>Rupatadine is an inhibitor of PAFR and histamine (H1) receptor with Ki of 550 nM and 102 nM, respectively. Phase 2.</t>
  </si>
  <si>
    <t>SK04P08</t>
  </si>
  <si>
    <t>Ampiroxicam</t>
  </si>
  <si>
    <t>Ampiroxicam is a nonselective cyclooxygenase inhibitor uesd as anti-inflammatory drug.</t>
  </si>
  <si>
    <t>SK04P09</t>
  </si>
  <si>
    <t>Ambroxol HCl</t>
  </si>
  <si>
    <t>AmbroxolHCl is a potent inhibitor of the neuronal Na+ channels, inhibits TTX-resistant Na+ currents with IC50 of 35.2 μM and 22.5 μM for tonic and phasic block, inhibits TTX-sensitive Na+ currents with IC50 of 100 μM. Phase 3.</t>
  </si>
  <si>
    <t>SK04P10</t>
  </si>
  <si>
    <t>Tolcapone</t>
  </si>
  <si>
    <t>Tolcapone is a selective, potent and reversible of catechol-O-methyl transferase (COMT) inhibitor with Ki of 30 nM.</t>
  </si>
  <si>
    <t>SK04P11</t>
  </si>
  <si>
    <t>Beclomethasone dipropionate</t>
  </si>
  <si>
    <t>Beclomethasone dipropionate  is a potent glucocorticoid steroid used for the treatment of rhinitis and sinusitis.</t>
  </si>
  <si>
    <t>SK04P12</t>
  </si>
  <si>
    <t xml:space="preserve">Vitamin D2 </t>
  </si>
  <si>
    <t>Vitamin D2 is a selective inhibitors of mammalian DNA polymerase A (pol A) with IC50 of 123 mM.</t>
  </si>
  <si>
    <t>SK04P13</t>
  </si>
  <si>
    <t>Pidotimod</t>
  </si>
  <si>
    <t>Pidotimod is an immunostimulant.</t>
  </si>
  <si>
    <t>SK04P14</t>
  </si>
  <si>
    <t>Toltrazuril</t>
  </si>
  <si>
    <t>Toltrazuril is an antiprotozoal agent that acts upon Coccidia parasites.</t>
  </si>
  <si>
    <t>SK04P15</t>
  </si>
  <si>
    <t>Biotin (Vitamin B7)</t>
  </si>
  <si>
    <t>Biotin is a water-soluble B-vitamin and is necessary for cell growth, the production of fatty acids, and the metabolism of fats and amino acids.</t>
  </si>
  <si>
    <t>SK04P16</t>
  </si>
  <si>
    <t>Sertraline HCl</t>
  </si>
  <si>
    <t>Sertraline HCl is a 5-HT antagonist with Ki of 13 nM.</t>
  </si>
  <si>
    <t>SK04P17</t>
  </si>
  <si>
    <t>Entacapone</t>
  </si>
  <si>
    <t>Entacapone inhibits catechol-O-methyltransferase(COMT) with IC50 of 151 nM.</t>
  </si>
  <si>
    <t>SK04P18</t>
  </si>
  <si>
    <t>Ronidazole</t>
  </si>
  <si>
    <t>Ronidazole is an antiprotozoal agent.</t>
  </si>
  <si>
    <t>SK04P19</t>
  </si>
  <si>
    <t>Tylosin tartrate</t>
  </si>
  <si>
    <t>Tylosin tartrate is a macrolide antibiotic approved for the control of mycoplasmosis in poultry.</t>
  </si>
  <si>
    <t>SK04P20</t>
  </si>
  <si>
    <t>Sodium 4-Aminosalicylate</t>
  </si>
  <si>
    <t>Sodium 4-Aminosalicylate is an antibiotic used to treat tuberculosis via NF-κB inhibition and free radical scavenging.</t>
  </si>
  <si>
    <t>SK04P21</t>
  </si>
  <si>
    <t>Brinzolamide</t>
  </si>
  <si>
    <t>Brinzolamide is a potent carbonic anhydrase II inhibitor with IC50 of 3.19 nM.</t>
  </si>
  <si>
    <t>SK04P22</t>
  </si>
  <si>
    <t>Sulfacetamide Sodium</t>
  </si>
  <si>
    <t>Sulfacetamide Sodium is an anti-biotic.</t>
  </si>
  <si>
    <t>SK04P23</t>
  </si>
  <si>
    <t>SK04P24</t>
  </si>
  <si>
    <t>SK05A01</t>
  </si>
  <si>
    <t>Spiramycin</t>
  </si>
  <si>
    <t>Spiramycin is a 16-membered ring macrolide (antibiotic).</t>
  </si>
  <si>
    <t>SK05A02</t>
  </si>
  <si>
    <t>Florfenicol</t>
  </si>
  <si>
    <t>Florfenicol is a fluorinated synthetic analog of thiamphenicol with broad-spectrum, primarily bacteriostatic activity.</t>
  </si>
  <si>
    <t>SK05A03</t>
  </si>
  <si>
    <t>Pramoxine HCl</t>
  </si>
  <si>
    <t>Pramoxine is a topical local anesthetic that has been shown to have antipruritic properties.</t>
  </si>
  <si>
    <t>SK05A04</t>
  </si>
  <si>
    <t>Chlorocresol</t>
  </si>
  <si>
    <t>Chlorocresol is an activator of ryanodine receptor</t>
  </si>
  <si>
    <t>SK05A05</t>
  </si>
  <si>
    <t>Eprosartan Mesylate</t>
  </si>
  <si>
    <t>Eprosartan is a nonpeptide angiotensin II receptor antagonist, [3H]-eprosartan binds to the AT1 receptor with KD of 0.83 nM in rat vascular smooth muscle cells.</t>
  </si>
  <si>
    <t>SK05A06</t>
  </si>
  <si>
    <t>Azaperone</t>
  </si>
  <si>
    <t>Azaperone is a pyridinylpiperazine and butyrophenone neuroleptic drug with sedative and antiemetic effects, which is used mainly as a tranquilizer in veterinary medicine.</t>
  </si>
  <si>
    <t>SK05A07</t>
  </si>
  <si>
    <t>Desvenlafaxine Succinate</t>
  </si>
  <si>
    <t>Desvenlafaxine Succinate is a new serotonin (5-HT) transporter and norepinephrine (NE) transporter reuptake inhibitor with Ki of 40.2 nM and 558.4 nM respectively.</t>
  </si>
  <si>
    <t>SK05A08</t>
  </si>
  <si>
    <t>Fluorometholone Acetate</t>
  </si>
  <si>
    <t>Fluorometholone Acetate is a synthetic corticosteroid, used in the treatment of steroid responsive inflammatory conditions of the eye.</t>
  </si>
  <si>
    <t>SK05A09</t>
  </si>
  <si>
    <t>Timolol Maleate</t>
  </si>
  <si>
    <t>Timolol Maleate is a non-selective, beta-adrenergic receptor antagonist for β1/β2 with Ki of 1.97 nM/2.0 nM.</t>
  </si>
  <si>
    <t>SK05A10</t>
  </si>
  <si>
    <t>Cepharanthine</t>
  </si>
  <si>
    <t>Cepharanthine is a biscoclaurine alkaloid inhibiting tumor necrosis factor (TNF)-α-mediated NFκB stimulation, plasma membrane lipid peroxidation and platelet aggregation and suppressing cytokine production.</t>
  </si>
  <si>
    <t>SK05A11</t>
  </si>
  <si>
    <t>Dropropizine</t>
  </si>
  <si>
    <t>Dropropizine is a racemic non-opiate antitussive agent, it is used as a cough suppressant.</t>
  </si>
  <si>
    <t>SK05A12</t>
  </si>
  <si>
    <t>Bromfenac Sodium</t>
  </si>
  <si>
    <t>Bromfenac is a nonsteroidal anti-inflammatory drug (NSAID), which has anti-inflammatory activity and may block prostaglandin synthesis by inhibiting cyclooxygenase 1 and 2.</t>
  </si>
  <si>
    <t>SK05A13</t>
  </si>
  <si>
    <t>Penfluridol</t>
  </si>
  <si>
    <t>Penfluridol is a highly potent, first generation diphenylbutylpiperidine antipsychotic.</t>
  </si>
  <si>
    <t>SK05A14</t>
  </si>
  <si>
    <t>Alizapride HCl</t>
  </si>
  <si>
    <t>Alizapride HCl is a &lt;b&gt;dopamine receptor&lt;/b&gt; antagonist used for the theropy of nausea and vomiting.</t>
  </si>
  <si>
    <t>SK05A15</t>
  </si>
  <si>
    <t>Doxofylline</t>
  </si>
  <si>
    <t>Doxofylline is a phosphodiesterase inhibitor and a xanthine derivative drug for asthma.</t>
  </si>
  <si>
    <t>SK05A16</t>
  </si>
  <si>
    <t>Brimonidine Tartrate</t>
  </si>
  <si>
    <t>Brimonidine Tartrate is a highly selective &lt;b&gt;α-adrenergic receptor&lt;/b&gt; agonist with &lt;b&gt;EC50&lt;/b&gt; of 0.45 nM for the α2A adrenoreceptor, and used to treat open-angle glaucoma or ocular hypertension.</t>
  </si>
  <si>
    <t>SK05A17</t>
  </si>
  <si>
    <t>1-Hexadecanol</t>
  </si>
  <si>
    <t>1-Hexadecanol is a fatty alcohol used to make other chemicals.</t>
  </si>
  <si>
    <t>SK05A18</t>
  </si>
  <si>
    <t>Carteolol HCl</t>
  </si>
  <si>
    <t xml:space="preserve">Carteolol HCl is a β-adrenoceptor antagonist, used for the treatment of glaucoma.
</t>
  </si>
  <si>
    <t>SK05A19</t>
  </si>
  <si>
    <t>Penciclovir</t>
  </si>
  <si>
    <t>Penciclovir is a purine acyclic nucleoside analogue with potent antiviral activity.</t>
  </si>
  <si>
    <t>SK05A20</t>
  </si>
  <si>
    <t>Micafungin Sodium</t>
  </si>
  <si>
    <t>Micafungin Sodium is an inhibitor of 1, 3-beta-D-glucan synthesis, used as an antifungal drug.</t>
  </si>
  <si>
    <t>SK05A21</t>
  </si>
  <si>
    <t>Chlorquinaldol</t>
  </si>
  <si>
    <t>Chlorquinaldol is an antimicrobial agent used for local antisepsy.</t>
  </si>
  <si>
    <t>SK05A22</t>
  </si>
  <si>
    <t>Meclofenamate Sodium</t>
  </si>
  <si>
    <t xml:space="preserve">Meclofenamate Sodium is a dual COX-1/COX-2 inhibitor with IC50 of 40 nM and 50 nM, respectively, used in the treatment of joint, muscular pain, arthritis and dysmenorrhea. 
</t>
  </si>
  <si>
    <t>SK05A23</t>
  </si>
  <si>
    <t>SK05A24</t>
  </si>
  <si>
    <t>SK05B01</t>
  </si>
  <si>
    <t>TTNPB (Arotinoid Acid)</t>
  </si>
  <si>
    <t xml:space="preserve">TTNPB (Arotinoid Acid) is a potent RAR agonist, and inhibits binding of [3H]tRA with IC50 of 5.1 nM, 4.5 nM, and 9.3 nM for human RARα, β, and γ, respectively. </t>
  </si>
  <si>
    <t>SK05B02</t>
  </si>
  <si>
    <t>IU1</t>
  </si>
  <si>
    <t>IU1 is a cell-permeable, reversible and selective proteasome inhibitor of human USP14 with IC50 of 4.7 μ M, 25-fold selective to IsoT.</t>
  </si>
  <si>
    <t>SK05B03</t>
  </si>
  <si>
    <t>MNS (3,4-Methylenedioxy-β-nitrostyrene, MDBN)</t>
  </si>
  <si>
    <t>MNS is a tyrosine kinases inhibitor, inhibits Syk, Src, p97 with IC50 of 2.5 μM, 29.3 μM and 1.7 μM, respectively.</t>
  </si>
  <si>
    <t>SK05B04</t>
  </si>
  <si>
    <t>AZD1080</t>
  </si>
  <si>
    <t>AZD1080 is a selective, orally active, brain permeable GSK3 inhibitor, inhibits human GSK3α and GSK3β with Ki of 6.9 nM and 31 nM, respectively, shows &gt;14-fold selectivity against CDK2, CDK5, CDK1 and Erk2.</t>
  </si>
  <si>
    <t>SK05B05</t>
  </si>
  <si>
    <t>VX-702</t>
  </si>
  <si>
    <t>VX-702 is a highly selective inhibitor of p38α MAPK, 14-fold higher potency against the p38α versus p38β. Phase 2.</t>
  </si>
  <si>
    <t>SK05B06</t>
  </si>
  <si>
    <t>Marimastat(BB-2516)</t>
  </si>
  <si>
    <t xml:space="preserve">Marimastat (BB-2516) is a broad spectrum &lt;b&gt;matrix metalloprotease (MMP)&lt;/b&gt; inhibitor for MMP-9, MMP-1, MMP-2, MMP-14 and MMP-7 with &lt;b&gt;IC50&lt;/b&gt; of 3 nM, 5 nM, 6 nM, 9 nM and 13 nM, respectively. Phase 3.
</t>
  </si>
  <si>
    <t>SK05B07</t>
  </si>
  <si>
    <t>VS-5584 (SB2343)</t>
  </si>
  <si>
    <t>VS-5584 (SB2343) is a potent and selective dual PI3K/mTOR inhibitor for mTOR, PI3Kα/β/δ/γ with IC50 of 3.4 nM and 2.6-21 nM, respectively. Phase 1.</t>
  </si>
  <si>
    <t>SK05B08</t>
  </si>
  <si>
    <t>ONX-0914 (PR-957)</t>
  </si>
  <si>
    <t>ONX-0914 (PR-957) is a potent and selective immunoproteasome inhibitor with minimal cross-reactivity for the constitutive proteasome.</t>
  </si>
  <si>
    <t>SK05B09</t>
  </si>
  <si>
    <t>XL388</t>
  </si>
  <si>
    <t>XL388 is a highly potent, selective, ATP-competitive inhibitor of &lt;b&gt; mTOR&lt;/b&gt; with &lt;b&gt;IC50&lt;/b&gt; of 9.9 nM, 1000-fold selectivity over the closely related PI3K kinases.</t>
  </si>
  <si>
    <t>SK05B10</t>
  </si>
  <si>
    <t>PF-04620110</t>
  </si>
  <si>
    <t>PF-04620110 is an orally active, selective and potent diglyceride acyltransferase-1 (DGAT1) inhibitor with IC50 of 19 nM.</t>
  </si>
  <si>
    <t>SK05B11</t>
  </si>
  <si>
    <t>AZ20</t>
  </si>
  <si>
    <t>AZ20 is a novel potent and selective inhibitor of ATR kinase with IC50 of 5 nM, 8-fold selectivity over mTOR.</t>
  </si>
  <si>
    <t>SK05B12</t>
  </si>
  <si>
    <t>Ro 31-8220 Mesylate</t>
  </si>
  <si>
    <t>Ro 31-8220 is a pan-PKC inhibitor with IC50 of 5 nM, 24 nM, 14 nM, 27 nM, and 24 nM for PKC-α, PKC-βI, PKC-βII, PKC-γ, and PKC-ε, respectively, and also shows potent inhibition against MAPKAP-K1b, MSK1, GSK3β and S6K1.</t>
  </si>
  <si>
    <t>SK05B13</t>
  </si>
  <si>
    <t>GSK J4 HCl</t>
  </si>
  <si>
    <t>GSK J4 HCl is a cell permeable prodrug of GSK J1, which is the first selective inhibitor of the H3K27 histone demethylase JMJD3 and UTX with IC50 of 60 nM and inactive against a panel of demethylases of the JMJ family.</t>
  </si>
  <si>
    <t>SK05B14</t>
  </si>
  <si>
    <t>RepSox</t>
  </si>
  <si>
    <t>RepSox is a potent and selective inhibitor of the TGFβR-1/ALK5 with IC50 of 23 nM and 4 nM for ATP binding to ALK5 and ALK5 autophosphorylation, respectively.</t>
  </si>
  <si>
    <t>SK05B15</t>
  </si>
  <si>
    <t>IWR-1-endo</t>
  </si>
  <si>
    <t>IWR-1 (endo-IWR 1) is a Wnt pathway inhibitor with IC50 of 180 nM, induces Axin2 protein levels and promotes β-catenin phosphorylation by stabilizing Axin-scaffolded destruction complexes.</t>
  </si>
  <si>
    <t>SK05B16</t>
  </si>
  <si>
    <t>Erastin</t>
  </si>
  <si>
    <t>Erastin is a ferroptosis activator by acting on mitochondrial VDAC, exhibiting selectivity for tumor cells bearing oncogenic RAS.</t>
  </si>
  <si>
    <t>SK05B17</t>
  </si>
  <si>
    <t>KY02111</t>
  </si>
  <si>
    <t>KY02111 promotes differentiation of hPSCs to cardiomyocytes by inhibiting Wnt signaling, may act downstream of APC and GSK3β.</t>
  </si>
  <si>
    <t>SK05B18</t>
  </si>
  <si>
    <t>CNX-774</t>
  </si>
  <si>
    <t>CNX-774 is an irreversible, orally active, and highly selective BTK inhibitor with IC50 of &lt;1 nM.</t>
  </si>
  <si>
    <t>SK05B19</t>
  </si>
  <si>
    <t>(+)-JQ1</t>
  </si>
  <si>
    <t>(+)-JQ1 is a BET bromodomain inhibitor, with IC50 of 77 nM/33 nM for BRD4(1/2), binding to all bromodomains of the BET family, but not to bromodomains outside the BET family.</t>
  </si>
  <si>
    <t>SK05B20</t>
  </si>
  <si>
    <t>PD173955</t>
  </si>
  <si>
    <t>PD173955 is a potent Bcr-Abl inhibitor with IC50 of 1-2 nM, also inhibiting Src activity with IC50 of 22 nM.</t>
  </si>
  <si>
    <t>SK05B21</t>
  </si>
  <si>
    <t>SC144</t>
  </si>
  <si>
    <t>SC144 is an orally active small-molecule gp130 inhibitor.</t>
  </si>
  <si>
    <t>SK05B22</t>
  </si>
  <si>
    <t>Edoxaban</t>
  </si>
  <si>
    <t>Edoxaban is a selective factor Xa inhibitor with Ki of 0.561 nM, &gt;10 000-fold selectivity over thrombin and FIXa, and is also an orally bioavailable anticoagulant drug.</t>
  </si>
  <si>
    <t>SK05B23</t>
  </si>
  <si>
    <t>SK05B24</t>
  </si>
  <si>
    <t>SK05C01</t>
  </si>
  <si>
    <t>Lomerizine HCl</t>
  </si>
  <si>
    <t>Lomerizine dihydrochloride is a relatively new L- and T-type calcium channel blocker used in the treatment of migraine.</t>
  </si>
  <si>
    <t>SK05C02</t>
  </si>
  <si>
    <t>Verapamil HCl</t>
  </si>
  <si>
    <t>Verapamil HCl is an L-type calcium channel blocker that is a class IV anti-arrhythmia agent.</t>
  </si>
  <si>
    <t>SK05C03</t>
  </si>
  <si>
    <t>Difluprednate</t>
  </si>
  <si>
    <t>Difluprednate (difluoroprednisolone butyrate acetate, or DFBA) is a synthetic difluorinated prednisolone derivative, it originally developed for dermatologic applications.</t>
  </si>
  <si>
    <t>SK05C04</t>
  </si>
  <si>
    <t>Benzocaine</t>
  </si>
  <si>
    <t>Benzocaine is the ethyl ester of p-aminobenzoic acid (PABA), it is a local anesthetic commonly used as a topical pain reliever or in cough drops.</t>
  </si>
  <si>
    <t>SK05C05</t>
  </si>
  <si>
    <t>Diminazene Aceturate</t>
  </si>
  <si>
    <t>Diminazene is a di-amidine also known as 4,4-(1-Triazene–1,3–diyl)bis(benzenecarboximidamide), used as an effective trypanocidal agent.</t>
  </si>
  <si>
    <t>SK05C06</t>
  </si>
  <si>
    <t>Bosentan</t>
  </si>
  <si>
    <t>Bosentan is an endothelin (ET) receptor antagonist for ET-A and ET-B with Ki of 4.7 nM and 95 nM, respectively.</t>
  </si>
  <si>
    <t>SK05C07</t>
  </si>
  <si>
    <t>Desvenlafaxine</t>
  </si>
  <si>
    <t xml:space="preserve">Desvenlafaxine is a serotonin (5-HT) and norepinephrine (NE) reuptake inhibitor with Ki of 40.2 nM and 558.4 nM, respectively. </t>
  </si>
  <si>
    <t>SK05C08</t>
  </si>
  <si>
    <t>Oxybuprocaine HCl</t>
  </si>
  <si>
    <t xml:space="preserve">Oxybuprocaine HCl is a local anesthetic, which is used especially in ophthalmology and otolaryngology. </t>
  </si>
  <si>
    <t>SK05C09</t>
  </si>
  <si>
    <t>Tolazoline HCl</t>
  </si>
  <si>
    <t>Tolazoline is a non-selective competitive α-adrenergic receptor antagonist.</t>
  </si>
  <si>
    <t>SK05C10</t>
  </si>
  <si>
    <t>Bergapten</t>
  </si>
  <si>
    <t>Bergapten is a psoralen that can be photoactivated and is capable of crossing-linking DNA, covalently modifying proteins and lipids, and consequently inhibiting cell replication.</t>
  </si>
  <si>
    <t>SK05C11</t>
  </si>
  <si>
    <t>Cyclizine 2HCl</t>
  </si>
  <si>
    <t>Cyclizine 2HCl is a piperazine derivative with Histamine H1 receptor antagonist activity.</t>
  </si>
  <si>
    <t>SK05C12</t>
  </si>
  <si>
    <t>Flopropione</t>
  </si>
  <si>
    <t>Flopropione is a spasmolytic or antispasmodic agent, and acts as a 5-HT1A receptor antagonist.</t>
  </si>
  <si>
    <t>SK05C13</t>
  </si>
  <si>
    <t>Ethamsylate</t>
  </si>
  <si>
    <t>Ethamsylate is a haemostatic drug, which inhibits biosynthesis and action of prostaglandins, and increases capillary endothelial resistance as and platelet adhesion.</t>
  </si>
  <si>
    <t>SK05C14</t>
  </si>
  <si>
    <t>Luliconazole</t>
  </si>
  <si>
    <t>Luliconazole is a broad-spectrum antifungal drug.</t>
  </si>
  <si>
    <t>SK05C15</t>
  </si>
  <si>
    <t>Benzydamine HCl</t>
  </si>
  <si>
    <t>Benzydamine hydrochloride is a topical nonsteroidal anti-inflammatory drug (NSAID) with anti-inflammatory, analgesic, antipyretic and local anesthetic activity.</t>
  </si>
  <si>
    <t>SK05C16</t>
  </si>
  <si>
    <t>Diacerein</t>
  </si>
  <si>
    <t>Diacerin is an inhibitor of pro-inflammatory cytokine &lt;b&gt;Interleukin-1B&lt;/b&gt; (IL-1B) production, prescribed for osteoarthritis and chronic inflammatory arthritis.</t>
  </si>
  <si>
    <t>SK05C17</t>
  </si>
  <si>
    <t>Sulfaguanidine</t>
  </si>
  <si>
    <t>Sulfaguanidine is a sulfonamide used as an anti-infective agent.</t>
  </si>
  <si>
    <t>SK05C18</t>
  </si>
  <si>
    <t>Demeclocycline HCl</t>
  </si>
  <si>
    <t xml:space="preserve">Demeclocycline HCl is a tetracycline antibiotic via inhibition of protein synthesis by bacteria, used for the treatment of bacterial infections.
</t>
  </si>
  <si>
    <t>SK05C19</t>
  </si>
  <si>
    <t>Tiratricol</t>
  </si>
  <si>
    <t>Tiratricol (also known as TRIAC or triiodothyroacetic acid) is a thyroid hormone analogue.</t>
  </si>
  <si>
    <t>SK05C20</t>
  </si>
  <si>
    <t>Chloroambucil</t>
  </si>
  <si>
    <t xml:space="preserve">Chlorambucil is a nitrogen mustard alkylating agent, used in the treatment of chronic lymphocytic leukemia. 
</t>
  </si>
  <si>
    <t>SK05C21</t>
  </si>
  <si>
    <t>Azaguanine-8</t>
  </si>
  <si>
    <t xml:space="preserve">Azaguanine-8 is a purine analogs showing antineoplastic activity by competing with guanine in the metabolism. </t>
  </si>
  <si>
    <t>SK05C22</t>
  </si>
  <si>
    <t>Salmeterol Xinafoate</t>
  </si>
  <si>
    <t xml:space="preserve">Salmeterol Xinafoate is a long-acting &lt;b&gt;β2-adrenergic receptor&lt;/b&gt; agonist with anti-inflammatory effects, used in the treatment of asthma symptoms and chronic obstructive pulmonary disease (COPD) symptoms. 
</t>
  </si>
  <si>
    <t>SK05C23</t>
  </si>
  <si>
    <t>SK05C24</t>
  </si>
  <si>
    <t>SK05D01</t>
  </si>
  <si>
    <t>Tenovin-6</t>
  </si>
  <si>
    <t>Tenovin-6 is a small molecule activator of p53 transcriptional activity.</t>
  </si>
  <si>
    <t>SK05D02</t>
  </si>
  <si>
    <t>LDN-57444</t>
  </si>
  <si>
    <t>LDN-57444 is a reversible, competitive proteasome inhibitor for Uch-L1 with IC50 of 0.88 μM, 28-fold selectivity over isoform Uch-L3.</t>
  </si>
  <si>
    <t>SK05D03</t>
  </si>
  <si>
    <t>(R)-Nepicastat HCl</t>
  </si>
  <si>
    <t>(R)-Nepicastat HCl, the R-enantiomer of Nepicastat HCl, is a potent and selective inhibitor with IC50 of 25.1 nM and 18.3 nM for bovine and human dopamine-β-hydroxylase, with negligible affinity for twelve other enzymes and thirteen neurotransmitter receptors.</t>
  </si>
  <si>
    <t>SK05D04</t>
  </si>
  <si>
    <t>DMH1</t>
  </si>
  <si>
    <t>DMH1 is a selective BMP receptor inhibitor with IC50 of 107.9 nM for ALK2, exhibiting no inhibition on AMPK, ALK5, KDR (VEGFR-2) or PDGFR.</t>
  </si>
  <si>
    <t>SK05D05</t>
  </si>
  <si>
    <t>AP26113</t>
  </si>
  <si>
    <t>AP26113 is a potent ALK inhibitor with IC50 of 0.62 nM, demonstrated ability overcome Crizotinib resistance mediated by a L1196M mutation. Phase 1/2.</t>
  </si>
  <si>
    <t>SK05D06</t>
  </si>
  <si>
    <t>Ilomastat (GM6001, Galardin)</t>
  </si>
  <si>
    <t>Ilomastat (GM6001, Galardin) is a broad spectrum matrix metalloprotease (MMP) inhibitor for MMP-1, MMP-2, MMP-3, MMP-7, MMP-8, MMP-9, MMP-12, MMP-14, and MMP-26 with Ki of 0.4 nM, 0.5 nM, 27 nM, 3.7 nM, 0.1 nM, 0.2 nM, 3.6 nM, 13.4 nM, 0.36 nM, respectively.</t>
  </si>
  <si>
    <t>SK05D07</t>
  </si>
  <si>
    <t>CZC24832</t>
  </si>
  <si>
    <t>CZC24832 is the first selective PI3Kγ inhibitor with IC50 of 27 nM, with 10-fold selectivity over PI3Kβ and &gt;100-fold selectivity over PI3Kα and PI3Kδ.</t>
  </si>
  <si>
    <t>SK05D08</t>
  </si>
  <si>
    <t>AVL-292</t>
  </si>
  <si>
    <t>AVL-292 is a covalent, orally active, and highly selective BTK inhibitor with IC50 of &lt;0.5 nM, displaying at least 1400-fold selectivity over the other kinases assayed. Phase 1.</t>
  </si>
  <si>
    <t>SK05D09</t>
  </si>
  <si>
    <t>XL019</t>
  </si>
  <si>
    <t>XL019 is a potent and selective JAK2 inhibitor with IC50 of 2.2 nM, exhibiting &gt;50-fold selectivity over JAK1, JAK3 and TYK2. Phase 1.</t>
  </si>
  <si>
    <t>SK05D10</t>
  </si>
  <si>
    <t>1-Azakenpaullone</t>
  </si>
  <si>
    <t>1-Azakenpaullone is a potent and selective GSK-3β inhibitor with IC50 of 18 nM, &gt;100-fold selectivity over CDK1/cyclin B and CDK5/p25.</t>
  </si>
  <si>
    <t>SK05D11</t>
  </si>
  <si>
    <t>CGI1746</t>
  </si>
  <si>
    <t>CGI1746 is a potent and highly selective small-molecule inhibitor of the Btk with IC50 of 1.9 nM.</t>
  </si>
  <si>
    <t>SK05D12</t>
  </si>
  <si>
    <t>GF109203X</t>
  </si>
  <si>
    <t xml:space="preserve">GF109203X is a potent PKC inhibitor with IC50 of 20 nM, 17 nM, 16 nM, and 20 nM for PKCα, PKCβI, PKCβII, and PKCγ, respectively, showing more than 3000-fold selectivity for PKC as compared to EGFR, PDGFR and insulin receptor. </t>
  </si>
  <si>
    <t>SK05D13</t>
  </si>
  <si>
    <t>(+)-Bicuculline</t>
  </si>
  <si>
    <t>(+)-Bicuculline is a competitive antagonist of GABAA receptors with IC50 of 2 μM, also blocks Ca(2+)-activated potassium channels.</t>
  </si>
  <si>
    <t>SK05D14</t>
  </si>
  <si>
    <t>Deltarasin</t>
  </si>
  <si>
    <t xml:space="preserve">Deltarasin is a small molecular inhibitor of KRAS-PDEδ interaction with Kd of 38 nM for binding to purified PDEδ.
</t>
  </si>
  <si>
    <t>SK05D15</t>
  </si>
  <si>
    <t>GSK2334470</t>
  </si>
  <si>
    <t>GSK2334470 is a novel PDK1 inhibitor with IC50 of ~10 nM, with no activity at other close related AGC-kinases.</t>
  </si>
  <si>
    <t>SK05D16</t>
  </si>
  <si>
    <t>Ferrostatin-1 (Fer-1)</t>
  </si>
  <si>
    <t>Ferrostatin-1 (Fer-1) is a potent and selective inhibitor of ferroptosis with EC50 of 60 nM.</t>
  </si>
  <si>
    <t>SK05D17</t>
  </si>
  <si>
    <t>HSP990 (NVP-HSP990)</t>
  </si>
  <si>
    <t>NVP-HSP990 (HSP990) is a novel, potent and selective HSP90 inhibitor for HSP90α/β with IC50 of 0.6 nM/0.8 nM.</t>
  </si>
  <si>
    <t>SK05D18</t>
  </si>
  <si>
    <t>SKLB1002</t>
  </si>
  <si>
    <t>SKLB1002 is a potent and ATP-competitive VEGFR2 inhibitor with IC50 of 32 nM.</t>
  </si>
  <si>
    <t>SK05D19</t>
  </si>
  <si>
    <t>NLG919</t>
  </si>
  <si>
    <t>NLG919 is a potent IDO (indoleamine-(2,3)-dioxygenase) pathway inhibitor with Ki/EC50 of 7 nM/75 nM.</t>
  </si>
  <si>
    <t>SK05D20</t>
  </si>
  <si>
    <t>SRPIN340</t>
  </si>
  <si>
    <t>SRPIN340 is a selective SRPK inhibitor with Ki of 0.89 μM for SRPK1, showing no significant inhibitory activity against more than 140 other kinases..</t>
  </si>
  <si>
    <t>SK05D21</t>
  </si>
  <si>
    <t>KPT-185</t>
  </si>
  <si>
    <t>KPT-185 is a selective CRM1 inhibitor.</t>
  </si>
  <si>
    <t>SK05D22</t>
  </si>
  <si>
    <t>JIB-04</t>
  </si>
  <si>
    <t>JIB-04 is a pan-selective &lt;b&gt;Jumonji histone demethylase&lt;/b&gt; inhibitor with &lt;b&gt;IC50&lt;/b&gt; of 230, 340, 855, 445, 435, 1100, and 290 nM for JARID1A, JMJD2E, JMJD3, JMJD2A, JMJD2B, JMJD2C, and JMJD2D in cell-free assays, respectively.</t>
  </si>
  <si>
    <t>SK05D23</t>
  </si>
  <si>
    <t>SK05D24</t>
  </si>
  <si>
    <t>SK05E01</t>
  </si>
  <si>
    <t>Levobetaxolol HCl</t>
  </si>
  <si>
    <t>Levobetaxolol exhibits a higher affinity at cloned human β1 and β2 receptors with Ki value of 0.76 nM and 32.6 nM, respectively.</t>
  </si>
  <si>
    <t>SK05E02</t>
  </si>
  <si>
    <t>Furaltadone HCl</t>
  </si>
  <si>
    <t>Furaltadone HCl is an antibacterial and has distinct curative effect in the treatment of coccidiosis.</t>
  </si>
  <si>
    <t>SK05E03</t>
  </si>
  <si>
    <t>Droperidol</t>
  </si>
  <si>
    <t>Droperidol is a potent antagonist of dopamine subtype 2 receptors in the limbic system.</t>
  </si>
  <si>
    <t>SK05E04</t>
  </si>
  <si>
    <t>Montelukast Sodium</t>
  </si>
  <si>
    <t>Montelukast selectively antagonizes leukotriene D 4 (LTD4) by binding to it so that block the action of leukotriene D4 on the cysteinyl leukotriene receptor CysLT1.</t>
  </si>
  <si>
    <t>SK05E05</t>
  </si>
  <si>
    <t>Closantel Sodium</t>
  </si>
  <si>
    <t>Closantel is gram positive antibacterial activity inhibitor, inhibiting the KinA/Spo0F system with IC50 of 3.8 μM.</t>
  </si>
  <si>
    <t>SK05E06</t>
  </si>
  <si>
    <t>Benzbromarone</t>
  </si>
  <si>
    <t>Benzbromarone is a CYP2C9 inhibitor, it binds to CYP2C9 with Ki value of 19.3 nM.</t>
  </si>
  <si>
    <t>SK05E07</t>
  </si>
  <si>
    <t>Triclabendazole</t>
  </si>
  <si>
    <t>Triclabendazole is a benzimidazole, it binds to tubulin impairing intracellular transport mechanisms and interferes with protein synthesis.</t>
  </si>
  <si>
    <t>SK05E08</t>
  </si>
  <si>
    <t>Oxaprozin</t>
  </si>
  <si>
    <t>Oxaprozin is a non-narcotic, non-steroidal anti-inflammatory drug (NSAID) used to relieve the inflammation, swelling, stiffness, and joint pain associated with osteoarthritis and rheumatoid arthritis.</t>
  </si>
  <si>
    <t>SK05E09</t>
  </si>
  <si>
    <t>Sodium Phenylbutyrate</t>
  </si>
  <si>
    <t xml:space="preserve">Sodium Phenylbutyrate is a transcriptional regulators that act by altering chromatin structure via the modulation of HDAC activity. </t>
  </si>
  <si>
    <t>SK05E10</t>
  </si>
  <si>
    <t>Doxylamine Succinate</t>
  </si>
  <si>
    <t>Doxylamine succinate competitively inhibits histamine at H1 receptors with substantial sedative and anticholinergic effects.</t>
  </si>
  <si>
    <t>SK05E11</t>
  </si>
  <si>
    <t xml:space="preserve">Dinitolmide </t>
  </si>
  <si>
    <t>Dinitolmide is a broad-spectrum anticoccidial drug.</t>
  </si>
  <si>
    <t>SK05E12</t>
  </si>
  <si>
    <t>Sulfamethoxypyridazine</t>
  </si>
  <si>
    <t>Sulfamethoxypyridazine is a long-acting sulfonamide for treatment of Dermatitis herpetiformis.</t>
  </si>
  <si>
    <t>SK05E13</t>
  </si>
  <si>
    <t>Chlorzoxazone</t>
  </si>
  <si>
    <t>Chlorzoxazone is a muscle-relaxing drug,and a probe for human liver cytochrome P-450IIE1.</t>
  </si>
  <si>
    <t>SK05E14</t>
  </si>
  <si>
    <t>Vilazodone HCl</t>
  </si>
  <si>
    <t>Vilazodone HCl is a selective serotonin reuptake inhibitor (SSRI) and  a partial agonist of 5-HT1A receptors, used for the treatment of major depressive disorder.</t>
  </si>
  <si>
    <t>SK05E15</t>
  </si>
  <si>
    <t>Chlorpropamide</t>
  </si>
  <si>
    <t>Chlorpropamide is a sulfonylurea class drug for type 2 diabetes mellitus.</t>
  </si>
  <si>
    <t>SK05E16</t>
  </si>
  <si>
    <t>Flufenamic acid</t>
  </si>
  <si>
    <t>Flufenamic Acid is an anti-inflammatory agent, and also acts as an &lt;b&gt;ion channel&lt;/b&gt; modulator.</t>
  </si>
  <si>
    <t>SK05E17</t>
  </si>
  <si>
    <t>Trometamol</t>
  </si>
  <si>
    <t>Trometamol is a proton acceptor used to treat academia.</t>
  </si>
  <si>
    <t>SK05E18</t>
  </si>
  <si>
    <t>Meclofenoxate (Centrophenoxine) HCl</t>
  </si>
  <si>
    <t xml:space="preserve">Meclofenoxate (Centrophenoxine) HCl is an anti-aging drug used to treat the symptoms of senile dementia and Alzheimer's disease, and also inhibits the activity of cholinephosphotransferase. 
</t>
  </si>
  <si>
    <t>SK05E19</t>
  </si>
  <si>
    <t>Domiphen Bromide</t>
  </si>
  <si>
    <t xml:space="preserve">Domiphen bromide is a quaternary ammonium antiseptic with actions as a cationic surfactant. </t>
  </si>
  <si>
    <t>SK05E20</t>
  </si>
  <si>
    <t>MetoclopraMide HCl</t>
  </si>
  <si>
    <t xml:space="preserve">MetoclopraMide HCl is a selective dopamine D2 receptor antagonist, used for the treatment of nausea and vomiting.
</t>
  </si>
  <si>
    <t>SK05E21</t>
  </si>
  <si>
    <t>Broxyquinoline</t>
  </si>
  <si>
    <t>Broxyquinoline is an antiprotozoal agent and able to release oxygen free radicals from the water in mucous membranes.</t>
  </si>
  <si>
    <t>SK05E22</t>
  </si>
  <si>
    <t>Mupirocin</t>
  </si>
  <si>
    <t xml:space="preserve">Mupirocin is an isoleucyl t-RNA synthetase inhibitor, used of the treatment of bacterial skin infections.
</t>
  </si>
  <si>
    <t>SK05E23</t>
  </si>
  <si>
    <t>SK05E24</t>
  </si>
  <si>
    <t>SK05F01</t>
  </si>
  <si>
    <t>JNK-IN-8</t>
  </si>
  <si>
    <t>JNK-IN-8 is the first irreversible JNK inhibitor for JNK1, JNK2 and JNK4 with IC50 of 4.7 nM, 18.7 nM and 1 nM, &gt;10-fold selectivity against MNK2, Fms and no inhibition to c-Kit, Met, PDGFRβ.</t>
  </si>
  <si>
    <t>SK05F02</t>
  </si>
  <si>
    <t>CGK 733</t>
  </si>
  <si>
    <t>CGK 733 is a potent and selective inhibitor of ATM/ATR with IC50 of ~200 nM.</t>
  </si>
  <si>
    <t>SK05F03</t>
  </si>
  <si>
    <t>Tofacitinib (CP-690550) Citrate</t>
  </si>
  <si>
    <t>Tofacitinib citrate (CP-690550 citrate) is a novel inhibitor of JAK3 with IC50 of 1 nM, 20- to 100-fold less potent against JAK2 and JAK1.</t>
  </si>
  <si>
    <t>SK05F04</t>
  </si>
  <si>
    <t>LDN-212854</t>
  </si>
  <si>
    <t>LDN-212854 is a potent and selective BMP receptor inhibitor with IC50 of 1.3 nM for ALK2, about 2-, 66-, 1641-, and 7135-fold selectivity over ALK1, ALK3, ALK4, and ALK5, respectively.</t>
  </si>
  <si>
    <t>SK05F05</t>
  </si>
  <si>
    <t>AZD2932</t>
  </si>
  <si>
    <t xml:space="preserve">AZD2932 is a potent and mutil-targeted protein tyrosine kinase inhibitor with &lt;b&gt;IC50&lt;/b&gt; of 8 nM, 4 nM, 7 nM, and 9 nM for &lt;b&gt;VEGFR-2&lt;/b&gt;, &lt;b&gt;PDGFRβ&lt;/b&gt;, &lt;b&gt;Flt-3&lt;/b&gt;, and &lt;b&gt;c-Kit&lt;/b&gt;, respectively.
</t>
  </si>
  <si>
    <t>SK05F06</t>
  </si>
  <si>
    <t>LY2835219</t>
  </si>
  <si>
    <t>LY2835219 is a potent and selective inhibitor of CDK4 and CDK6 with IC50 of 2 nM and 10 nM, respectively.</t>
  </si>
  <si>
    <t>SK05F07</t>
  </si>
  <si>
    <t>Z-VAD-FMK</t>
  </si>
  <si>
    <t>Z-VAD-FMK is a cell-permeable, irreversible pan-caspase inhibitor, blocks all features of apoptosis.</t>
  </si>
  <si>
    <t>SK05F08</t>
  </si>
  <si>
    <t>SKI II</t>
  </si>
  <si>
    <t>SKI II is a highly selective and non ATP-competitive S1P receptor inhibitor with IC50 of 0.5 μM, while exhibits no inhibitory on other kinases including PI3K, PKCα and ERK2.</t>
  </si>
  <si>
    <t>SK05F09</t>
  </si>
  <si>
    <t>Wnt-C59 (C59)</t>
  </si>
  <si>
    <t>Wnt-C59 (C59) is a PORCN inhibitor for Wnt3A-mediated activation of a multimerized TCF-binding site driving luciferase with IC50 of 74 pM.</t>
  </si>
  <si>
    <t>SK05F10</t>
  </si>
  <si>
    <t>GZD824</t>
  </si>
  <si>
    <t xml:space="preserve">GZD824 is a novel orally bioavailable Bcr-Abl inhibitor for Bcr-Abl(WT) and Bcr-Abl(T315I) with IC50 of 0.34 nM and 0.68 nM, respectively. </t>
  </si>
  <si>
    <t>SK05F11</t>
  </si>
  <si>
    <t>LY2874455</t>
  </si>
  <si>
    <t xml:space="preserve">LY2874455 is a pan-&lt;b&gt;FGFR&lt;/b&gt; inhibitor with &lt;b&gt;IC50&lt;/b&gt; of 2.8 nM, 2.6 nM, 6.4 nM, and 6 nM for FGFR1, FGFR2, FGFR3, and FGFR4, respectively, and also inhibits &lt;b&gt;VEGFR2&lt;/b&gt; activity with &lt;b&gt;IC50&lt;/b&gt; of 7 nM. Phase 1.
</t>
  </si>
  <si>
    <t>SK05F12</t>
  </si>
  <si>
    <t>GSK650394</t>
  </si>
  <si>
    <t>GSK650394 is a serum- and glucocorticoid-regulated kinase-1 inhibitor with IC50 of 62 nM and 103 nM for SGK1 and SGK2, respectively</t>
  </si>
  <si>
    <t>SK05F13</t>
  </si>
  <si>
    <t>NMDA (N-Methyl-D-aspartic acid)</t>
  </si>
  <si>
    <r>
      <t>NMDA</t>
    </r>
    <r>
      <rPr>
        <sz val="11"/>
        <color theme="1"/>
        <rFont val="Aptos Narrow"/>
        <family val="2"/>
      </rPr>
      <t>（</t>
    </r>
    <r>
      <rPr>
        <sz val="11"/>
        <color theme="1"/>
        <rFont val="Arial Narrow"/>
        <family val="2"/>
      </rPr>
      <t>N-Methyl-D-aspartic acid</t>
    </r>
    <r>
      <rPr>
        <sz val="11"/>
        <color theme="1"/>
        <rFont val="Aptos Narrow"/>
        <family val="2"/>
      </rPr>
      <t>）</t>
    </r>
    <r>
      <rPr>
        <sz val="11"/>
        <color theme="1"/>
        <rFont val="Arial Narrow"/>
        <family val="2"/>
      </rPr>
      <t>is a specific agonist for NMDA receptor mimicking the action of glutamate, the neurotransmitter which normally acts at that receptor. Phase 4.</t>
    </r>
  </si>
  <si>
    <t>SK05F14</t>
  </si>
  <si>
    <t>RGFP966</t>
  </si>
  <si>
    <t>RGFP966 is an HDAC3 inhibitor with IC50 of 0.08 μM, exhibits &gt; 200-fold selectivity over other HDAC.</t>
  </si>
  <si>
    <t>SK05F15</t>
  </si>
  <si>
    <t>UNC1215</t>
  </si>
  <si>
    <t>UNC1215 is a potent and selective MBT (malignant brain tumor) antagonist, which binds L3MBTL3 with IC50 of 40 nM and Kd of 120 nM, 50-fold selective versus other members of the human MBT family.</t>
  </si>
  <si>
    <t>SK05F16</t>
  </si>
  <si>
    <t>Ro3280</t>
  </si>
  <si>
    <t>RO3280 is a potent, highly selective inhibitor of  Polo-like kinase 1 (PLK1) with IC50 of 3 nM.</t>
  </si>
  <si>
    <t>SK05F17</t>
  </si>
  <si>
    <t>PD123319</t>
  </si>
  <si>
    <t>PD 123319 is a potent, selective AT2 angiotensin II receptor antagonist with IC50 of 34 nM.</t>
  </si>
  <si>
    <t>SK05F18</t>
  </si>
  <si>
    <t>FLLL32</t>
  </si>
  <si>
    <t xml:space="preserve">FLLL32 is a potent &lt;b&gt;JAK2/STAT3&lt;/b&gt; inhibitor with &lt;b&gt;IC50&lt;/b&gt; of &lt;5 μM.
</t>
  </si>
  <si>
    <t>SK05F19</t>
  </si>
  <si>
    <t>Zebularine</t>
  </si>
  <si>
    <t>Zebularine is a DNA methylation inhibitor that forms a covalent complex with DNA methyltransferases, also inhibits cytidinedeaminase with Ki of 2 μM.</t>
  </si>
  <si>
    <t>SK05F20</t>
  </si>
  <si>
    <t>FRAX597</t>
  </si>
  <si>
    <t xml:space="preserve">FRAX597 is a potent, ATP-competitive inhibitor of group I &lt;b&gt;PAKs&lt;/b&gt; with &lt;b&gt;IC50&lt;/b&gt; of 8 nM, 13 nM, and 19 nM for PAK1, PAK2, and PAK3, respectively. 
</t>
  </si>
  <si>
    <t>SK05F21</t>
  </si>
  <si>
    <t>TIC10 Analogue</t>
  </si>
  <si>
    <t>TIC10 inactivates Akt and ERK to induce TRAIL through Foxo3a, possesses superior drug properties: delivery across the blood-brain barrier, superior stability and improved pharmacokinetics.</t>
  </si>
  <si>
    <t>SK05F22</t>
  </si>
  <si>
    <t>NMS-E973</t>
  </si>
  <si>
    <t>NMS-E973 is a potent and selective Hsp90 inhibitor with DC50 of &lt;10 nM for Hsp90 binding, no activiy against a panel of 52 diverse protein kinases.</t>
  </si>
  <si>
    <t>SK05F23</t>
  </si>
  <si>
    <t>SK05F24</t>
  </si>
  <si>
    <t>SK05G01</t>
  </si>
  <si>
    <t>Loxapine Succinate</t>
  </si>
  <si>
    <t>Loxapine Succinate is a D2DR and D4DR inhibitor, serotonergic receptor antagonist and also a dibenzoxazepine anti-psychotic agent.</t>
  </si>
  <si>
    <t>SK05G02</t>
  </si>
  <si>
    <t>Isosorbide</t>
  </si>
  <si>
    <t>Isosorbide is a heterocyclic compound that is derived from glucose, used as a diuretic.</t>
  </si>
  <si>
    <t>SK05G03</t>
  </si>
  <si>
    <t>Dydrogesterone</t>
  </si>
  <si>
    <t>Dydrogesterone is an orally active progestogen which acts directly on the uterus, producing a complete secretory endometrium in an estrogen-primed uterus.</t>
  </si>
  <si>
    <t>SK05G04</t>
  </si>
  <si>
    <t>Tenatoprazole</t>
  </si>
  <si>
    <t>Tenatoprazole is a prodrug of the &lt;b&gt;proton pump&lt;/b&gt; inhibitor (PPI) class, which inhibits proton transport with &lt;b&gt;IC50&lt;/b&gt; of 3.2 μM.</t>
  </si>
  <si>
    <t>SK05G05</t>
  </si>
  <si>
    <t>Closantel</t>
  </si>
  <si>
    <t>SK05G06</t>
  </si>
  <si>
    <t>Piperacillin Sodium</t>
  </si>
  <si>
    <t>Piperacillin is a semisynthetic, broad-spectrum, ampicillin derived ureidopenicillin antibiotic proposed for pseudomonas infections.</t>
  </si>
  <si>
    <t>SK05G07</t>
  </si>
  <si>
    <t>Isovaleramide</t>
  </si>
  <si>
    <t>Isovaleramide is an anticonvulsant molecule isolated from Valeriana pavonii, it inhibits the liver alcohol dehydrogenases.</t>
  </si>
  <si>
    <t>SK05G08</t>
  </si>
  <si>
    <t>Pilocarpine HCl</t>
  </si>
  <si>
    <t>Pilocarpine HCl is a nonselective muscarinic acetylcholine receptor agonist used to produce an experimental model of epilepsy.</t>
  </si>
  <si>
    <t>SK05G09</t>
  </si>
  <si>
    <t>Troxipide</t>
  </si>
  <si>
    <t>Troxipide is a novel systemic non-antisecretory gastric cytoprotective agent with anti-ulcer, anti-inflammatory and mucus secreting properties irrespective of pH of stomach or duodenum.</t>
  </si>
  <si>
    <t>SK05G10</t>
  </si>
  <si>
    <t>Cetrimonium Bromide (CTAB)</t>
  </si>
  <si>
    <t>Cetrimonium Bromide is a known component of the broad-spectrum antiseptic cetrimide, which is a mixture of different quaternary ammonium salts.</t>
  </si>
  <si>
    <t>SK05G11</t>
  </si>
  <si>
    <t>Pentoxyverine Citrate</t>
  </si>
  <si>
    <t xml:space="preserve">Pentoxyverine Citrate is an antitussive (cough suppressant) commonly used for cough associated with illnesses like common cold. </t>
  </si>
  <si>
    <t>SK05G12</t>
  </si>
  <si>
    <t>Phenothiazine</t>
  </si>
  <si>
    <t>Phenothiazine is a dopamine-2 (D2) receptor antagonist therefore decreases the effect of dopamine in the brain.</t>
  </si>
  <si>
    <t>SK05G13</t>
  </si>
  <si>
    <t>Bezafibrate</t>
  </si>
  <si>
    <t>Bezafibrate is the first clinically tested dual and pan-PPAR co-agonism.</t>
  </si>
  <si>
    <t>SK05G14</t>
  </si>
  <si>
    <t>Tamibarotene</t>
  </si>
  <si>
    <t>Tamibarotene, also called retinobenzoic acid, is orally active, synthetic retinoid, developed to overcome all-trans retinoic acid (ATRA) resistance, with potential antineoplastic activity against acute promyelocytic leukaemia (APL) .</t>
  </si>
  <si>
    <t>SK05G15</t>
  </si>
  <si>
    <t>Cyromazine</t>
  </si>
  <si>
    <t>Cyromazine is a triazine insect growth regulator used as an insecticide and an acaricide.</t>
  </si>
  <si>
    <t>SK05G16</t>
  </si>
  <si>
    <t>Vinorelbine Tartrate</t>
  </si>
  <si>
    <t>Vinorelbine Tartrate is a semi-synthetic vinca alkaloid, and inhibits mitosis through interaction with tubulin.</t>
  </si>
  <si>
    <t>SK05G17</t>
  </si>
  <si>
    <t>Uracil</t>
  </si>
  <si>
    <t>Uracil is one of the four nucleobases in the nucleic acid of RNA can be used for drug delivery and as a pharmaceutical.</t>
  </si>
  <si>
    <t>SK05G18</t>
  </si>
  <si>
    <t>Nelfinavir Mesylate</t>
  </si>
  <si>
    <t xml:space="preserve">Nelfinavir Mesylate is a potent HIV protease inhibitor with Ki of 2 nM.
</t>
  </si>
  <si>
    <t>SK05G19</t>
  </si>
  <si>
    <t>Salicylanilide</t>
  </si>
  <si>
    <t>Salicylanilides are a group of compounds with a wide range of biological activities including antiviral potency, antibacterial (including antimycobacterial) and antifungal activities.</t>
  </si>
  <si>
    <t>SK05G20</t>
  </si>
  <si>
    <t xml:space="preserve">Digoxin  </t>
  </si>
  <si>
    <t xml:space="preserve">Digoxin is a sodium-potassium pump inhibitor, used in the treatment of atrial fibrillation and heart failure.
</t>
  </si>
  <si>
    <t>SK05G21</t>
  </si>
  <si>
    <t>Ethacridine lactate monohydrate</t>
  </si>
  <si>
    <t>Ethacridine lactate monohydrate is an aromatic organic compound based on acridine used as an antiseptic agent.</t>
  </si>
  <si>
    <t>SK05G22</t>
  </si>
  <si>
    <t>Dicoumarol</t>
  </si>
  <si>
    <t xml:space="preserve">Dicoumarol is a competitive NADH quinone oxidoreductase (NQO1) inhibitor,and used as an anticoagulant by interfering with the metabolism of vitamin K. 
</t>
  </si>
  <si>
    <t>SK05G23</t>
  </si>
  <si>
    <t>SK05G24</t>
  </si>
  <si>
    <t>SK05H01</t>
  </si>
  <si>
    <t>QNZ (EVP4593)</t>
  </si>
  <si>
    <t>QNZ (EVP4593) shows potent inhibitory activity toward both NF-κB activation and TNF-α production with IC50 of 11 nM and 7 nM, respectively.</t>
  </si>
  <si>
    <t>SK05H02</t>
  </si>
  <si>
    <t>BMS-833923</t>
  </si>
  <si>
    <t>BMS-833923 is an orally bioavailable Smoothened antagonist. Phase 2.</t>
  </si>
  <si>
    <t>SK05H03</t>
  </si>
  <si>
    <t>Fingolimod (FTY720) HCl</t>
  </si>
  <si>
    <t>Fingolimod (FTY720) is a S1P antagonist with IC50 of 0.033 nM.</t>
  </si>
  <si>
    <t>SK05H04</t>
  </si>
  <si>
    <t>ML347</t>
  </si>
  <si>
    <t>ML347 is a selective BMP receptor inhibitor with IC50 of 32 nM for ALK2, &gt;300-fold selectivity over ALK3. Also inhibits ALK1 activity with IC50 of 46 nM.</t>
  </si>
  <si>
    <t>SK05H05</t>
  </si>
  <si>
    <t>MEK162 (ARRY-162, ARRY-438162)</t>
  </si>
  <si>
    <t>ARRY-438162 is a potent inhibitor of MEK1/2 with IC50 of 12 nM.</t>
  </si>
  <si>
    <t>SK05H06</t>
  </si>
  <si>
    <t>Mdivi-1</t>
  </si>
  <si>
    <t xml:space="preserve">Mdivi-1 is a selective cell-permeable inhibitor of mitochondrial division DRP1 (dynamin-related GTPase) and mitochondrial division Dynamin I (Dnm1) with IC50 of 1-10 μM. </t>
  </si>
  <si>
    <t>SK05H07</t>
  </si>
  <si>
    <t>Stattic</t>
  </si>
  <si>
    <t>Stattic, the first nonpeptidic small molecule, potently inhibits STAT3 activation and nuclear translocation with IC50 of 5.1 μM, highly selectivity over STAT1.</t>
  </si>
  <si>
    <t>SK05H08</t>
  </si>
  <si>
    <t>PF-543</t>
  </si>
  <si>
    <t>PF-543, a novel sphingosine-competitive inhibitor of SphK1, inhibits SphK1 with IC50 and Ki of 2.0 nM and 3.6 nM, exhibits &gt;100-fold selectivity over the SphK2 isoform.</t>
  </si>
  <si>
    <t>SK05H09</t>
  </si>
  <si>
    <t>PD168393</t>
  </si>
  <si>
    <t>PD168393 is an irreversible EGFR inhibitor with IC50 of 0.70 nM, irreversibly alkylate Cys-773; inactive against insulin, PDGFR, FGFR and PKC.</t>
  </si>
  <si>
    <t>SK05H10</t>
  </si>
  <si>
    <t>RKI-1447</t>
  </si>
  <si>
    <t>RKI-1447 is a potent inhibitor of ROCK1 and ROCK2, with IC50 of 14.5 nM and 6.2 nM, respectively, has anti-invasive and antitumor activities.</t>
  </si>
  <si>
    <t>SK05H11</t>
  </si>
  <si>
    <t>VX-661</t>
  </si>
  <si>
    <t>VX-661 is a second F508del CFTR corrector and is believed to help CFTR protein reach the cell surface. Phase 2.</t>
  </si>
  <si>
    <t>SK05H12</t>
  </si>
  <si>
    <t xml:space="preserve">Thiamet G </t>
  </si>
  <si>
    <t>Thiamet G is a potent, selective O-GlcNAcase inhibitor with Kiof 21 nM, while exhibiting 37,000-fold selectivity over human lysosomal –hexosaminidase.</t>
  </si>
  <si>
    <t>SK05H13</t>
  </si>
  <si>
    <t>T0901317</t>
  </si>
  <si>
    <t>T0901317 is a potent and selective agonist for both LXR and FXR, with EC50 of ~50 nM and 5 μM, respectively.</t>
  </si>
  <si>
    <t>SK05H14</t>
  </si>
  <si>
    <t>Bromosporine</t>
  </si>
  <si>
    <t>Bromosporine is a broad spectrum inhibitor for bromodomains with IC50 of 0.41 μM, 0.29 μM, 0.122 μM and 0.017 μM for BRD2, BRD4, BRD9 and CECR2, respectively.</t>
  </si>
  <si>
    <t>SK05H15</t>
  </si>
  <si>
    <t>GSK923295</t>
  </si>
  <si>
    <t xml:space="preserve">GSK923295 is a first-in-class, specific allosteric inhibitor of CENP-E kinesin motor ATPase with Ki of 3.2 nM, and less potent to mutant I182 and T183. Phase 1. </t>
  </si>
  <si>
    <t>SK05H16</t>
  </si>
  <si>
    <t>KPT-276</t>
  </si>
  <si>
    <t>KPT-276 is an orally bioavailable selective CRM1 inhibitor.</t>
  </si>
  <si>
    <t>SK05H17</t>
  </si>
  <si>
    <t>(-)-Blebbistatin</t>
  </si>
  <si>
    <t>(-)-Blebbistatin is a cell-permeable inhibitor for non muscle myosin II ATPase with IC50 of 2 μM, does not inhibit myosin light chain kinase, inhibits contraction of the cleavage furrow without disrupting mitosis or contractile ring assembly.</t>
  </si>
  <si>
    <t>SK05H18</t>
  </si>
  <si>
    <t>Beta-Lapachone</t>
  </si>
  <si>
    <t>Beta-Lapachone is a selective DNA topoisomerase I inhibitor, exhibiting no inhibitory activities against DNA topoisomerase II or ligase. Phase 2.</t>
  </si>
  <si>
    <t>SK05H19</t>
  </si>
  <si>
    <t>NU6027</t>
  </si>
  <si>
    <t>NU6027 is a potent ATR/CDK inhibitor, inhibits CDK1/2, ATR and DNA-PK with Ki of 2.5 μM/1.3 μM, 0.4 μM and 2.2 μM, enter cells more readily than the 6-aminopurine-based inhibitors.</t>
  </si>
  <si>
    <t>SK05H20</t>
  </si>
  <si>
    <t>4μ8C</t>
  </si>
  <si>
    <t>4μ8C is a potent and selective IRE1 Rnase inhibitor with IC50 of 76 nM.</t>
  </si>
  <si>
    <t>SK05H21</t>
  </si>
  <si>
    <t>EPZ-6438</t>
  </si>
  <si>
    <t>EPZ-6438 is a potent, and selective EZH2 inhibitor with Ki and IC50 of 2.5 nM and 11 nM, exhibiting a 35-fold selectivity versus EZH1 and &gt;4,500-fold selectivity relative to 14 other HMTs.</t>
  </si>
  <si>
    <t>SK05H22</t>
  </si>
  <si>
    <t>CO-1686 (AVL-301)</t>
  </si>
  <si>
    <t>CO-1686 is an irreversible, mutant-selective EGFR inhibitor with Ki of 21.5 nM and 303.3 nM for EGFRL858R/T790M and EGFRWT, respectively. Phase 1/2.</t>
  </si>
  <si>
    <t>SK05H23</t>
  </si>
  <si>
    <t>SK05H24</t>
  </si>
  <si>
    <t>SK05I01</t>
  </si>
  <si>
    <t>Flumethasone</t>
  </si>
  <si>
    <t>Flumethasone is a glucocorticoid receptor agonist, this complex binds to the nucleus causing a variety of genetic activation and repressions.</t>
  </si>
  <si>
    <t>SK05I02</t>
  </si>
  <si>
    <t>Dibenzothiophene</t>
  </si>
  <si>
    <t>Dibenzothiophene (DBT) is a model compound for organic sulfur in fossil fuels.</t>
  </si>
  <si>
    <t>SK05I03</t>
  </si>
  <si>
    <t>Halcinonide</t>
  </si>
  <si>
    <t>Halcinonide is a high potency corticosteroid used in topical preparations as an anti-inflammatory agent.</t>
  </si>
  <si>
    <t>SK05I04</t>
  </si>
  <si>
    <t>Dirithromycin</t>
  </si>
  <si>
    <t>Dirithromycin is a macrolide glycopeptide antibiotic by binding to the 50S subunit of the 70S bacterial ribosome to inhibit the translocation of peptides.</t>
  </si>
  <si>
    <t>SK05I05</t>
  </si>
  <si>
    <t>Clofazimine</t>
  </si>
  <si>
    <t>Clofazimine is a rhimophenazine dye, originally developed for the treatment of tuberculosis, it has both antimicrobial and antiinflammatory activity, postulated mechanisms of action include intercalation of clofazimine with bacterial DNA and increasing levels of cellular phospholipase A2.</t>
  </si>
  <si>
    <t>SK05I06</t>
  </si>
  <si>
    <t>Mevastatin</t>
  </si>
  <si>
    <t>Mevastatin is a competitive inhibitor of HMG-Coenzyme A (HMG-CoA) reductase with a binding affinity 10,000 times greater than the HMG-CoA substrate itself.</t>
  </si>
  <si>
    <t>SK05I07</t>
  </si>
  <si>
    <t>Histamine 2HCl</t>
  </si>
  <si>
    <t>Histamine is an organic nitrogen compound, acts on target cells in mammalian brain via stimulation of Histamine 1/2.</t>
  </si>
  <si>
    <t>SK05I08</t>
  </si>
  <si>
    <t>Nithiamide</t>
  </si>
  <si>
    <t>Nithiamide is a non-5-nitroimidazole drugs.</t>
  </si>
  <si>
    <t>SK05I09</t>
  </si>
  <si>
    <t>Levodropropizine</t>
  </si>
  <si>
    <t>Levodropropizine possess anti-allergic and inhibits histamine receptor, reduces cough by interfering with stimulus activation of peripheral endings of sensory nerves and by modulation of neuropeptides involved in the cough reflex.</t>
  </si>
  <si>
    <t>SK05I10</t>
  </si>
  <si>
    <t>Deoxycorticosterone acetate</t>
  </si>
  <si>
    <t>Deoxycorticosterone acetate is a steroid hormone used for intramuscular injection for replacement therapy of the adrenocortical steroid.</t>
  </si>
  <si>
    <t>SK05I11</t>
  </si>
  <si>
    <t>Bacitracin</t>
  </si>
  <si>
    <t>Bacitracin is a mixture of related cyclic polypeptides produced by organisms of the licheniformis group of &lt;i&gt;Bacillus subtilis var&lt;/i&gt; Tracy, which disrupts both gram positive and gram negative bacteria by interfering with cell wall and peptidoglycan synthesis.</t>
  </si>
  <si>
    <t>SK05I12</t>
  </si>
  <si>
    <t>Mechlorethamine HCl</t>
  </si>
  <si>
    <t>Mechlorethamine is the prototype of alkylating agents, it works by binding to DNA, crosslinking two strands and preventing cell duplication.</t>
  </si>
  <si>
    <t>SK05I13</t>
  </si>
  <si>
    <t>Penicillin G Sodium</t>
  </si>
  <si>
    <t>Penicillin G Sodium is a β-lactam antibiotic produced by &lt;i&gt;Penicillin spp&lt;/i&gt;</t>
  </si>
  <si>
    <t>SK05I14</t>
  </si>
  <si>
    <t>EUK 134</t>
  </si>
  <si>
    <t>EUK 134, a synthetic superoxide dismutase (SOD)/catalase mimetic, exhibits potent antioxidant activities, and inhibits the formation of β-amyloid and related amyloid fibril.</t>
  </si>
  <si>
    <t>SK05I15</t>
  </si>
  <si>
    <t>Teriflunomide</t>
  </si>
  <si>
    <t>Teriflunomide is the active metabolite of leflunomide, inhibiting pyrimidine de novo synthesis by blocking the enzyme dihydroorotate dehydrogenase, used as an immunomodulatory agent.</t>
  </si>
  <si>
    <t>SK05I16</t>
  </si>
  <si>
    <t>Oxiracetam</t>
  </si>
  <si>
    <t>Oxiracetam, a cyclic derivative of gamma-aminobutyric acid (GABA), is used as a nootropic drug to improve memory and learning.</t>
  </si>
  <si>
    <t>SK05I17</t>
  </si>
  <si>
    <t>Climbazole</t>
  </si>
  <si>
    <t>Climbazole is a broad-spectrum imidazole antifungal agent that can provide anti-dandruff benefits.</t>
  </si>
  <si>
    <t>SK05I18</t>
  </si>
  <si>
    <t>Cyclobenzaprine HCl</t>
  </si>
  <si>
    <t xml:space="preserve">Cyclobenzaprine HCl is a muscle relaxant by blocking pain sensations, used for the treatment of muscle spasms. 
</t>
  </si>
  <si>
    <t>SK05I19</t>
  </si>
  <si>
    <t>Sasapyrine</t>
  </si>
  <si>
    <t>Sasapyrine (salsalate) is a nonsteroidal oral anti-inflammatory agent.</t>
  </si>
  <si>
    <t>SK05I20</t>
  </si>
  <si>
    <t>Labetalol HCl</t>
  </si>
  <si>
    <t xml:space="preserve">Labetalol HCl is a dual antagonist for both selective alpha1-adrenergic and nonselective beta-adrenergic receptors, used in the treatment of high blood pressure. 
</t>
  </si>
  <si>
    <t>SK05I21</t>
  </si>
  <si>
    <t>Bemegride</t>
  </si>
  <si>
    <t>Bemegride is a central nervous system stimulant and antidote for barbiturate poisoning.</t>
  </si>
  <si>
    <t>SK05I22</t>
  </si>
  <si>
    <t>Mefloquine HCl</t>
  </si>
  <si>
    <t xml:space="preserve">Mefloquine HCl is a blood schizonticide by inhibiting hemozoin formation, used as an antimalarial drug.
</t>
  </si>
  <si>
    <t>SK05I23</t>
  </si>
  <si>
    <t>SK05I24</t>
  </si>
  <si>
    <t>SK05J01</t>
  </si>
  <si>
    <t>JZL184</t>
  </si>
  <si>
    <t>JZL 184 is the first selective inhibitor of monoacylglycerol lipase (MAGL) with IC50 of 8 nM.</t>
  </si>
  <si>
    <t>SK05J02</t>
  </si>
  <si>
    <t>CFTRinh-172</t>
  </si>
  <si>
    <t>CFTRinh-172 is a voltage-independent, selective CFTR inhibitor with Ki of 300 nM, showing no effects on MDR1, ATP-sensitive K+ channels, or a series of other transporters.</t>
  </si>
  <si>
    <t>SK05J03</t>
  </si>
  <si>
    <t>Tacrolimus (FK506)</t>
  </si>
  <si>
    <t>FK-506 is a 23-membered macrolide lactone, it reduces peptidyl-prolyl isomerase activity by binding to the immunophilin FKBP12 (FK506 binding protein) creating a new complex.</t>
  </si>
  <si>
    <t>SK05J04</t>
  </si>
  <si>
    <t>NSC 319726</t>
  </si>
  <si>
    <t>NSC319726 is a p53(R175) mutant reactivator, exhibits growth inhibition in cells expressing mutant p53, with IC50 of 8 nM for p53(R175) mutant, shows no inhibition for p53 wild-type cells.</t>
  </si>
  <si>
    <t>SK05J05</t>
  </si>
  <si>
    <t>PP2</t>
  </si>
  <si>
    <t>PP2 is Src family kinase inhibitor, potently inhibits Lck/Fyn with IC50 of 4 nM/5 nM, ~100-fold less potent to EGFR, inactive for ZAP-70, JAK2 and PKA.</t>
  </si>
  <si>
    <t>SK05J06</t>
  </si>
  <si>
    <t>Dyngo-4a</t>
  </si>
  <si>
    <t xml:space="preserve">Dyngo-4a is a potent &lt;b&gt;dynamin&lt;/b&gt; inhibitor with &lt;b&gt;IC50&lt;/b&gt; of 0.38 μM, 1.1 μM, and 2.3 μM for DynI (brain), DynI (rec), and DynII (rec), respectively.
</t>
  </si>
  <si>
    <t>SK05J07</t>
  </si>
  <si>
    <t>Embelin</t>
  </si>
  <si>
    <t>Embelin, a quinone isolated from the Japanese Ardisia herb, is an inhibitor of X-linked inhibitor of apoptosis (XIAP) with IC50 of 4.1 &amp;mu;M.</t>
  </si>
  <si>
    <t>SK05J08</t>
  </si>
  <si>
    <t>BAF312 (Siponimod)</t>
  </si>
  <si>
    <t>BAF312 (Siponimod) is a next-generation S1P receptor modulator, selective for &lt;b&gt;S1P1&lt;/b&gt; and &lt;b&gt;S1P5&lt;/b&gt; receptors with &lt;b&gt;EC50&lt;/b&gt; of 0.39 nM and 0.98 nM, exhibits &gt;1000-fold selectivity over S1P2, S1P3 and S1P4 receptors. Phase 3.</t>
  </si>
  <si>
    <t>SK05J09</t>
  </si>
  <si>
    <t>AZD3514</t>
  </si>
  <si>
    <t>AZD3514 is a potent and oral androgen receptor downregulator with Ki of 2.2 μM and has ability of reducing AR protein expression.</t>
  </si>
  <si>
    <t>SK05J10</t>
  </si>
  <si>
    <t>BIO</t>
  </si>
  <si>
    <t>BIO (6-bromoindirubin-3'-oxime) is a specific inhibitor of GSK-3 with IC50 of 5 nM for GSK-3α/β, shows &gt;16-fold selectivity over CDK5, also a pan-JAK inhibitor.</t>
  </si>
  <si>
    <t>SK05J11</t>
  </si>
  <si>
    <t>PP1</t>
  </si>
  <si>
    <t>PP1 is a potent and selective Src inhibitor for Lck/Fyn with IC50 of 5 nM/ 6 nM.</t>
  </si>
  <si>
    <t>SK05J12</t>
  </si>
  <si>
    <t>Skepinone-L</t>
  </si>
  <si>
    <t>Skepinone-L is a selective p38α-MAPK inhibitor with IC50 of 5 nM.</t>
  </si>
  <si>
    <t>SK05J13</t>
  </si>
  <si>
    <t>Cilengitide</t>
  </si>
  <si>
    <t>Cilengitide is a potent integrin inhibitor for αvβ3 receptor and αvβ5 receptor with IC50 of 4.1 nM and 79 nM, respectively; ~10-fold selectivity against gpIIbIIIa. Phase 2.</t>
  </si>
  <si>
    <t>SK05J14</t>
  </si>
  <si>
    <t>IOX1</t>
  </si>
  <si>
    <t>IOX1 is a potent and broad-spectrum inhibitor of 2OG oxygenases, including the JmjC demethylases.</t>
  </si>
  <si>
    <t>SK05J15</t>
  </si>
  <si>
    <t>Zotarolimus(ABT-578)</t>
  </si>
  <si>
    <t>Zotarolimus (ABT-578) is an analogue of rapamycin, and inhibits FKBP-12 binding with IC50 of 2.8 nM.</t>
  </si>
  <si>
    <t>SK05J16</t>
  </si>
  <si>
    <t>KPT-330</t>
  </si>
  <si>
    <t>KPT-330 is an orally bioavailable selective CRM1 inhibitor.</t>
  </si>
  <si>
    <t>SK05J17</t>
  </si>
  <si>
    <t>VE-822</t>
  </si>
  <si>
    <t>VE-822 is an ATR inhibitor with IC50 of 19 nM.</t>
  </si>
  <si>
    <t>SK05J18</t>
  </si>
  <si>
    <t>Vidofludimus</t>
  </si>
  <si>
    <t xml:space="preserve">Vidofludimus is an orally active and potent &lt;b&gt;dihydroorotate dehydrogenase (DHODH)&lt;/b&gt; inhibitor with &lt;b&gt;IC50&lt;/b&gt; of 134 nM for human DHODH. Phase 2. 
</t>
  </si>
  <si>
    <t>SK05J19</t>
  </si>
  <si>
    <t>AMG-517</t>
  </si>
  <si>
    <t>AMG 517 is a potent and selective TRPV1 antagonist, antagonizes capsaicin, proton, and heat activation of TRPV1 with IC50 of 0.76 nM, 0.62 nM and 1.3 nM.</t>
  </si>
  <si>
    <t>SK05J20</t>
  </si>
  <si>
    <t>SC75741</t>
  </si>
  <si>
    <t>SC75741 is a potent NF-κB inhibitor with EC50 of 200 nM.</t>
  </si>
  <si>
    <t>SK05J21</t>
  </si>
  <si>
    <t>PYR-41</t>
  </si>
  <si>
    <t>PYR-41 is the first cell-permeable inhibitor of ubiquitin-activating enzyme E1, with no activity at E2.</t>
  </si>
  <si>
    <t>SK05J22</t>
  </si>
  <si>
    <t>NMS-873</t>
  </si>
  <si>
    <t>NMS-873 is an allosteric and specific p97 inhibitor with IC50 of 30 nM.</t>
  </si>
  <si>
    <t>SK05J23</t>
  </si>
  <si>
    <t>SK05J24</t>
  </si>
  <si>
    <t>SK05K01</t>
  </si>
  <si>
    <t>Halobetasol Propionate</t>
  </si>
  <si>
    <t>Halobetasol Propionate is an anti-inflammatory and a dermatologic agent commonly used to treat psoriasis.</t>
  </si>
  <si>
    <t>SK05K02</t>
  </si>
  <si>
    <t>Cysteamine HCl</t>
  </si>
  <si>
    <t>Cysteamine is an agent for the treatment of nephropathic cystinosis and an antioxidant.</t>
  </si>
  <si>
    <t>SK05K03</t>
  </si>
  <si>
    <t>Dexlansoprazole</t>
  </si>
  <si>
    <t>Dexlansoprazole, the dextrorotatory enantiomer of lansoprazole, is a proton pump inhibitor (PPI) formulated to have dual delayed-release properties.</t>
  </si>
  <si>
    <t>SK05K04</t>
  </si>
  <si>
    <t>Sucralose</t>
  </si>
  <si>
    <t>Sucralose is an artificial and noncaloric sweetener, not broken down by the body.</t>
  </si>
  <si>
    <t>SK05K05</t>
  </si>
  <si>
    <t>Lorcaserin HCl</t>
  </si>
  <si>
    <t>Lorcaserin HCl is a selective full agonist of human 5-HT2C receptor with Ki of 15 nM.</t>
  </si>
  <si>
    <t>SK05K06</t>
  </si>
  <si>
    <t>Erythritol</t>
  </si>
  <si>
    <t>Erythritol is a sugar alcohol used as low-calorie sweetener.</t>
  </si>
  <si>
    <t>SK05K07</t>
  </si>
  <si>
    <t>Pefloxacin Mesylate Dihydrate</t>
  </si>
  <si>
    <t>Pefloxacin Mesylate Dihydrate is the third generation of fluoroquinolone class of antibacterials, which inhibits Topoisomerase II activity and DNA replication.</t>
  </si>
  <si>
    <t>SK05K08</t>
  </si>
  <si>
    <t>Zoxazolamine</t>
  </si>
  <si>
    <t xml:space="preserve">Zoxazolamine is a centrally acting myorelaxant, which is formerly used as an antispasmodic and uricosuric. </t>
  </si>
  <si>
    <t>SK05K09</t>
  </si>
  <si>
    <t>Deoxyarbutin</t>
  </si>
  <si>
    <t>DeoxyArbutin is a reversible tyrosinase inhibitor, inhibiting tyrosinase activity with IC50 of 50 nM.</t>
  </si>
  <si>
    <t>SK05K10</t>
  </si>
  <si>
    <t>Serotonin HCl</t>
  </si>
  <si>
    <t>Serotonin HCl is a monoamine neurotransmitter and Endogenous 5-HT receptor agonist.</t>
  </si>
  <si>
    <t>SK05K11</t>
  </si>
  <si>
    <t>Azithromycin Dihydrate</t>
  </si>
  <si>
    <t>Azithromycin Dihydrate is an acid stable orally administered macrolide antimicrobial drug, structurally related to erythromycin.</t>
  </si>
  <si>
    <t>SK05K12</t>
  </si>
  <si>
    <t>Epinastine HCl</t>
  </si>
  <si>
    <t>Epinastine is an antihistamine and mast cell stabilizer that is used in eye drops to treat allergic conjunctivitis.</t>
  </si>
  <si>
    <t>SK05K13</t>
  </si>
  <si>
    <t>Benzoic Acid</t>
  </si>
  <si>
    <t>Benzoic acid is a colorless crystalline solid and a simple aromatic carboxylic acid, used as a food preservative.</t>
  </si>
  <si>
    <t>SK05K14</t>
  </si>
  <si>
    <t>Efaproxiral Sodium</t>
  </si>
  <si>
    <t>Efaproxiral Sodium is a synthetic allosteric modifier of &lt;b&gt;hemoglobin&lt;/b&gt;, used for brain metastases originating from breast cancer.</t>
  </si>
  <si>
    <t>SK05K15</t>
  </si>
  <si>
    <t>Coumarin</t>
  </si>
  <si>
    <t>Coumarin is a secondary phytochemical with hepatotoxic and carcinogenic properties.</t>
  </si>
  <si>
    <t>SK05K16</t>
  </si>
  <si>
    <t>Rotigotine</t>
  </si>
  <si>
    <t xml:space="preserve">Rotigotine is a dopamine receptor agonist, used in the treatment of Parkinson's disease and restless legs syndrome.
</t>
  </si>
  <si>
    <t>SK05K17</t>
  </si>
  <si>
    <t>Mezlocillin Sodium</t>
  </si>
  <si>
    <t>Mezlocillin sodium is a penicillin beta-lactam antibiotic used in the treatment of bacterial infections caused by susceptible, usually gram-positive, organisms.</t>
  </si>
  <si>
    <t>SK05K18</t>
  </si>
  <si>
    <t>Chloroprocaine HCl</t>
  </si>
  <si>
    <t xml:space="preserve">Chloroprocaine HCl is a local anesthetic during surgical procedures.
</t>
  </si>
  <si>
    <t>SK05K19</t>
  </si>
  <si>
    <t>Cyclandelate</t>
  </si>
  <si>
    <t xml:space="preserve">Cyclandelate is an effective inhibitor of rat hepatic acycloenzyme A: cholesterol acyltransferase (ACAT) with IC50 of 80 μM. </t>
  </si>
  <si>
    <t>SK05K20</t>
  </si>
  <si>
    <t>Diphenidol HCl</t>
  </si>
  <si>
    <t xml:space="preserve">Diphenidol HCl is a potent antagonist of muscarinic M2 and M3 receptor with pKb of 6.72 and 7.02, respectively, used in the treatment of vomiting and vertigo.
</t>
  </si>
  <si>
    <t>SK05K21</t>
  </si>
  <si>
    <t>Aminothiazole</t>
  </si>
  <si>
    <t>Aminothiazole can be used as a thyroid inhibitor and it has antibacterial activity.</t>
  </si>
  <si>
    <t>SK05K22</t>
  </si>
  <si>
    <t>Nitenpyram</t>
  </si>
  <si>
    <t xml:space="preserve">Nitenpyram is a &lt;b&gt;nicotinic acetylcholine receptor (AchR)&lt;/b&gt; agonist, used as veterinary medicine to treat parasites of livestock and pets.
</t>
  </si>
  <si>
    <t>SK05K23</t>
  </si>
  <si>
    <t>SK05K24</t>
  </si>
  <si>
    <t>SK05L01</t>
  </si>
  <si>
    <t>SC-514</t>
  </si>
  <si>
    <t>SC-514 is an orally active, ATP-competitive IKK-2 inhibitor with IC50 of 3-12 μM, blocks NF-κB-dependent gene expression, does not inhibit other IKK isoforms or other serine-threonine and tyrosine kinases.</t>
  </si>
  <si>
    <t>SK05L02</t>
  </si>
  <si>
    <t>TCID</t>
  </si>
  <si>
    <t>TCID is a DUB inhibitor for ubiquitin C-terminal hydrolase L3 with IC50 of 0.6 μM, 125-fold selective to L1.</t>
  </si>
  <si>
    <t>SK05L03</t>
  </si>
  <si>
    <t>Pimecrolimus</t>
  </si>
  <si>
    <t>Pimecrolimus, like all ascomycins, is an immunophilin ligand, which binds specifically to the cytosolic receptor, immunophilin macrophilin-12.</t>
  </si>
  <si>
    <t>SK05L04</t>
  </si>
  <si>
    <t>C646</t>
  </si>
  <si>
    <t>C646 is an inhibitor for histone acetyltransferase, and inhibits p300 with a Ki of 400 nM.  Preferentially selective for p300 versus other acetyltransferases.</t>
  </si>
  <si>
    <t>SK05L05</t>
  </si>
  <si>
    <t>LCL161</t>
  </si>
  <si>
    <t xml:space="preserve">LCL161, a SMAC mimetic, potently binds to and inhibits multiple &lt;b&gt;IAPs&lt;/b&gt; (i.e. XIAP, c-IAP). Phase 2.
</t>
  </si>
  <si>
    <t>SK05L06</t>
  </si>
  <si>
    <t>UNC1999</t>
  </si>
  <si>
    <t>UNC1999 is a potent, orally bioavailable and selective inhibitor of EZH2 and EZH1 with IC50 of 2 nM and 45 nM, respectively, showing &gt;1000-fold selectivity over a broad range of epigenetic and non-epigenetic targets.</t>
  </si>
  <si>
    <t>SK05L07</t>
  </si>
  <si>
    <t>IPI-145 (INK1197)</t>
  </si>
  <si>
    <t>IPI-145 (INK1197) is a novel and selective PI3K δ/γ inhibitor with Ki and IC50 of 23 pM/243 pM and 1 nM/50 nM, highly selective for PI3K δ/γ than other protein kinases. Phase 2.</t>
  </si>
  <si>
    <t>SK05L08</t>
  </si>
  <si>
    <t>AGI-5198</t>
  </si>
  <si>
    <t>AGI-5198 is the first highly potent and selective inhibitor of IDH1 R132H/R132C mutants with IC50 of 0.07 μM/0.16 μM.</t>
  </si>
  <si>
    <t>SK05L09</t>
  </si>
  <si>
    <t xml:space="preserve">CX-6258 HCl </t>
  </si>
  <si>
    <t xml:space="preserve">CX-6258 HCl is a potent, orally efficacious pan-Pim kinase inhibitor with IC50 of 5 nM, 25 nM and 16 nM for Pim1, Pim2, and Pim3, respectively.
</t>
  </si>
  <si>
    <t>SK05L10</t>
  </si>
  <si>
    <t>DBeQ</t>
  </si>
  <si>
    <t>DBeQ is a selective, potent, reversible, and ATP-competitive p97 inhibitor with IC50 of 1.5 μM.</t>
  </si>
  <si>
    <t>SK05L11</t>
  </si>
  <si>
    <t>EPZ5676</t>
  </si>
  <si>
    <t>EPZ-5676 is an S-adenosyl methionine (SAM) competitive inhibitor of protein methyltransferase DOT1L with Ki of 80 pM, demonstrating &gt;37,000-fold selectivity against all other PMTs tested, inhibits H3K79 methylation in tumor. Phase 1.</t>
  </si>
  <si>
    <t>SK05L12</t>
  </si>
  <si>
    <t>Losmapimod (GW856553X)</t>
  </si>
  <si>
    <t>Losmapimod (GW856553X) is a selective, potent, and orally active p38 MAPK inhibitor with pKi of 8.1 and 7.6 for p38α and p38β, respectively. Phase 3.</t>
  </si>
  <si>
    <t>SK05L13</t>
  </si>
  <si>
    <t>SGC 0946</t>
  </si>
  <si>
    <t>SGC 0946 is a highly potent and selective DOT1L methyltransferase inhibitor with IC50 of 0.3 nM, is inactive against a panel of 12 PMTs and DNMT1.</t>
  </si>
  <si>
    <t>SK05L14</t>
  </si>
  <si>
    <t>OG-L002</t>
  </si>
  <si>
    <t>OG-L002 is a potent and specific LSD1 inhibitor with IC50 of 20 nM, exhibiting 36- and 69-fold selectivity over MAO-B and MAO-A, respectively.</t>
  </si>
  <si>
    <t>SK05L15</t>
  </si>
  <si>
    <t>SANT-1</t>
  </si>
  <si>
    <t>SANT-1 directly binds to Smoothened (Smo) receptor with Kd of 1.2 nM and inhibits Smo agonist effects with IC50 of 20 nM.</t>
  </si>
  <si>
    <t>SK05L16</t>
  </si>
  <si>
    <t>AZD2858</t>
  </si>
  <si>
    <t>AZD2858 is a selective GSK-3 inhibitor with an IC50 of 68 nM, activating Wnt signaling, increases bone mass in rats.</t>
  </si>
  <si>
    <t>SK05L17</t>
  </si>
  <si>
    <t>GDC-0032</t>
  </si>
  <si>
    <t>GDC-0032 is a potent, next-generation β isoform-sparing PI3K inhibitor targeting &lt;b&gt;PI3Kα/δ/γ&lt;/b&gt; with &lt;b&gt;K&lt;sub&gt;i&lt;/sub&gt;&lt;/b&gt; of 0.29 nM/0.12 nM/0.97nM, &gt;10 fold selective over PI3Kβ.</t>
  </si>
  <si>
    <t>SK05L18</t>
  </si>
  <si>
    <t>AZD1981</t>
  </si>
  <si>
    <t>AZD1981 is a potent, selective CRTh2 (DP2) receptor antagonist with IC50 of 4 nM, showing &gt;1000-fold selectivity over more than 340 other enzymes and receptors, including DP1.</t>
  </si>
  <si>
    <t>SK05L19</t>
  </si>
  <si>
    <t>Go6976</t>
  </si>
  <si>
    <t xml:space="preserve">Go6976 is a potent &lt;b&gt;PKC&lt;/b&gt; inhibitor with &lt;b&gt;IC50&lt;/b&gt; of 7.9 nM, 2.3 nM, and 6.2 nM for PKC (Rat brain), PKCα, and PKCβ1, respectively. Also a potent inhibitor of &lt;b&gt;JAK2&lt;/b&gt; and &lt;b&gt;Flt3&lt;/b&gt;.
</t>
  </si>
  <si>
    <t>SK05L20</t>
  </si>
  <si>
    <t>SGI-1027</t>
  </si>
  <si>
    <t>SGI-1027 is a DNMT inhibitor with IC50 of 6, 8, 7.5 μM for DNMT1, DNMT3A, and DNMT3B</t>
  </si>
  <si>
    <t>SK05L21</t>
  </si>
  <si>
    <t>PR-619</t>
  </si>
  <si>
    <t>PR-619 is a non-selective, reversible inhibitor of the deubiquitinylating enzymes (DUBs) with EC50 of 1-20 μM.</t>
  </si>
  <si>
    <t>SK05L22</t>
  </si>
  <si>
    <t>PFK15</t>
  </si>
  <si>
    <t>PFK15 is a potent and selective 6-phosphofructo-2-kinase (PFKFB3) with IC50 of 207 nM.</t>
  </si>
  <si>
    <t>SK05L23</t>
  </si>
  <si>
    <t>SK05L24</t>
  </si>
  <si>
    <t>SK05M01</t>
  </si>
  <si>
    <t>Fenspiride HCl</t>
  </si>
  <si>
    <t>Fenspiride is a bronchodilator with anti-inflammatory properties, inhibiting phosphodiesterase 4 and phosphodiesterase 3 activities with logIC50 values of 4.16 and 3.44, respectively, in human isolated bronchi.</t>
  </si>
  <si>
    <t>SK05M02</t>
  </si>
  <si>
    <t>Clofibric Acid</t>
  </si>
  <si>
    <t>Clofibric acid is a PPARα agonist and hypolipidemic agent.</t>
  </si>
  <si>
    <t>SK05M03</t>
  </si>
  <si>
    <t>Esmolol HCl</t>
  </si>
  <si>
    <t>Esmolol is a cardioselective b-blocker, used to control rapid heartbeats or abnormal heart rhythms.</t>
  </si>
  <si>
    <t>SK05M04</t>
  </si>
  <si>
    <t>Valnemulin HCl</t>
  </si>
  <si>
    <t>Valnemulin HCl is a broad-spectrum bacteriostatic agent inhibiting protein synthesis in bacteria by binding to the peptidyl transferase component of the 50S subunit of ribosomes.</t>
  </si>
  <si>
    <t>SK05M05</t>
  </si>
  <si>
    <t>Estradiol Benzoate</t>
  </si>
  <si>
    <t>Estradiol benzoate is an estradiol analog which binds to the human, murine and chicken ERα with IC50 of 22-28 nM.</t>
  </si>
  <si>
    <t>SK05M06</t>
  </si>
  <si>
    <t>Mexiletine HCl</t>
  </si>
  <si>
    <t>Mexiletine HCl belongs to Class IB anti-arrhythmic group of medicines, inhibits sodium channels to reduce the inward sodium current.</t>
  </si>
  <si>
    <t>SK05M07</t>
  </si>
  <si>
    <t>Sulconazole Nitrate</t>
  </si>
  <si>
    <t>Sulconazole Nitrate is an imidazole derivative with broad-spectrum antifungal activity.</t>
  </si>
  <si>
    <t>SK05M08</t>
  </si>
  <si>
    <t>Phenazopyridine HCl</t>
  </si>
  <si>
    <t>Phenazopyridine HCl a local analgesic that has been used in urinary tract disorders.</t>
  </si>
  <si>
    <t>SK05M09</t>
  </si>
  <si>
    <t>Clorprenaline HCl</t>
  </si>
  <si>
    <t>Clorprenaline HCl is a β2-receptor agonist, it has a significant expansion of the bronchial effect.</t>
  </si>
  <si>
    <t>SK05M10</t>
  </si>
  <si>
    <t>Tranylcypromine (2-PCPA) HCl</t>
  </si>
  <si>
    <t>Tranylcypromine is a monoamine oxidase inhibitor, which inhibits CYP2A6 with Ki of 0.08 μM and 0.2 μM in cDNA-expressing microsomes and Human Liver Microsomes, respectively.</t>
  </si>
  <si>
    <t>SK05M11</t>
  </si>
  <si>
    <t>Ampicillin Trihydrate</t>
  </si>
  <si>
    <t>Ampicillin Trihydrate is a β-lactam antibiotic, which inhibits bacterial cell-wall synthesis (peptidoglycan cross-linking) by inactivating transpeptidases on the inner surface of the bacterial cell membrane.</t>
  </si>
  <si>
    <t>SK05M12</t>
  </si>
  <si>
    <t>Quinacrine 2HCl</t>
  </si>
  <si>
    <t>Quinacrine 2HCl is a lipophilic cationic drug with multiple actions that is commonly used as an anti-protozoal agent.</t>
  </si>
  <si>
    <t>SK05M13</t>
  </si>
  <si>
    <t>Benzethonium Chloride</t>
  </si>
  <si>
    <t>Benzethonium chloride is a potent inhibitor of nAChRs, it inhibits α4β2 nAChRs and α7 nAChRs with IC50 of 49 nM and 122 nM, respectively.</t>
  </si>
  <si>
    <t>SK05M14</t>
  </si>
  <si>
    <t>Etofibrate</t>
  </si>
  <si>
    <t>Etofibrate is a combination of clofibrate and niacin, used to treat hyperlipemia.</t>
  </si>
  <si>
    <t>SK05M15</t>
  </si>
  <si>
    <t>Choline Chloride</t>
  </si>
  <si>
    <t>Choline chloride is a quaternary ammonium salt used as an additive for animal feed.</t>
  </si>
  <si>
    <t>SK05M16</t>
  </si>
  <si>
    <t>Etizolam</t>
  </si>
  <si>
    <t xml:space="preserve">Etizolam is a specific platelet-activating factor (PAF) antagonist with anti-anxiety activity.   
</t>
  </si>
  <si>
    <t>SK05M17</t>
  </si>
  <si>
    <t>Nicardipine HCl</t>
  </si>
  <si>
    <t>Nicardipine is a dihydropyridine calcium-channel blocking agent used for the treatment of vascular disorders.</t>
  </si>
  <si>
    <t>SK05M18</t>
  </si>
  <si>
    <t>Ospemifene</t>
  </si>
  <si>
    <t xml:space="preserve">Ospemifene is a non-hormonal selective estrogen receptor modulator (SERM), used for the treatment of dyspareunia. 
</t>
  </si>
  <si>
    <t>SK05M19</t>
  </si>
  <si>
    <t>Cinchophen</t>
  </si>
  <si>
    <t>Cinchophen is an analgesic drug that is frequently used to treat gout.</t>
  </si>
  <si>
    <t>SK05M20</t>
  </si>
  <si>
    <t>Promethazine HCl</t>
  </si>
  <si>
    <t xml:space="preserve">Promethazine HCl is a potent histamine H1 receptor antagonist, used as a sedative and antiallergic medication. 
</t>
  </si>
  <si>
    <t>SK05M21</t>
  </si>
  <si>
    <t>Antazoline HCl</t>
  </si>
  <si>
    <t>Antazoline HCl is a first generation antihistamine, binding to the histamine H1 receptor and blocking the action of endogenous histamine.</t>
  </si>
  <si>
    <t>SK05M22</t>
  </si>
  <si>
    <t>Naloxone HCl Dihydrate</t>
  </si>
  <si>
    <t>Naloxone?HCl Dihydrate is an opioid inverse agonist drug used to counter the effects of opiate overdose.</t>
  </si>
  <si>
    <t>SK05M23</t>
  </si>
  <si>
    <t>SK05M24</t>
  </si>
  <si>
    <t>SK05N01</t>
  </si>
  <si>
    <t>SN-38</t>
  </si>
  <si>
    <t>SN-38 is an active metabolite of CPT-11, inhibits DNA topoisomerase I, DNA synthesis and causes frequent DNA single-strand breaks.</t>
  </si>
  <si>
    <t>SK05N02</t>
  </si>
  <si>
    <t>NSC697923</t>
  </si>
  <si>
    <t>NSC697923 is a cell-permeable and selective inhibitor of the Ub-conjugating enzyme (E2) complex Ubc13-Uev1A.</t>
  </si>
  <si>
    <t>SK05N03</t>
  </si>
  <si>
    <t xml:space="preserve">NXY-059 </t>
  </si>
  <si>
    <t>NXY-059 is a novel nitrone, shows efficacious neuroprotective effects.</t>
  </si>
  <si>
    <t>SK05N04</t>
  </si>
  <si>
    <t>10058-F4</t>
  </si>
  <si>
    <t>10058-F4 is a c-Myc inhibitor that specificallly inhibits the c-Myc-Max interaction and prevents transactivation of c-Myc target gene expression.</t>
  </si>
  <si>
    <t>SK05N05</t>
  </si>
  <si>
    <t>GDC-0152</t>
  </si>
  <si>
    <t>GDC-0152 is a potent antagonist of XIAP-BIR3, ML-IAP-BIR3, cIAP1-BIR3 and cIAP2-BIR3 with Ki of 28 nM, 14 nM, 17 nM and 43 nM, respectively; less affinity shown to cIAP1-BIR2 and cIAP2-BIR2. Phase 1.</t>
  </si>
  <si>
    <t>SK05N06</t>
  </si>
  <si>
    <t>SSR128129E</t>
  </si>
  <si>
    <t>SSR128129E is an orally-active and allosteric FGFR1 inhibitor with IC50 of 1.9 μM, while not affecting other related RTKs.</t>
  </si>
  <si>
    <t>SK05N07</t>
  </si>
  <si>
    <t>AZD2461</t>
  </si>
  <si>
    <t>AZD2461 is a novel PARP inhibitor with low affinity for Pgp than Olaparib. Phase 1.</t>
  </si>
  <si>
    <t>SK05N08</t>
  </si>
  <si>
    <t>CID755673</t>
  </si>
  <si>
    <t xml:space="preserve">CID755673 is a cell-active pan-&lt;b&gt;PKD1/2/3&lt;/b&gt; inhibitor with &lt;b&gt;IC50&lt;/b&gt; of 180 nM, 280nM, and 227 nM, respectively, about 200-fold selectivity over other CAMKs. 
</t>
  </si>
  <si>
    <t>SK05N09</t>
  </si>
  <si>
    <t xml:space="preserve">Brefeldin A </t>
  </si>
  <si>
    <t>Brefeldin A is a lactone antibiotic and ATPase inhibitor for protein transport with IC50 of 0.2 μM in HCT 116 cells, induces cancer cell differentiation and apoptosis.</t>
  </si>
  <si>
    <t>SK05N10</t>
  </si>
  <si>
    <t>Idasanutlin (RG-7388)</t>
  </si>
  <si>
    <t xml:space="preserve">Idasanutlin (RG-7388) is a potent and selective &lt;b&gt;p53-MDM2&lt;/b&gt; inhibitor with &lt;b&gt;IC50&lt;/b&gt; of 6 nM.
</t>
  </si>
  <si>
    <t>SK05N11</t>
  </si>
  <si>
    <t>LY2090314</t>
  </si>
  <si>
    <t>LY2090314 is a potent &lt;b&gt;GSK-3&lt;/b&gt; inhibitor for GSK-3α/β with &lt;b&gt;IC50&lt;/b&gt; of 1.5 nM/0.9 nM; may improve the efficacy of platinum-based chemotherapy regimens. Phase 2.</t>
  </si>
  <si>
    <t>SK05N12</t>
  </si>
  <si>
    <t>OAC1</t>
  </si>
  <si>
    <t>OAC1 (Oct4-activating compound 1) can enhance the efficiency of reprogramming.</t>
  </si>
  <si>
    <t>SK05N13</t>
  </si>
  <si>
    <t>RN486</t>
  </si>
  <si>
    <t xml:space="preserve">RN486 is a potent and selective &lt;b&gt;BTK&lt;/b&gt; inhibitor with &lt;b&gt;IC50&lt;/b&gt; of 4 nM.
</t>
  </si>
  <si>
    <t>SK05N14</t>
  </si>
  <si>
    <t>G007-LK</t>
  </si>
  <si>
    <t xml:space="preserve">G007-LK is a potent and selective &lt;b&gt;tankyrase&lt;/b&gt; inhibitor with &lt;b&gt;IC50&lt;/b&gt; of 46 nM and 25 nM for TNKS1/2, respectively. 
</t>
  </si>
  <si>
    <t>SK05N15</t>
  </si>
  <si>
    <t>IPA-3</t>
  </si>
  <si>
    <t>IPA-3 is a selective non-ATP competitive Pak1 inhibitor with IC50 of 2.5 μM, no inhibition to group II PAKs (PAKs 4-6).</t>
  </si>
  <si>
    <t>SK05N16</t>
  </si>
  <si>
    <t>NMS-P937 (NMS1286937)</t>
  </si>
  <si>
    <t>NMS-P937 (NMS1286937) is an orally available, selective Polo-like Kinase 1 (PLK1) inhibitor with IC50 of 2 nM, 5000-fold selectivity over PLK2/PLK3. Phase 1.</t>
  </si>
  <si>
    <t>SK05N17</t>
  </si>
  <si>
    <t>AZD1208</t>
  </si>
  <si>
    <t xml:space="preserve">AZD1208 is a potent, and orally available Pim kinase inhibitor with IC50 of 0.4 nM, 5 nM, and 1.9 nM for Pim1, Pim2, and Pim3, respectively. Phase 1. 
</t>
  </si>
  <si>
    <t>SK05N18</t>
  </si>
  <si>
    <t>MM-102</t>
  </si>
  <si>
    <t>MM-102 is a high-affinity peptidomimetic MLL1 inhibitor with IC50 of 0.4 μM.</t>
  </si>
  <si>
    <t>SK05N19</t>
  </si>
  <si>
    <t>3-Deazaneplanocin A (DZNeP)</t>
  </si>
  <si>
    <t>3-deazaneplanocin A (DZNeP), an analog of adenosine, is a competitive inhibitor of S-adenosylhomocysteine hydrolase with Ki of 50 pM.</t>
  </si>
  <si>
    <t>SK05N20</t>
  </si>
  <si>
    <t>HPOB</t>
  </si>
  <si>
    <t xml:space="preserve">HPOB is a potent, selective &lt;b&gt;HDAC6&lt;/b&gt; inhibitor with &lt;b&gt;IC50&lt;/b&gt; of 56 nM, &gt;30-fold selectivity over other HDACs.
</t>
  </si>
  <si>
    <t>SK05N21</t>
  </si>
  <si>
    <t>P5091 (P005091)</t>
  </si>
  <si>
    <t>P5091(P005091) is a selective and potent inhibitor of ubiquitin-specific protease 7 (USP7) with EC50 of 4.2 μM and the closely related USP47.</t>
  </si>
  <si>
    <t>SK05N22</t>
  </si>
  <si>
    <t>TAK-632</t>
  </si>
  <si>
    <t>TAK-632 is a potent pan-Raf inhibitor with IC50 of 8.3 nM and 1.4 nM for B-Raf(wt) and C-Raf, respectively, showing less or no inhibition against other tested kinases.</t>
  </si>
  <si>
    <t>SK05N23</t>
  </si>
  <si>
    <t>SK05N24</t>
  </si>
  <si>
    <t>SK05O01</t>
  </si>
  <si>
    <t>Ifenprodil Tartrate</t>
  </si>
  <si>
    <t>Ifenprodil is an atypical noncompetitive antagonist at the NMDA receptor, it interacts with high affinity at a homogeneous population of NMDA receptors in neonatal rat forebrain with IC50 of 0.3 μM.</t>
  </si>
  <si>
    <t>SK05O02</t>
  </si>
  <si>
    <t>Chromocarb</t>
  </si>
  <si>
    <t>Chromocarb is a vasoprotectant.</t>
  </si>
  <si>
    <t>SK05O03</t>
  </si>
  <si>
    <t>Voglibose</t>
  </si>
  <si>
    <t>Voglibose is an N-substituted derivative of valiolamine, excellent inhibitory activity against α-glucosidases and its action against hyperglycemia and various disorders caused by hyperglycemia.</t>
  </si>
  <si>
    <t>SK05O04</t>
  </si>
  <si>
    <t>Liothyronine Sodium</t>
  </si>
  <si>
    <t xml:space="preserve">Liothyronine Sodium is the most potent form of thyroid hormone acting on the body to increase the basal metabolic rate, affect protein synthesis. </t>
  </si>
  <si>
    <t>SK05O05</t>
  </si>
  <si>
    <t>Dicloxacillin Sodium</t>
  </si>
  <si>
    <t>Dicloxacillin is a β-lactamase resistant penicillin similar to oxacillin and it has activity against gram-positive/negative aerobic and anaerobic bacteria.</t>
  </si>
  <si>
    <t>SK05O06</t>
  </si>
  <si>
    <t>Fidaxomicin</t>
  </si>
  <si>
    <t>Fidaxomicin is a narrow spectrum macrocyclic antibiotic that inhibits RNA polymerase sigma subunit.</t>
  </si>
  <si>
    <t>SK05O07</t>
  </si>
  <si>
    <t>Tilmicosin</t>
  </si>
  <si>
    <t>Tilmicosin is a macrolide antibiotic.</t>
  </si>
  <si>
    <t>SK05O08</t>
  </si>
  <si>
    <t>Primaquine Diphosphate</t>
  </si>
  <si>
    <t>Primaquine Diphosphate is a transmission-blocking anti-malarial clinically available, displaying a marked activity against gametocytes of all species of human malaria.</t>
  </si>
  <si>
    <t>SK05O09</t>
  </si>
  <si>
    <t>Carprofen</t>
  </si>
  <si>
    <t>Carprofen inhibits canine COX2 with IC50 of 0.03 mM.</t>
  </si>
  <si>
    <t>SK05O10</t>
  </si>
  <si>
    <t>Prucalopride Succinat</t>
  </si>
  <si>
    <t>Prucalopride is a selective, high affinity 5-HT4 receptor agonist, inhibiting human 5-HT(4a) and 5-HT(4b) receptor with Ki value of 2.5 nM and 8 nM, respectively.</t>
  </si>
  <si>
    <t>SK05O11</t>
  </si>
  <si>
    <t>Amfenac Sodium Monohydrate</t>
  </si>
  <si>
    <t>Amfenac Sodium monohydrate is a non-steroidal analgesic anti-inflammatory drug with acetic acid moiety.</t>
  </si>
  <si>
    <t>SK05O12</t>
  </si>
  <si>
    <t>Buspirone HCl</t>
  </si>
  <si>
    <t>Buspirone is a serotonergic (&lt;b&gt;5HT(1A) receptor agonist&lt;/b&gt;) anxiolytic drug with some D(2) dopaminergic effect, used for anxiety disorders.</t>
  </si>
  <si>
    <t>SK05O13</t>
  </si>
  <si>
    <t>Doxycycline Hyclate</t>
  </si>
  <si>
    <t>Doxycycline is a member of the tetracycline antibiotics group, and is commonly used to treat a variety of infections.</t>
  </si>
  <si>
    <t>SK05O14</t>
  </si>
  <si>
    <t>Nicaraven</t>
  </si>
  <si>
    <t>Nicaraven is a hydroxyl radical scavenger with antivasospastic and neuroprotective effects.</t>
  </si>
  <si>
    <t>SK05O15</t>
  </si>
  <si>
    <t>Cetylpyridinium Chloride</t>
  </si>
  <si>
    <t>Cetylpyridinium chloride is a cationic quaternary ammonium compound used as oropharyngeal antiseptic.</t>
  </si>
  <si>
    <t>SK05O16</t>
  </si>
  <si>
    <t>Bambuterol HCl</t>
  </si>
  <si>
    <t xml:space="preserve">Bambuterol HCl is a potent β-adrenoceptor agonist, used in the treatment of asthma.
</t>
  </si>
  <si>
    <t>SK05O17</t>
  </si>
  <si>
    <t>Nifuroxazide</t>
  </si>
  <si>
    <t>Nifuroxazide is a cell-permeable and orally available nitrofuran-based antidiarrheal agent that effectively suppresses the activation of cellular STAT1/3/5 transcription activity with IC50 of 3 μM against IL-6-induced STAT3 activation in U3A cells</t>
  </si>
  <si>
    <t>SK05O18</t>
  </si>
  <si>
    <t>Anidulafungin (LY303366)</t>
  </si>
  <si>
    <t xml:space="preserve">Anidulafungin (LY303366), an echinocandin derivative, inhibits glucan synthase activity, used as an antifungal drug.
</t>
  </si>
  <si>
    <t>SK05O19</t>
  </si>
  <si>
    <t>Betamipron</t>
  </si>
  <si>
    <t xml:space="preserve">Betamipron is a chemical compound which is used together with panipenem to inhibit panipenem uptake into the renal tubule and prevent nephrotoxicity. </t>
  </si>
  <si>
    <t>SK05O20</t>
  </si>
  <si>
    <t>Procainamide HCl</t>
  </si>
  <si>
    <t xml:space="preserve">Procainamide HCl is a sodium channel blocker, and also a DNA methyltransferase inhibitor, used in the treatment of cardiac arrhythmias.
</t>
  </si>
  <si>
    <t>SK05O21</t>
  </si>
  <si>
    <t>Tolperisone HCl</t>
  </si>
  <si>
    <t xml:space="preserve">Tolperisone HCl is an ion channel blocker and centrally-acting muscle relaxant. </t>
  </si>
  <si>
    <t>SK05O22</t>
  </si>
  <si>
    <t xml:space="preserve">Eltrombopag </t>
  </si>
  <si>
    <t xml:space="preserve">Eltrombopag, a member of the biarylhydrazone class, is a nonpeptide agonist of the &lt;b&gt;thrombopoietin receptor (TpoR)&lt;/b&gt;, used to treat chronic hepatitis C-associated thrombocytopenia and chronic immune (idiopathic) thrombocytopenia (ITP).
</t>
  </si>
  <si>
    <t>SK05O23</t>
  </si>
  <si>
    <t>SK05O24</t>
  </si>
  <si>
    <t>SK05P01</t>
  </si>
  <si>
    <t>b-AP15</t>
  </si>
  <si>
    <t>b-AP15 is a &lt;b&gt;deubiquitinases&lt;/b&gt; inhibitor for 19S proteasomes activity of Ub-AMC cleavage with &lt;b&gt;IC50&lt;/b&gt; of 2.1 μM.</t>
  </si>
  <si>
    <t>SK05P02</t>
  </si>
  <si>
    <t>LGK-974</t>
  </si>
  <si>
    <t>LGK-974 is a potent and specific PORCN inhibitor, and inhibits Wnt signaling with IC50 of 0.4 nM. Phase 1.</t>
  </si>
  <si>
    <t>SK05P03</t>
  </si>
  <si>
    <t>Ataluren (PTC124)</t>
  </si>
  <si>
    <t>PTC124 (Ataluren) selectively induces ribosomal read-through of premature but not normal termination codons, with EC50 of 0.1 μM, may provide treatment for genetic disorders caused by nonsense mutations (e.g. CF caused by CFTR nonsense mutation). Phase 3.</t>
  </si>
  <si>
    <t>SK05P04</t>
  </si>
  <si>
    <t>Batimastat (BB-94)</t>
  </si>
  <si>
    <t>Batimastat (BB-94) is a potent, broad spectrum matrix metalloprotease (MMP) inhibitor for MMP-1, MMP-2, MMP-9, MMP-7 and MMP-3 with IC50 of 3 nM, 4 nM, 4 nM, 6 nM and 20 nM, respectively.</t>
  </si>
  <si>
    <t>SK05P05</t>
  </si>
  <si>
    <t>Birinapant</t>
  </si>
  <si>
    <t>Birinapant is a SMAC mimetic antagonist, mostly to cIAP1 with Kd of &lt;1 nM, less potent to XIAP. Phase 1/2.</t>
  </si>
  <si>
    <t>SK05P06</t>
  </si>
  <si>
    <t>GKT137831</t>
  </si>
  <si>
    <t xml:space="preserve">GKT137831 is a potent, dual &lt;b&gt;NADPH oxidase NOX1/NOX4&lt;/b&gt; inhibitor with &lt;b&gt;K&lt;sub&gt;i&lt;/sub&gt;&lt;/b&gt; of 110 nM and 140 nM, respectively. Phase 2.
</t>
  </si>
  <si>
    <t>SK05P07</t>
  </si>
  <si>
    <t>GSK2656157</t>
  </si>
  <si>
    <t>GSK2656157 is an ATP-competitive and highly selective inhibitor of PERK with IC50 of 0.9 nM, 500-fold greater against a panel of 300 kinases.</t>
  </si>
  <si>
    <t>SK05P08</t>
  </si>
  <si>
    <t>I-BET-762</t>
  </si>
  <si>
    <t>I-BET-762 is an inhibitor for BET proteins with IC50 of ~35 nM, suppresses the production of proinflammatory proteins by macrophages and blocks acute inflammation, highly selective over other bromodomain-containing proteins.</t>
  </si>
  <si>
    <t>SK05P09</t>
  </si>
  <si>
    <t>Oprozomib (ONX 0912)</t>
  </si>
  <si>
    <t>Oprozomib (ONX 0912) is an orally bioavailable inhibitor for CT-L activity of 20S proteasome β5/LMP7 with IC50 of 36 nM/82 nM.</t>
  </si>
  <si>
    <t>SK05P10</t>
  </si>
  <si>
    <t>CNX-2006</t>
  </si>
  <si>
    <t>CNX-2006 is a novel irreversible mutant-selective EGFR inhibitor with IC50 of &lt; 20 nM, with very weak inhibition at wild-type EGFR.</t>
  </si>
  <si>
    <t>SK05P11</t>
  </si>
  <si>
    <t>MK-8745</t>
  </si>
  <si>
    <t>MK-8745 is a potent and selective Aurora A inhibitor with IC50 of 0.6 nM, more than 450-fold selectivity for Aurora A over Aurora B.</t>
  </si>
  <si>
    <t>SK05P12</t>
  </si>
  <si>
    <t>Alvelestat (AZD9668)</t>
  </si>
  <si>
    <t xml:space="preserve">Alvelestat (AZD9668) is an oral, highly selective inhibitor of neutrophil elastase (NE) with IC50 and Ki of 12 nM and 9.4 nM, at least 600-fold more selective over other serine proteases.
 Phase 2.
</t>
  </si>
  <si>
    <t>SK05P13</t>
  </si>
  <si>
    <t>LDK378</t>
  </si>
  <si>
    <t>LDK378 is potent inhibitor against ALK with IC50 of 0.2 nM, shows 40- and 35-fold selectivity against IGF-1R and InsR, respectively. Phase 2.</t>
  </si>
  <si>
    <t>SK05P14</t>
  </si>
  <si>
    <t>AGI-6780</t>
  </si>
  <si>
    <t>AGI-6780 is a potent and selective inhibitor of IDH2 R140Q mutant with IC50 of 23 nM.</t>
  </si>
  <si>
    <t>SK05P15</t>
  </si>
  <si>
    <t>PF-3758309</t>
  </si>
  <si>
    <t>PF-03758309 is a potent, ATP-competitive, pyrrolopyrazole inhibitor of PAK4  with IC50 of 1.3 nM.</t>
  </si>
  <si>
    <t>SK05P16</t>
  </si>
  <si>
    <t>SGC-CBP30</t>
  </si>
  <si>
    <t>SGC-CBP30 is a potent CREBBP/EP300 inhibitor with IC50 of 21 nM and 38 nM, respectively.</t>
  </si>
  <si>
    <t>SK05P17</t>
  </si>
  <si>
    <t>AZD3463</t>
  </si>
  <si>
    <t xml:space="preserve">AZD3463 is a novel orally bioavailable ALK inhibitor with Ki of 0.75 nM, which also inhibits IGF1R with equivalent potency. </t>
  </si>
  <si>
    <t>SK05P18</t>
  </si>
  <si>
    <t>Golgicide A</t>
  </si>
  <si>
    <t>Golgicide A is a potent and rapidly reversible GBF1 inhibitor.</t>
  </si>
  <si>
    <t>SK05P19</t>
  </si>
  <si>
    <t>XL888</t>
  </si>
  <si>
    <t>XL888 is an ATP-competitive inhibitor of HSP90 with IC50 of 24 nM.</t>
  </si>
  <si>
    <t>SK05P20</t>
  </si>
  <si>
    <t>Suvorexant (MK-4305)</t>
  </si>
  <si>
    <t>Suvorexant (MK-4305) is a potent dual OX receptor antagonist with Ki of 0.55 nM and 0.35 nM for OX1 receptor and OX2 receptor, respectively. Phase 3.</t>
  </si>
  <si>
    <t>SK05P21</t>
  </si>
  <si>
    <t>P22077</t>
  </si>
  <si>
    <t>P22077 is an inhibitor of ubiquitin-specific protease USP7 with EC50 of 8.6 μM, also inhibits the closely related USP47.</t>
  </si>
  <si>
    <t>SK05P22</t>
  </si>
  <si>
    <t>RG2833 (RGFP109)</t>
  </si>
  <si>
    <t>RG2833 (RGFP109) is a brain-penetrant HDAC inhibitor with IC50 of 60 nM and 50 nM for HDAC1 and HDAC3, respectively.</t>
  </si>
  <si>
    <t>SK05P23</t>
  </si>
  <si>
    <t>SK05P24</t>
  </si>
  <si>
    <t>SK06A01</t>
  </si>
  <si>
    <t>ZCL278</t>
  </si>
  <si>
    <t>ZCL278 is a selective Cdc42 GTPase inhibitor with Kd of 11.4 μM.</t>
  </si>
  <si>
    <t>SK06A02</t>
  </si>
  <si>
    <t>FH1(BRD-K4477)</t>
  </si>
  <si>
    <t>FH1(BRD-K4477) is a small molecule, which promotes differentiation of iPS-derived hepatocytes.</t>
  </si>
  <si>
    <t>SK06A03</t>
  </si>
  <si>
    <t>Rilpivirine</t>
  </si>
  <si>
    <t>Rilpivirine is a non-nucleoside reverse transcriptase inhibitor (NNRTI), and used to treat HIV-1 infection.</t>
  </si>
  <si>
    <t>SK06A04</t>
  </si>
  <si>
    <t>PI-1840</t>
  </si>
  <si>
    <t xml:space="preserve">PI-1840 is a reversible and selective chymotrypsin-like (CT-L) inhibitor with IC50 of 27 nM with little effects on the other two major proteasome proteolytic activities, trypsin-like (T-L) and postglutamyl-peptide-hydrolysis-like (PGPH-L).
</t>
  </si>
  <si>
    <t>SK06A05</t>
  </si>
  <si>
    <t>WZ4003</t>
  </si>
  <si>
    <t>WZ4003 is a highly specific NUAK kinase inhibitor with IC50 of 20 nM and 100 nM for NUAK1 and NUAK2, respectively, without significant inhibition on 139 other kinases.</t>
  </si>
  <si>
    <t>SK06A06</t>
  </si>
  <si>
    <t>MPI-0479605</t>
  </si>
  <si>
    <t>MPI-0479605 is an ATP competitive and selective inhibitor of mitotic kinase Mps1 with IC50 of 1.8 nM, &gt;40-fold selectivity over other kinases.</t>
  </si>
  <si>
    <t>SK06A07</t>
  </si>
  <si>
    <t>IOWH032</t>
  </si>
  <si>
    <t>IOWH032 is a synthetic CFTR inhibitor with IC50 of 1.01 μM in CHO-CFTR cell based assays. Phase 1/2.</t>
  </si>
  <si>
    <t>SK06A08</t>
  </si>
  <si>
    <t>HJC0350</t>
  </si>
  <si>
    <t xml:space="preserve">HJC0350 is a potent and selective EPAC2 inhibitor with IC50 of 0.3 μM, exhibiting no inhibition on Epac1.
</t>
  </si>
  <si>
    <t>SK06A09</t>
  </si>
  <si>
    <t>AZ191</t>
  </si>
  <si>
    <t>AZ191 is a potent and selective DYRK1B inhibitor with IC50 of 17 nM in a cell-free assay, about 5- and 110-fold selectivity over DYRK1A and DYRK2, respectively.</t>
  </si>
  <si>
    <t>SK06A10</t>
  </si>
  <si>
    <t>Y-320</t>
  </si>
  <si>
    <t>Y-320 is an orally active immunomodulator, and inhibits IL-17 production by CD4 T cells stimulated with IL-15 with IC50 of 20 to 60 nM.</t>
  </si>
  <si>
    <t>SK06A11</t>
  </si>
  <si>
    <t>PF-562271 HCl</t>
  </si>
  <si>
    <t>PF-562271 HCl is the hydrochloride salt of PF-562271, which is a potent, ATP-competitive, reversible inhibitor of FAK with IC50 of 1.5 nM, ~10-fold less potent for Pyk2 than FAK and &gt;100-fold selectivity against other protein kinases, except for some CDKs. Phase 1.</t>
  </si>
  <si>
    <t>SK06A12</t>
  </si>
  <si>
    <t>XMD8-92</t>
  </si>
  <si>
    <t xml:space="preserve">XMD8-92 is a potent and selective BMK1/ERK5 inhibitor with Kd of 80 nM.
</t>
  </si>
  <si>
    <t>SK06A13</t>
  </si>
  <si>
    <t>GNE-0877</t>
  </si>
  <si>
    <t>GNE-0877 is a highly potent and selective leucine-rich repeat kinase 2 (LRRK2) inhibitor with Ki of 0.7 nM.</t>
  </si>
  <si>
    <t>SK06A14</t>
  </si>
  <si>
    <t>PTC-209 HBr</t>
  </si>
  <si>
    <t xml:space="preserve">PTC-209 HBr is the hydrobromide salt of PTC-209, which is a potent and selective BMI-1 inhibitor with IC50 of 0.5 μM, and results in irreversible reduction of cancer-initiating cells (CICs).
</t>
  </si>
  <si>
    <t>SK06A15</t>
  </si>
  <si>
    <t>Leupeptin Hemisulfate</t>
  </si>
  <si>
    <t>Leupeptin Hemisulfate is a reversible inhibitor of serine and cysteine proteases.</t>
  </si>
  <si>
    <t>SK06A16</t>
  </si>
  <si>
    <t>CL-387785 (EKI-785)</t>
  </si>
  <si>
    <t xml:space="preserve">CL-387785 (EKI-785) is an irreversible, and selective &lt;b&gt;EGFR&lt;/b&gt; inhibitor with &lt;b&gt;IC50&lt;/b&gt; of 370 pM. 
</t>
  </si>
  <si>
    <t>SK06A17</t>
  </si>
  <si>
    <t>Sorafenib</t>
  </si>
  <si>
    <t>Sorafenib is a multikinase inhibitor of Raf-1, B-Raf and VEGFR-2 with IC50 of 6 nM, 22 nM and 90 nM, respectively.</t>
  </si>
  <si>
    <t>SK06A18</t>
  </si>
  <si>
    <t>AGK2</t>
  </si>
  <si>
    <t xml:space="preserve">AGK2 is a potent, and selective &lt;b&gt;SIRT2&lt;/b&gt; inhibitor with &lt;b&gt;IC50&lt;/b&gt; of 3.5 μM.
</t>
  </si>
  <si>
    <t>SK06A19</t>
  </si>
  <si>
    <t>KN-93 Phosphate</t>
  </si>
  <si>
    <t>KN-93 Phosphate is a potent and specific inhibitor of Ca2+/calmodulin-dependent protein kinase II (CaMKII) with Ki of 0.37 μM, no remarkable inhibitory effects on APK, PKC, MLCK or Ca2+-PDE activities.</t>
  </si>
  <si>
    <t>SK06A20</t>
  </si>
  <si>
    <t>BRD4770</t>
  </si>
  <si>
    <t xml:space="preserve">BRD4770 is a &lt;b&gt;histone methyltransferase G9a&lt;/b&gt; inhibitor with &lt;b&gt;IC50&lt;/b&gt; of 6.3 μM, and induces cell senescence.
</t>
  </si>
  <si>
    <t>SK06A21</t>
  </si>
  <si>
    <t>ME0328</t>
  </si>
  <si>
    <t>ME0328 is a potent and selective PARP inhibitor with IC50 of 0.89 μM for PARP3, about 7-fold selectivity over PARP1.</t>
  </si>
  <si>
    <t>SK06A22</t>
  </si>
  <si>
    <t>BQU57</t>
  </si>
  <si>
    <t xml:space="preserve">BQU57, a derivative of RBC8, is a selective &lt;b&gt;GTPase Ral&lt;/b&gt; inhibitor relative to the GTPases Ras and RhoA. 
</t>
  </si>
  <si>
    <t>SK06A23</t>
  </si>
  <si>
    <t>SK06A24</t>
  </si>
  <si>
    <t>SK06B01</t>
  </si>
  <si>
    <t>MI-3 (Menin-MLL Inhibitor)</t>
  </si>
  <si>
    <t xml:space="preserve">MI-3 (Menin-MLL Inhibitor) is a potent &lt;b&gt;menin-MLL&lt;/b&gt; interaction inhibitor with &lt;b&gt;IC50&lt;/b&gt; of 648 nM.
</t>
  </si>
  <si>
    <t>SK06B02</t>
  </si>
  <si>
    <t>Dibutyryl-cAMP (Bucladesine)</t>
  </si>
  <si>
    <t xml:space="preserve">Dibutyryl-cAMP (Bucladesine) is a cell-permeable &lt;b&gt;PKA&lt;/b&gt; activator by mimicing the action of endogenous cAMP.
</t>
  </si>
  <si>
    <t>SK06B03</t>
  </si>
  <si>
    <t>Cerdulatinib (PRT062070, PRT2070)</t>
  </si>
  <si>
    <t xml:space="preserve">Cerdulatinib (PRT-062070) is an oral active, multi-targeted tyrosine kinase inhibitor with &lt;b&gt;IC50&lt;/b&gt; of 12 nM/6 nM/8 nM/0.5 nM and 32 nM for &lt;b&gt;JAK1/JAK2/JAK3/TYK2&lt;/b&gt; and &lt;b&gt;Syk&lt;/b&gt;, respectively. Also inhibits 19 other tested kinases with &lt;b&gt;IC50&lt;/b&gt; less than 200 nM.
</t>
  </si>
  <si>
    <t>SK06B04</t>
  </si>
  <si>
    <t>Sodium Tauroursodeoxycholate (TUDC)</t>
  </si>
  <si>
    <t>Sodium Tauroursodeoxycholate (TUDC) is a water soluble bile salt, used for the treatment of gallstones and liver cirrhosis.</t>
  </si>
  <si>
    <t>SK06B05</t>
  </si>
  <si>
    <t>Pilaralisib (XL147)</t>
  </si>
  <si>
    <t xml:space="preserve">Pilaralisib (XL147) is a selective and reversible class I &lt;b&gt;PI3K&lt;/b&gt; inhibitor for PI3Kα/δ/γ with &lt;b&gt;IC50&lt;/b&gt; of 39 nM/36 nM/23 nM in cell-free assays, less potent to PI3Kβ. Phase 1/2.
</t>
  </si>
  <si>
    <t>SK06B06</t>
  </si>
  <si>
    <t>PQ 401</t>
  </si>
  <si>
    <t>PQ401 inhibits autophosphorylation of IGF-1R domain with IC50 of &lt;1 μM.</t>
  </si>
  <si>
    <t>SK06B07</t>
  </si>
  <si>
    <t>GSK2578215A</t>
  </si>
  <si>
    <t xml:space="preserve">GSK2578215A is a potent and selective &lt;b&gt;LRRK2 kinase&lt;/b&gt; inhibitor with &lt;b&gt;IC50&lt;/b&gt; of 8.9 nM and 10.9 nM for LRRK2 (G2019S) and LRRK2 (WT), respectively.
</t>
  </si>
  <si>
    <t>SK06B08</t>
  </si>
  <si>
    <t>CEP-32496</t>
  </si>
  <si>
    <t>CEP-32496 is a highly potent inhibitor of BRAF(V600E/WT) and c-Raf with Kd of 14 nM/36 nM and 39 nM, also potent to Abl-1, c-Kit, Ret, PDGFRβ and VEGFR2, respectively; insignificant affinity for MEK-1, MEK-2, ERK-1 and ERK-2. Phase 1/2.</t>
  </si>
  <si>
    <t>SK06B09</t>
  </si>
  <si>
    <t>SP2509</t>
  </si>
  <si>
    <t xml:space="preserve">SP2509 is a selective &lt;b&gt;histone demethylase LSD1&lt;/b&gt; inhibitor with &lt;b&gt;IC50&lt;/b&gt; of  13 nM, showing no activity against MAO-A, MAO-B, lactate dehydrogenase and glucose oxidase. 
</t>
  </si>
  <si>
    <t>SK06B10</t>
  </si>
  <si>
    <t>GSK3787</t>
  </si>
  <si>
    <t>GSK3787 is as a selective and irreversible antagonist of PPARδ with pIC50 of 6.6, with no measurable affinity for hPPARα or hPPARγ.</t>
  </si>
  <si>
    <t>SK06B11</t>
  </si>
  <si>
    <t>A-438079 HCl</t>
  </si>
  <si>
    <t xml:space="preserve">A-438079 HCl is a potent, and selective &lt;b&gt;P2X7 receptor&lt;/b&gt; antagonist with &lt;b&gt;pIC50&lt;/b&gt; of 6.9.
</t>
  </si>
  <si>
    <t>SK06B12</t>
  </si>
  <si>
    <t>UPF 1069</t>
  </si>
  <si>
    <t>UPF 1069 is a selective PARP2 inhibitor with IC50 of 0.3 μM. It is ~27-fold selective against PARP1.</t>
  </si>
  <si>
    <t>SK06B13</t>
  </si>
  <si>
    <t>BRD73954</t>
  </si>
  <si>
    <t xml:space="preserve">BRD73954 is a potent and selective &lt;b&gt;HDAC&lt;/b&gt; inhibitor with &lt;b&gt;IC50&lt;/b&gt; of 36 nM and 120 nM for HDAC6 and HDAC8, respectively. 
</t>
  </si>
  <si>
    <t>SK06B14</t>
  </si>
  <si>
    <t>ABT-199 (GDC-0199)</t>
  </si>
  <si>
    <t>ABT-199 (GDC-0199) is a Bcl-2-selective inhibitor with Ki of &lt;0.01 nM, &gt;4800-fold more selective versus Bcl-xL and Bcl-w, and no activity to Mcl-1. Phase 2.</t>
  </si>
  <si>
    <t>SK06B15</t>
  </si>
  <si>
    <t>KNK437</t>
  </si>
  <si>
    <t xml:space="preserve">KNK437 is a pan-&lt;b&gt;HSP&lt;/b&gt; inhibitor, which inhibits the synthesis of inducible HSPs, including HSP105, HSP72, and HSP40.
</t>
  </si>
  <si>
    <t>SK06B16</t>
  </si>
  <si>
    <t>Nutlin-3a</t>
  </si>
  <si>
    <t>Nutlin-3a, the active enantiomer of Nutlin-3, inhibits the p53/MDM2 interaction with IC50 of 90 nM.</t>
  </si>
  <si>
    <t>SK06B17</t>
  </si>
  <si>
    <t>Smoothened Agonist (SAG) HCl</t>
  </si>
  <si>
    <t>Smoothened Agonist (SAG) HCl is a cell-permeable &lt;b&gt;Smoothened&lt;/b&gt; (Smo) agonist with &lt;b&gt;EC50&lt;/b&gt; of 3 nM in Shh-LIGHT2 cells.</t>
  </si>
  <si>
    <t>SK06B18</t>
  </si>
  <si>
    <t>SK06B19</t>
  </si>
  <si>
    <t>GNE-317</t>
  </si>
  <si>
    <t xml:space="preserve">GNE-317 is a potent, brain-penetrant &lt;b&gt;PI3K&lt;/b&gt; inhibitor.
</t>
  </si>
  <si>
    <t>SK06B20</t>
  </si>
  <si>
    <t>Palbociclib (PD-0332991) HCl</t>
  </si>
  <si>
    <t>PD0332991 is a highly selective inhibitor of CDK4/6 with IC50 of 11 nM/16 nM. It shows no activity against CDK1/2/5, EGFR, FGFR, PDGFR, InsR, etc. Phase 2/3.</t>
  </si>
  <si>
    <t>SK06B21</t>
  </si>
  <si>
    <t>Licochalcone A</t>
  </si>
  <si>
    <t xml:space="preserve">Licochalcone A is an estrogenic flavanoid extracted from licorice root, showing antimalarial, anticancer, antibacterial and antiviral activities. Phase 3.
</t>
  </si>
  <si>
    <t>SK06B22</t>
  </si>
  <si>
    <t>Amprolium HCl</t>
  </si>
  <si>
    <t>Amprolium chloride is a thiamin antagonist, which prevents carbohydrate synthesis by blocking thiamine uptake.</t>
  </si>
  <si>
    <t>SK06B23</t>
  </si>
  <si>
    <t>SK06B24</t>
  </si>
  <si>
    <t>SK06C01</t>
  </si>
  <si>
    <t>PFI-2</t>
  </si>
  <si>
    <t xml:space="preserve">PFI-2 is a potent, selective, and cell-active &lt;b&gt;lysine methyltransferase SETD7&lt;/b&gt; inhibitor with &lt;b&gt;K&lt;sub&gt;i (app)&lt;/sub&gt;&lt;/b&gt; and &lt;b&gt;IC50&lt;/b&gt; of 0.33 nM and 2 nM, 1000-fold selectivity over other methyltransferases and other non-epigenetic targets.
</t>
  </si>
  <si>
    <t>SK06C02</t>
  </si>
  <si>
    <t>FPH1 (BRD-6125)</t>
  </si>
  <si>
    <t>FPH1 (BRD-6125) is a small molecule, which promotes expansion of iPS-derived hepatocytes.</t>
  </si>
  <si>
    <t>SK06C03</t>
  </si>
  <si>
    <t>CPI-203</t>
  </si>
  <si>
    <t xml:space="preserve">CPI-203 is a potent BET bromodomain inhibitor with IC50 of 37 nM for BRD4.
</t>
  </si>
  <si>
    <t>SK06C04</t>
  </si>
  <si>
    <t>FTI 277 HCl</t>
  </si>
  <si>
    <t xml:space="preserve">FTI 277 HCl is the methyl ester of FTI 277, which is a potent and selective &lt;b&gt;farnesyltransferase (FTase)&lt;/b&gt; inhibitor with IC50 of 500 pM, about 100-fold selectivity over the closely related GGTase I.
</t>
  </si>
  <si>
    <t>SK06C05</t>
  </si>
  <si>
    <t>HTH-01-015</t>
  </si>
  <si>
    <t xml:space="preserve">HTH-01-015 is a potent and selective &lt;b&gt;NUAK1&lt;/b&gt; inhibitor with &lt;b&gt;IC50&lt;/b&gt; of 100 nM, &gt;100-fold selectivity over NUAK2. 
</t>
  </si>
  <si>
    <t>SK06C06</t>
  </si>
  <si>
    <t>YH239-EE</t>
  </si>
  <si>
    <t xml:space="preserve">YH239-EE, the ethyl ester of YH239, is a potent p53-MDM2 antagonist and an apoptosis inducer. 
</t>
  </si>
  <si>
    <t>SK06C07</t>
  </si>
  <si>
    <t>6H05</t>
  </si>
  <si>
    <t xml:space="preserve">6H05 is a selective, and allosteric inhibitor of oncogenic K-Ras(G12C). 
</t>
  </si>
  <si>
    <t>SK06C08</t>
  </si>
  <si>
    <t>HO-3867</t>
  </si>
  <si>
    <t xml:space="preserve">HO-3867, an analog of curcumin, is a selective STAT3 inhibitor.
</t>
  </si>
  <si>
    <t>SK06C09</t>
  </si>
  <si>
    <t>CH5138303</t>
  </si>
  <si>
    <t xml:space="preserve">CH5138303 is an orally available Hsp90 inhibitor with Kd of 0.48 nM.
</t>
  </si>
  <si>
    <t>SK06C10</t>
  </si>
  <si>
    <t>AZD7545</t>
  </si>
  <si>
    <t>AZD7545 is a potent PDHK inhibitor with IC50 of 36.8 nM and 6.4 nM for PDHK1 and PDHK2, respectively.</t>
  </si>
  <si>
    <t>SK06C11</t>
  </si>
  <si>
    <t>Poziotinib (HM781-36B)</t>
  </si>
  <si>
    <t xml:space="preserve">Poziotinib (HM781-36B) is an irreversible pan-&lt;b&gt;HER&lt;/b&gt; inhibitor with &lt;b&gt;IC50&lt;/b&gt; of 3.2 nM, 5.3 nM and 23.5 nM for HER1, HER2, and HER4, respectively. Phase 2. 
</t>
  </si>
  <si>
    <t>SK06C12</t>
  </si>
  <si>
    <t>GNF-5</t>
  </si>
  <si>
    <t xml:space="preserve">GNF-5 is a selective and allosteric Bcr-Abl inhibitor with IC50 of 220 nM. </t>
  </si>
  <si>
    <t>SK06C13</t>
  </si>
  <si>
    <t>GNE-9605</t>
  </si>
  <si>
    <t xml:space="preserve">GNE-9605 is a highly potent and selective leucine-rich repeat kinase 2 (LRRK2) inhibitor with Ki and IC50 of 2 nM and 19 nM, respectively.
</t>
  </si>
  <si>
    <t>SK06C14</t>
  </si>
  <si>
    <t>SB273005</t>
  </si>
  <si>
    <t xml:space="preserve">SB273005 is a potent &lt;b&gt;integrin&lt;/b&gt; inhibitor with &lt;b&gt;K&lt;sub&gt;i&lt;/sub&gt;&lt;/b&gt;  of 1.2 nM and 0.3 nM for αvβ3 receptor and αvβ5 receptor, respectively.
</t>
  </si>
  <si>
    <t>SK06C15</t>
  </si>
  <si>
    <t>Phosphoramidon Disodium Salt</t>
  </si>
  <si>
    <t xml:space="preserve">Phosphoramidon Disodium Salt is a metalloendopeptidase inhibitor, widely used as a biochemical tool.
</t>
  </si>
  <si>
    <t>SK06C16</t>
  </si>
  <si>
    <t>AT13148</t>
  </si>
  <si>
    <t xml:space="preserve">AT13148 is an oral, ATP-competitive, multi-&lt;b&gt;AGC kinase&lt;/b&gt; inhibitor with &lt;b&gt;IC50&lt;/b&gt; of 38 nM/402 nM/50 nM, 8 nM, 3 nM, and 6 nM/4 nM for &lt;b&gt;Akt1/2/3&lt;/b&gt;, &lt;b&gt;p70S6K&lt;/b&gt;, &lt;b&gt;PKA&lt;/b&gt;, and &lt;b&gt;ROCKI/II&lt;/b&gt;, respectively. Phase 1.
</t>
  </si>
  <si>
    <t>SK06C17</t>
  </si>
  <si>
    <t>FLI-06</t>
  </si>
  <si>
    <t>FLI-06 is a novel inhibitor of Notch signaling with EC50 of 2.3 μM.</t>
  </si>
  <si>
    <t>SK06C18</t>
  </si>
  <si>
    <t>Ledipasvir (GS5885)</t>
  </si>
  <si>
    <t xml:space="preserve">Ledipasvir (GS5885) is a &lt;b&gt;HCV NS5A polymerase&lt;/b&gt; inhibitor, used for the treatment of hepatitis C virus infection.
</t>
  </si>
  <si>
    <t>SK06C19</t>
  </si>
  <si>
    <t>PD 151746</t>
  </si>
  <si>
    <t xml:space="preserve">PD 151746 is a selective, cell-permeable calpain inhibitor with Ki of 0.26 μM for μ-Calpain, about 20-fold selectivity over m-calpain.
</t>
  </si>
  <si>
    <t>SK06C20</t>
  </si>
  <si>
    <t>Splitomicin</t>
  </si>
  <si>
    <t xml:space="preserve">Splitomicin is a selective &lt;b&gt;NAD(+)-dependent histone deacetylase Sir2p&lt;/b&gt; inhibitor with &lt;b&gt;IC50&lt;/b&gt; of 60 μM, showing a higher activity in a cell-based assay.
</t>
  </si>
  <si>
    <t>SK06C21</t>
  </si>
  <si>
    <t>LEE011</t>
  </si>
  <si>
    <t>LEE011 is an orally available, and highly specific CDK4/6 inhibitor.</t>
  </si>
  <si>
    <t>SK06C22</t>
  </si>
  <si>
    <t>UM171</t>
  </si>
  <si>
    <t xml:space="preserve">UM171 is a potent agonist of human hematopoietic stem cell renewal, independently of AhR suppression.
</t>
  </si>
  <si>
    <t>SK06C23</t>
  </si>
  <si>
    <t>SK06C24</t>
  </si>
  <si>
    <t>SK06D01</t>
  </si>
  <si>
    <t>GSK1324726A (I-BET726)</t>
  </si>
  <si>
    <t xml:space="preserve">GSK1324726A (I-BET726) is a highly selective inhibitor of &lt;b&gt;BET&lt;/b&gt; family proteins with &lt;b&gt;IC50&lt;/b&gt; of 41 nM, 31 nM, and 22 nM for BRD2, BRD3, and BRD4, respectively.
</t>
  </si>
  <si>
    <t>SK06D02</t>
  </si>
  <si>
    <t>SC79</t>
  </si>
  <si>
    <t xml:space="preserve">SC79 is a brain-penetrable &lt;b&gt;Akt&lt;/b&gt; phosphorylation activator and an inhibitor of Akt-PH domain translocation. 
</t>
  </si>
  <si>
    <t>SK06D03</t>
  </si>
  <si>
    <t>Lomitapide</t>
  </si>
  <si>
    <t>Lomitapide is a potent microsomal triglyceride transfer protein (MTP) inhibitor, used in the treatment of familial hypercholesterolemia.</t>
  </si>
  <si>
    <t>SK06D04</t>
  </si>
  <si>
    <t>Dp44mT</t>
  </si>
  <si>
    <t xml:space="preserve">Dp44mT is a potent iron chelator, which shows selective antitumor activity.
</t>
  </si>
  <si>
    <t>SK06D05</t>
  </si>
  <si>
    <t>MI-773 (SAR405838)</t>
  </si>
  <si>
    <t xml:space="preserve">MI-773 (SAR405838) is an orally available &lt;b&gt;MDM2&lt;/b&gt; antagonist with &lt;b&gt;K&lt;sub&gt;i&lt;/sub&gt;&lt;/b&gt; of 0.88 nM. Phase 1.
</t>
  </si>
  <si>
    <t>SK06D06</t>
  </si>
  <si>
    <t>ZM 39923 HCl</t>
  </si>
  <si>
    <t>ZM 39923 is an JAK1/3 inhibitor with pIC50 of 4.4/7.1, almost no activity to JAK2 and modestly potent to EGFR; also found to be sensitive to transglutaminase.</t>
  </si>
  <si>
    <t>SK06D07</t>
  </si>
  <si>
    <t>CH5183284 (Debio-1347)</t>
  </si>
  <si>
    <t xml:space="preserve">CH5183284 is a selective and orally available &lt;b&gt;FGFR&lt;/b&gt; inhibitor with &lt;b&gt;IC50&lt;/b&gt; of 9.3 nM, 7.6 nM, 22 nM, and 290 nM for FGFR1, FGFR2, FGFR3, and FGFR4, respectively. Phase 1.
</t>
  </si>
  <si>
    <t>SK06D08</t>
  </si>
  <si>
    <t>TAK-438</t>
  </si>
  <si>
    <t>TAK-438 is a novel P-CAB (potassium-competitive acid blocker) that reversibly inhibits H+/K+, ATPase with IC50 of 19 nM (pH 6.5), controls gastric acid secretion. Phase 3.</t>
  </si>
  <si>
    <t>SK06D09</t>
  </si>
  <si>
    <t>OF-1</t>
  </si>
  <si>
    <t xml:space="preserve">OF-1 is a potent inhibitor of &lt;b&gt;BRPF1B&lt;/b&gt; and &lt;b&gt;BRPF2&lt;/b&gt; bromodomain with &lt;b&gt;K&lt;sub&gt;d&lt;/sub&gt;&lt;/b&gt; of 100 nM and 500 nM, respectively. 
</t>
  </si>
  <si>
    <t>SK06D10</t>
  </si>
  <si>
    <t>Tariquidar</t>
  </si>
  <si>
    <t>Tariquidar (XR9576) is a potent and selective noncompetitive inhibitor of P-glycoprotein with Kd of 5.1 nM, reverses drug resistance in MDR cell Lines. Phase 3.</t>
  </si>
  <si>
    <t>SK06D11</t>
  </si>
  <si>
    <t>Verdinexor (KPT-335)</t>
  </si>
  <si>
    <t xml:space="preserve">Verdinexor (KPT-335) is an orally bioavailable, selective &lt;b&gt;XPO1/CRM1&lt;/b&gt; inhibitor.
</t>
  </si>
  <si>
    <t>SK06D12</t>
  </si>
  <si>
    <t>PU-H71</t>
  </si>
  <si>
    <t>PU-H71 is a potent and selective inhibitor of HSP90 with IC50 of 51 nM. Phase 1.</t>
  </si>
  <si>
    <t>SK06D13</t>
  </si>
  <si>
    <t>NU1025</t>
  </si>
  <si>
    <t xml:space="preserve">NU1025 is a potent &lt;b&gt;PARP&lt;/b&gt; inhibitor with &lt;b&gt;IC50&lt;/b&gt; of 400 nM. 
</t>
  </si>
  <si>
    <t>SK06D14</t>
  </si>
  <si>
    <t>Tubastatin A</t>
  </si>
  <si>
    <t>Tubastatin A is a potent and selective HDAC6 inhibitor with IC50 of 15 nM. It is selective against all the other isozymes (1000-fold) except HDAC8 (57-fold).</t>
  </si>
  <si>
    <t>SK06D15</t>
  </si>
  <si>
    <t>VER155008</t>
  </si>
  <si>
    <t xml:space="preserve">VER-155008 is a potent &lt;b&gt;Hsp70&lt;/b&gt; family inhibitor with &lt;b&gt;IC50&lt;/b&gt; of 0.5 μM, 2.6 μM, and 2.6 μM in cell-free assays for HSP70, HSC70, and GRP78, respectively, &gt;100-fold selectivity over HSP90.
</t>
  </si>
  <si>
    <t>SK06D16</t>
  </si>
  <si>
    <t>Nutlin-3b</t>
  </si>
  <si>
    <t xml:space="preserve">Nutlin-3b is a p53/MDM2 antagonist or inhibitor with IC50 value of 13.6 μM, 150-fold less potent (+)-enantiomer of Nutlin-3 as in comparison with opposite (-)-enantiomer Nutlin-3a. </t>
  </si>
  <si>
    <t>SK06D17</t>
  </si>
  <si>
    <t>Sunitinib</t>
  </si>
  <si>
    <t xml:space="preserve">Sunitinib is a multi-targeted RTK inhibitor targeting &lt;b&gt;VEGFR2&lt;/b&gt; (Flk-1) and &lt;b&gt;PDGFRβ&lt;/b&gt; with &lt;b&gt;IC50&lt;/b&gt; of 80 nM and 2 nM, and also inhibits c-Kit.
</t>
  </si>
  <si>
    <t>SK06D18</t>
  </si>
  <si>
    <t>SK06D19</t>
  </si>
  <si>
    <t>Pexmetinib (ARRY-614)</t>
  </si>
  <si>
    <t xml:space="preserve">Pexmetinib (ARRY-614) is a potent, orally bioavailable, dual &lt;b&gt;p38 MAPK/Tie-2&lt;/b&gt; inhibitor  with &lt;b&gt;IC50&lt;/b&gt; of 4 nM/18 nM in a HEK-293 cell line. Phase 1.
</t>
  </si>
  <si>
    <t>SK06D20</t>
  </si>
  <si>
    <t>LY2228820</t>
  </si>
  <si>
    <t>LY2228820 is a novel and potent inhibitor of p38 MAPK with IC50 of 7 nM, does not alter p38 MAPK activation. Phase 1/2.</t>
  </si>
  <si>
    <t>SK06D21</t>
  </si>
  <si>
    <t>Cyclo (-RGDfK)</t>
  </si>
  <si>
    <t xml:space="preserve">Cyclo (-RGDfK) is a potent and selective &lt;b&gt;αvβ3 integrin&lt;/b&gt; inhibitor.
</t>
  </si>
  <si>
    <t>SK06D22</t>
  </si>
  <si>
    <t>Sodium ascorbate</t>
  </si>
  <si>
    <t>Sodium Ascorbate is a more bioavailable form of vitamin C that is an alternative to taking ascorbic acid as a supplement.</t>
  </si>
  <si>
    <t>SK06D23</t>
  </si>
  <si>
    <t>SK06D24</t>
  </si>
  <si>
    <t>SK06E01</t>
  </si>
  <si>
    <t>RVX-208</t>
  </si>
  <si>
    <t>RVX-208 is a potent BET bromodomain inhibitor with IC50 of 0.510 μM for BD2, about 170-fold selectivity over BD1. Phase 2.</t>
  </si>
  <si>
    <t>SK06E02</t>
  </si>
  <si>
    <t>FPH2 (BRD-9424)</t>
  </si>
  <si>
    <t xml:space="preserve">FPH2 (BRD-9424) is a small molecule, which promotes differentiation of iPS-derived hepatocytes.
</t>
  </si>
  <si>
    <t>SK06E03</t>
  </si>
  <si>
    <t>MS436</t>
  </si>
  <si>
    <t xml:space="preserve">MS436 is a selective &lt;b&gt;BET bromodomain&lt;/b&gt; inhibitor with &lt;b&gt;K&lt;sub&gt;i&lt;/sub&gt;&lt;/b&gt; of &lt;0.085 μM and 0.34 μM for BRD4 (1) and BRD4 (2), respectively. 
</t>
  </si>
  <si>
    <t>SK06E04</t>
  </si>
  <si>
    <t>LB42708</t>
  </si>
  <si>
    <t>LB42708 is an orally active farnesyltransferase (FTase) inhibitor with IC50 of 0.8, 1.2, and 2.0 nM toward H-ras, N-ras, and K-ras, respectively.</t>
  </si>
  <si>
    <t>SK06E05</t>
  </si>
  <si>
    <t xml:space="preserve">EHop-016 </t>
  </si>
  <si>
    <t>EHop-016 is a specific Rac GTPase inhibitor with IC50 of 1.1 μM for Rac1, equally potent inhibition for Rac3.</t>
  </si>
  <si>
    <t>SK06E06</t>
  </si>
  <si>
    <t>WIKI4</t>
  </si>
  <si>
    <t xml:space="preserve">WIKI4 is a novel Tankyrase inhibitor with IC50 of 15 nM for TNKS2, and leads to inhibition of Wnt/beta-catenin signaling. 
</t>
  </si>
  <si>
    <t>SK06E07</t>
  </si>
  <si>
    <t>K-Ras(G12C) inhibitor 12</t>
  </si>
  <si>
    <t xml:space="preserve">K-Ras(G12C) inhibitor 12 is an allosteric inhibitor of oncogenic &lt;b&gt;K-Ras(G12C)&lt;/b&gt;. 
</t>
  </si>
  <si>
    <t>SK06E08</t>
  </si>
  <si>
    <t>(S)-crizotinib</t>
  </si>
  <si>
    <t>(S)-crizotinib, the (S)-enantiomer of crizotinib, is a potent MTH1 (NUDT1) inhibitor with IC50 of 72 nM.</t>
  </si>
  <si>
    <t>SK06E09</t>
  </si>
  <si>
    <t>URMC-099</t>
  </si>
  <si>
    <t xml:space="preserve">URMC-099 is an orally bioavailable, brain penetrant &lt;b&gt;mixed lineage kinase (MLK)&lt;/b&gt; inhibitor with &lt;b&gt;IC50&lt;/b&gt; of 19 nM, 42 nM, 14 nM, and 150 nM, for MLK1, MLK2, MLK3, and DLK, respectively, and also inhibits &lt;b&gt;LRRK2&lt;/b&gt; activity with &lt;b&gt;IC50&lt;/b&gt; of 11 nM.
</t>
  </si>
  <si>
    <t>SK06E10</t>
  </si>
  <si>
    <t>Voreloxin (SNS-595)</t>
  </si>
  <si>
    <t>Voreloxin is a potent Topoisomerase II inhibitor with broad-spectrum anti-tumor activity. Phase 2.</t>
  </si>
  <si>
    <t>SK06E11</t>
  </si>
  <si>
    <t>K02288</t>
  </si>
  <si>
    <t>K02288 is a potent, and selective type I BMP receptor inhibitor with IC50 of 1.1, 1.8, 6.4 nM for ALK2, ALK1 and ALK6, showing weaker inhibition on other ALKs (3, 4, 5) and ActRIIA.</t>
  </si>
  <si>
    <t>SK06E12</t>
  </si>
  <si>
    <t>GNE-7915</t>
  </si>
  <si>
    <t xml:space="preserve">GNE-7915 is a highly potent, selective, and brain-penetrable leucine-rich repeat kinase 2 (LRRK2) inhibitor,  with IC50 and Ki of 9 nM and 1 nM, respectively. 
</t>
  </si>
  <si>
    <t>SK06E13</t>
  </si>
  <si>
    <t>4EGI-1</t>
  </si>
  <si>
    <t>4EGI-1 is a competitive eIF4E/eIF4G interaction inhibitor by binding to eIF4E with KD of 25 μM.</t>
  </si>
  <si>
    <t>SK06E14</t>
  </si>
  <si>
    <t>G-749</t>
  </si>
  <si>
    <t xml:space="preserve">G-749 is a novel and potent &lt;b&gt;FLT3&lt;/b&gt; inhibitor with &lt;b&gt;IC50&lt;/b&gt; of 0.4 nM, 0.6 nM and 1 nM for FLT3 (WT), FLT3 (D835Y), and Mer, respectively, showing lower potency against other tyrosine kinases.
</t>
  </si>
  <si>
    <t>SK06E15</t>
  </si>
  <si>
    <t>(-)-p-Bromotetramisole Oxalate</t>
  </si>
  <si>
    <t xml:space="preserve">(-)-p-Bromotetramisole Oxalate is a potent and non-specific alkaline phosphatase inhibitor.
</t>
  </si>
  <si>
    <t>SK06E16</t>
  </si>
  <si>
    <t>WH-4-023</t>
  </si>
  <si>
    <t xml:space="preserve">WH-4-023 is a potent and orally active Lck/Src inhibitor with IC50 of 2 nM and 6 nM, respectively. 
</t>
  </si>
  <si>
    <t>SK06E17</t>
  </si>
  <si>
    <t>Anisomycin</t>
  </si>
  <si>
    <t xml:space="preserve">Anisomycin is an antibiotic, which inhibits protein synthesis, and also act as a &lt;b&gt;JNK&lt;/b&gt; activator.
</t>
  </si>
  <si>
    <t>SK06E18</t>
  </si>
  <si>
    <t>GSK J1</t>
  </si>
  <si>
    <t xml:space="preserve">GSK-J1 is a highly potent H3K27 &lt;b&gt;histone demethylase&lt;/b&gt; inhibitor with &lt;b&gt;IC50&lt;/b&gt; of 28 nM and 53 nM in cell-free assays for JMJD3 (KDM6B) and UTX (KDM6A), respectively, &gt;10-fold selectivity over other tested demethylases.
</t>
  </si>
  <si>
    <t>SK06E19</t>
  </si>
  <si>
    <t>MI-2 (MALT1 inhibitor)</t>
  </si>
  <si>
    <t xml:space="preserve">MI-2 (MALT1 inhibitor) is an irreversible MALT1 inhibitor with IC50 of 5.84 μM.
</t>
  </si>
  <si>
    <t>SK06E20</t>
  </si>
  <si>
    <r>
      <t>Abscisic Acid (Dormin</t>
    </r>
    <r>
      <rPr>
        <sz val="11"/>
        <rFont val="Arial Unicode MS"/>
        <family val="2"/>
        <charset val="134"/>
      </rPr>
      <t>）</t>
    </r>
  </si>
  <si>
    <t xml:space="preserve">Abscisic Acid is a plant hormone, which is involved in many plant developmental processes, modulates ion homeostasis and metabolism, and inhibits germination and seedling growth.
</t>
  </si>
  <si>
    <t>SK06E21</t>
  </si>
  <si>
    <t>WS3</t>
  </si>
  <si>
    <t xml:space="preserve">WS3 is a β cell proliferation inducer via modulation of &lt;b&gt;Erb3 binding protein-1 (EBP1)&lt;/b&gt; and the &lt;b&gt;IκB kinase&lt;/b&gt; pathway. 
</t>
  </si>
  <si>
    <t>SK06E22</t>
  </si>
  <si>
    <t>UNC0631</t>
  </si>
  <si>
    <t xml:space="preserve">UNC0631 is a potent &lt;b&gt;histone methyltransferase G9a&lt;/b&gt; inhibitor with &lt;b&gt;IC50&lt;/b&gt; of 4 nM.
</t>
  </si>
  <si>
    <t>SK06E23</t>
  </si>
  <si>
    <t>SK06E24</t>
  </si>
  <si>
    <t>SK06F01</t>
  </si>
  <si>
    <t>PI-3065</t>
  </si>
  <si>
    <t xml:space="preserve">PI-3065 is a selective &lt;b&gt;p110δ&lt;/b&gt; inhibitor with &lt;b&gt;IC50&lt;/b&gt; of 15 nM, &gt;70-fold selectivity over other PI3K family members.
</t>
  </si>
  <si>
    <t>SK06F02</t>
  </si>
  <si>
    <t>Oltipraz</t>
  </si>
  <si>
    <t xml:space="preserve">Oltipraz is a potent &lt;b&gt;Nrf2&lt;/b&gt; activator and a potent inducer of Phase II detoxification enzymes, most notably glutathione-S-transferase (GST). Phase 3.
</t>
  </si>
  <si>
    <t>SK06F03</t>
  </si>
  <si>
    <t>SU9516</t>
  </si>
  <si>
    <t xml:space="preserve">SU 9516 is a 3-substituted indolinone &lt;b&gt;CDK&lt;/b&gt; inhibitor with &lt;b&gt;IC50&lt;/b&gt; of 22 nM, 40 nM, and 200 nM for CDK2, CDK1, and CDK4, respectively.
</t>
  </si>
  <si>
    <t>SK06F04</t>
  </si>
  <si>
    <t>Epacadostat (INCB024360)</t>
  </si>
  <si>
    <t xml:space="preserve">Epacadostat (INCB024360) is a potent and selective indoleamine 2,3-dioxygenase (&lt;b&gt;IDO1&lt;/b&gt;) inhibitor with &lt;b&gt;IC50&lt;/b&gt; of 10 nM. Phase 2.
</t>
  </si>
  <si>
    <t>SK06F05</t>
  </si>
  <si>
    <t>SB225002</t>
  </si>
  <si>
    <t xml:space="preserve">SB225002 is a potent, and selective &lt;b&gt;CXCR2&lt;/b&gt; antagonist with &lt;b&gt;IC50&lt;/b&gt; of 22 nM for inhibiting interleukin IL-8 binding to CXCR2, &gt; 150-fold selectivity over the other 7-TMRs tested.
</t>
  </si>
  <si>
    <t>SK06F06</t>
  </si>
  <si>
    <t>SMI-4a</t>
  </si>
  <si>
    <t>SMI-4a is a potent inhibitor of Pim1 with IC50 of 17 nM, modest potent to Pim-2, does not significantly inhibit other serine/threonine- or tyrosine-kinases.</t>
  </si>
  <si>
    <t>SK06F07</t>
  </si>
  <si>
    <t>Picropodophyllin (PPP)</t>
  </si>
  <si>
    <t xml:space="preserve">Picropodophyllin (PPP) is a selective &lt;b&gt;IGF-1R&lt;/b&gt; inhibitor with &lt;b&gt;IC50&lt;/b&gt; of 1 nM. Phase 1/2.
</t>
  </si>
  <si>
    <t>SK06F08</t>
  </si>
  <si>
    <t>AZD5363</t>
  </si>
  <si>
    <t>AZD5363 potently inhibits all isoforms of Akt(Akt1/Akt2/Akt3) with IC50 of 3 nM/8 nM/8 nM, similar to P70S6K/PKA and lower activity towards ROCK1/2. Phase 1/2.</t>
  </si>
  <si>
    <t>SK06F09</t>
  </si>
  <si>
    <t>SecinH3</t>
  </si>
  <si>
    <t xml:space="preserve">SecinH3 is a selective &lt;b&gt;cytohesin&lt;/b&gt; inhibitor with &lt;b&gt;IC50&lt;/b&gt; of 2.4 μM, 5.4 μM, 5.4 μM, 5.6 μM, 5.6 μM, and 65 μM for hCyh2, hCyh1, mCyh3, hCyh3, drosophila steppke, and yGea2-S7, respectively.
</t>
  </si>
  <si>
    <t>SK06F10</t>
  </si>
  <si>
    <t>WY-14643 (Pirinixic Acid)</t>
  </si>
  <si>
    <t>WY 14643 (Pirinixic Acid) is a potent peroxisome proliferator and activator of PPARα with EC50 of 1.5 μM.</t>
  </si>
  <si>
    <t>SK06F11</t>
  </si>
  <si>
    <t>CH-223191</t>
  </si>
  <si>
    <t xml:space="preserve">CH-223191 is a potent and specific &lt;b&gt;aryl hydrocarbon receptor (AhR)&lt;/b&gt; antagonist with &lt;b&gt;IC50&lt;/b&gt; of 30 nM.
</t>
  </si>
  <si>
    <t>SK06F12</t>
  </si>
  <si>
    <t>GDC-0349</t>
  </si>
  <si>
    <t>GDC-0349 is a potent and selective ATP-competitive inhibitor of mTOR with Ki of 3.8 nM, 790-fold inhibitory effect against PI3Kα and other 266 kinases. Phase 1.</t>
  </si>
  <si>
    <t>SK06F13</t>
  </si>
  <si>
    <t>AZD3839</t>
  </si>
  <si>
    <t xml:space="preserve">AZD3839 is a potent and selective &lt;b&gt;BACE1&lt;/b&gt; inhibitor with &lt;b&gt;K&lt;sub&gt;i&lt;/sub&gt;&lt;/b&gt; of 26.1 nM, about 14-fold selectivity over BACE2. Phase 1.
</t>
  </si>
  <si>
    <t>SK06F14</t>
  </si>
  <si>
    <t>ETP-46464</t>
  </si>
  <si>
    <t>ETP-46464 is a potent and selective inhibitor of ATR with IC50 of 25 nM.</t>
  </si>
  <si>
    <t>SK06F15</t>
  </si>
  <si>
    <t>BPTES</t>
  </si>
  <si>
    <t xml:space="preserve">BPTES is a potent and selective &lt;b&gt;Glutaminase GLS1 (KGA)&lt;/b&gt; inhibitor with &lt;b&gt;IC50&lt;/b&gt; of 0.16 μM.
</t>
  </si>
  <si>
    <t>SK06F16</t>
  </si>
  <si>
    <t>NSC 405020</t>
  </si>
  <si>
    <t>NSC 405020 is a noncatalytic inhibitor of MT1-MMP, directly interacts with PEX domain of MT1-MMP, affects PEX homodimerization but not catalytic activity of MT1-MMP.</t>
  </si>
  <si>
    <t>SK06F17</t>
  </si>
  <si>
    <t>Dasatinib Monohydrate</t>
  </si>
  <si>
    <t xml:space="preserve">Dasatinib Monohydrate is a novel, potent and multi-targeted inhibitor that targets &lt;b&gt;Abl&lt;/b&gt;, &lt;b&gt;Src&lt;/b&gt; and c-Kit, with &lt;b&gt;IC50&lt;/b&gt; of &lt;1 nM, 0.8 nM and 79 nM, respectively.
</t>
  </si>
  <si>
    <t>SK06F18</t>
  </si>
  <si>
    <t>SK06F19</t>
  </si>
  <si>
    <t>GSK503</t>
  </si>
  <si>
    <t xml:space="preserve">GSK503 is a potent and specific &lt;b&gt;EZH2&lt;/b&gt; methyltransferase inhibitor.
</t>
  </si>
  <si>
    <t>SK06F20</t>
  </si>
  <si>
    <t>Cephalexin</t>
  </si>
  <si>
    <t>Cefalexin is a cephalosporin antibiotic.</t>
  </si>
  <si>
    <t>SK06F21</t>
  </si>
  <si>
    <t>Endoxifen HCl</t>
  </si>
  <si>
    <t xml:space="preserve">Endoxifen HCl, the active metabolite of Tamoxifen, ia a potent and selective &lt;b&gt;estrogen receptor&lt;/b&gt; antagonist. Phase 2.
</t>
  </si>
  <si>
    <t>SK06F22</t>
  </si>
  <si>
    <t>WATER</t>
  </si>
  <si>
    <t>SK06F23</t>
  </si>
  <si>
    <t>SK06F24</t>
  </si>
  <si>
    <t>SK06G01</t>
  </si>
  <si>
    <t>ML324</t>
  </si>
  <si>
    <t xml:space="preserve">ML324 is a selective inhibitor of &lt;b&gt;jumonji histone demethylase (JMJD2)&lt;/b&gt; with &lt;b&gt;IC50&lt;/b&gt; of 920 nM.
</t>
  </si>
  <si>
    <t>SK06G02</t>
  </si>
  <si>
    <t>XEN445</t>
  </si>
  <si>
    <t xml:space="preserve">XEN445 is a potent and selective &lt;b&gt;endothelial lipase&lt;/b&gt; inhibitor with &lt;b&gt;IC50&lt;/b&gt; of 0.237 μM. 
</t>
  </si>
  <si>
    <t>SK06G03</t>
  </si>
  <si>
    <t>GSK2606414</t>
  </si>
  <si>
    <t>GSK2606414 is an orally available, potent, and selective PERK inhibitor with IC50 of 0.4 nM, displaying at least 100-fold selectivity over the other EIF2AKs assayed.</t>
  </si>
  <si>
    <t>SK06G04</t>
  </si>
  <si>
    <t>Triapine</t>
  </si>
  <si>
    <t>Triapine is a potent ribonucleotide reductase inhibitor with broad spectrum antitumor activity by inhibiting DNA synthesis. Phase 2.</t>
  </si>
  <si>
    <t>SK06G05</t>
  </si>
  <si>
    <t>TG003</t>
  </si>
  <si>
    <t>TG003 is a potent and ATP-competitive Cdc2-like kinase (Clk) inhibitor with IC50 of 20 nM, 200 nM, and 15 nM for Clk1, Clk2, and Clk4, respectively. No inhibitory effect on Clk3, SRPK1, SRPK2, or PKC.</t>
  </si>
  <si>
    <t>SK06G06</t>
  </si>
  <si>
    <t>INH1</t>
  </si>
  <si>
    <t xml:space="preserve">INH1 is a cell-permeable Hec1 inhibitor, which specifically disrupts the Hec1/Nek2 interaction.
</t>
  </si>
  <si>
    <t>SK06G07</t>
  </si>
  <si>
    <t>K-Ras(G12C) inhibitor 9</t>
  </si>
  <si>
    <t xml:space="preserve">K-Ras(G12C) inhibitor 9 is an allosteric inhibitor of oncogenic K-Ras(G12C). 
</t>
  </si>
  <si>
    <t>SK06G08</t>
  </si>
  <si>
    <t>JNK Inhibitor IX</t>
  </si>
  <si>
    <t>JNK inhibitor IX is a selective and potent JNK inhibitor with pIC50 of 6.5 and 6.7 for JNK2 and JNK3, respectively.</t>
  </si>
  <si>
    <t>SK06G09</t>
  </si>
  <si>
    <t>JSH-23</t>
  </si>
  <si>
    <t>JSH-23 is an inhibitor of NF-κB transcriptional activity with IC50 of 7.1 μM.</t>
  </si>
  <si>
    <t>SK06G10</t>
  </si>
  <si>
    <t>GNF-5837</t>
  </si>
  <si>
    <t xml:space="preserve">GNF-5837 is a selective, and orally bioavailable pan-&lt;b&gt;TRK&lt;/b&gt; inhibitor for TrkA, and TrkB with &lt;b&gt;IC50&lt;/b&gt; of 8 nM, and 12 nM, respectively. 
</t>
  </si>
  <si>
    <t>SK06G11</t>
  </si>
  <si>
    <t>OTX015</t>
  </si>
  <si>
    <t>OTX015 is a potent BET bromodomain inhibitor with EC50 ranging from 10 to 19 nM for BRD2, BRD3, and BRD4. Phase 1.</t>
  </si>
  <si>
    <t>SK06G12</t>
  </si>
  <si>
    <t>ML323</t>
  </si>
  <si>
    <t xml:space="preserve">ML323 is a highly potent and selective USP1-UAF1 inhibitor with IC50 of 76 nM.
</t>
  </si>
  <si>
    <t>SK06G13</t>
  </si>
  <si>
    <t>4E1RCat</t>
  </si>
  <si>
    <t>4E1RCat is a dual inhibitor of eIF4E:eIF4G and eIF4E:4E-BP1 interaction, and inhibits the binding of eIF4G to eIF4E with IC50 of 3.2 μM.</t>
  </si>
  <si>
    <t>SK06G14</t>
  </si>
  <si>
    <t>Pritelivir (BAY 57-1293)</t>
  </si>
  <si>
    <t xml:space="preserve">Pritelivir (BAY 57-1293) is a potent helicase primase inhibitor, exhibiting antiviral effect on herpes simplex virus (HSV) with IC50 of 20 nM for both HSV-1 and HSV-2.
</t>
  </si>
  <si>
    <t>SK06G15</t>
  </si>
  <si>
    <t>MG-101 (ALLN)</t>
  </si>
  <si>
    <t xml:space="preserve">MG-101 (ALLN) is a cell-permeable and potent inhibitor of &lt;b&gt;cysteine proteases&lt;/b&gt; including calpains and lysosomal cathepsins.
</t>
  </si>
  <si>
    <t>SK06G16</t>
  </si>
  <si>
    <t>IM-12</t>
  </si>
  <si>
    <t xml:space="preserve">IM-12 is a selective GSK-3β inhibitor with IC50 of 53 nM, and also enhances canonical Wnt signalling. 
</t>
  </si>
  <si>
    <t>SK06G17</t>
  </si>
  <si>
    <t>Ascomycin (FK520)</t>
  </si>
  <si>
    <t>Ascomycin (FK520), an FK-506 analog, is a neutral macrolide &lt;b&gt;immunosuppressant&lt;/b&gt;, which prevents rejection after an organ transplant. Phase 3.</t>
  </si>
  <si>
    <t>SK06G18</t>
  </si>
  <si>
    <t>Anacardic Acid</t>
  </si>
  <si>
    <t xml:space="preserve">Anacardic Acid is a potent inhibitor of &lt;b&gt;p300 and p300/CBP-associated factor histone acetyltranferases&lt;/b&gt;, which also has antibacterial activity, antimicrobial activity,
prostaglandin synthase inhibition, and tyrosinase and lipoxygenase inhibition. 
</t>
  </si>
  <si>
    <t>SK06G19</t>
  </si>
  <si>
    <t>SB-3CT</t>
  </si>
  <si>
    <t xml:space="preserve">SB-3CT is an effective and selective gelatinase inhibitor with Ki of 13.9 nM and 600 nM for MMP-2 and MMP-9, respectively.
</t>
  </si>
  <si>
    <t>SK06G20</t>
  </si>
  <si>
    <t>Santacruzamate A (CAY10683)</t>
  </si>
  <si>
    <t xml:space="preserve">Santacruzamate A (CAY10683) is a potent and selective HDAC inhibitor with IC50 of 119 pM for HDAC2, &gt;3600-fold selectivity over other HDACs. 
</t>
  </si>
  <si>
    <t>SK06G21</t>
  </si>
  <si>
    <t>WS6</t>
  </si>
  <si>
    <t xml:space="preserve">WS6 is a β cell proliferation inducer via modulation of &lt;b&gt;Erb3 binding protein-1 (EBP1)&lt;/b&gt; and the &lt;b&gt;IκB kinase&lt;/b&gt; pathway. 
</t>
  </si>
  <si>
    <t>SK06G22</t>
  </si>
  <si>
    <t>EI1</t>
  </si>
  <si>
    <t xml:space="preserve">EI1 is a potent and selective &lt;b&gt;EZH2&lt;/b&gt; inhibitor with &lt;b&gt;IC50&lt;/b&gt; of 15 nM and 13 nM for EZH2 (WT) and EZH2 (Y641F), respectively.
</t>
  </si>
  <si>
    <t>SK06G23</t>
  </si>
  <si>
    <t>SK06G24</t>
  </si>
  <si>
    <t>SK06H01</t>
  </si>
  <si>
    <t>SD-208</t>
  </si>
  <si>
    <t xml:space="preserve">SD-208 is a selective &lt;b&gt;TGF-βRI (ALK5)&lt;/b&gt; inhibitor with &lt;b&gt;IC50&lt;/b&gt; of 48 nM, &gt;100-fold selectivity over TGF-βRII. 
</t>
  </si>
  <si>
    <t>SK06H02</t>
  </si>
  <si>
    <t>Oleuropein</t>
  </si>
  <si>
    <t xml:space="preserve">Oleuropein is an antioxidant polyphenol isolated from olive leaf. Phase 2.
</t>
  </si>
  <si>
    <t>SK06H03</t>
  </si>
  <si>
    <t>DTP3</t>
  </si>
  <si>
    <t xml:space="preserve">DTP3 is a selective &lt;b&gt;GADD45β/MKK7&lt;/b&gt; inhibitor, which inhibits cancer-selective NF-κB survival pathway. 
</t>
  </si>
  <si>
    <t>SK06H04</t>
  </si>
  <si>
    <t>Isoxazole 9 (ISX-9)</t>
  </si>
  <si>
    <t xml:space="preserve">Isoxazole 9 (Isx-9) is a synthetic promotor of adult neurogenesis by triggering neuronal differentiation of adult neural stem/precursor cells (NSPCs). 
</t>
  </si>
  <si>
    <t>SK06H05</t>
  </si>
  <si>
    <t>PND-1186 (VS-4718)</t>
  </si>
  <si>
    <t xml:space="preserve">PND-1186 (VS-4718) is a reversible and selective &lt;b&gt;FAK&lt;/b&gt; inhibitor with &lt;b&gt;IC50&lt;/b&gt; of 1.5 nM. Phase 1.
</t>
  </si>
  <si>
    <t>SK06H06</t>
  </si>
  <si>
    <t>BIX 01294</t>
  </si>
  <si>
    <t>BIX01294 is an inhibitor of G9a histone methyltransferase with IC50 of 2.7 μM, reduces H3K9me2 of bulk histones, also weakly inhibits GLP (primarily H3K9me3), no significant activity observed at other histone methyltransferases.</t>
  </si>
  <si>
    <t>SK06H07</t>
  </si>
  <si>
    <t>NPS-1034</t>
  </si>
  <si>
    <t xml:space="preserve">NPS-1034 is a dual &lt;b&gt;Met/Axl&lt;/b&gt; inhibitor with &lt;b&gt;IC50&lt;/b&gt; of 48 nM and 10.3 nM, respectively. 
</t>
  </si>
  <si>
    <t>SK06H08</t>
  </si>
  <si>
    <t>GW0742</t>
  </si>
  <si>
    <t>GW0742 is a potent and highly selective PPARβ/δ agonist, with IC50 of 1 nM, with 1000-fold selectivity over hPPARα and hPPARγ.</t>
  </si>
  <si>
    <t>SK06H09</t>
  </si>
  <si>
    <t>ML141</t>
  </si>
  <si>
    <t xml:space="preserve">ML141 is a potent, selective and reversible non-competitive inhibitor of Rho family GTPase &lt;b&gt;cdc42&lt;/b&gt; with &lt;b&gt;IC50&lt;/b&gt; of 200 nM.
</t>
  </si>
  <si>
    <t>SK06H10</t>
  </si>
  <si>
    <t>NSC 23766</t>
  </si>
  <si>
    <t>NSC 23766 is an inhibitor of Rac GTPase targeting Rac activation by guanine nucleotide exchange factors (GEFs) with IC50 of ~50 μM; does not inhibit the closely related  targets, Cdc42 or RhoA.</t>
  </si>
  <si>
    <t>SK06H11</t>
  </si>
  <si>
    <t>CCG-1423</t>
  </si>
  <si>
    <t xml:space="preserve">CCG-1423 is a specific &lt;b&gt;RhoA&lt;/b&gt; pathway inhibitor, which inhibits SRF-mediated transcription.   </t>
  </si>
  <si>
    <t>SK06H12</t>
  </si>
  <si>
    <t>Cobimetinib (GDC-0973, RG7420)</t>
  </si>
  <si>
    <t xml:space="preserve">Cobimetinib (GDC-0973, RG7420) is a potent and highly selective &lt;b&gt;MEK1&lt;/b&gt; inhibitor with &lt;b&gt;IC50&lt;/b&gt; of 4.2 nM. Phase 3.
</t>
  </si>
  <si>
    <t>SK06H13</t>
  </si>
  <si>
    <t>LFM-A13</t>
  </si>
  <si>
    <t xml:space="preserve">LFM-A13 is a specific Bruton's tyrosine kinase (&lt;b&gt;BTK&lt;/b&gt;) inhibitor with &lt;b&gt;IC50&lt;/b&gt; of 2.5 μM, &gt;100-fold selectivity over other protein kinases including JAK1, JAK2, HCK, EGFR,and IRK.
</t>
  </si>
  <si>
    <t>SK06H14</t>
  </si>
  <si>
    <t>Macitentan</t>
  </si>
  <si>
    <t>Macitentana (Actelion-1, ACT-064992) is an orally active, non-peptide, dual ETA/ETB (endothelin) receptor antagonist with IC50 of 0.5 nM/391 nM. Phase 3.</t>
  </si>
  <si>
    <t>SK06H15</t>
  </si>
  <si>
    <t>Dovitinib (TKI258) Lactate</t>
  </si>
  <si>
    <t xml:space="preserve">Dovitinib (TKI258) Lactate is the Lactate of Dovitinib, which is a multitargeted RTK inhibitor, mostly for class III (&lt;b&gt;FLT3/c-Kit&lt;/b&gt;) with &lt;b&gt;IC50&lt;/b&gt; of 1 nM/2 nM, also potent to class IV (&lt;b&gt;FGFR1/3&lt;/b&gt;) and class V (&lt;b&gt;VEGFR1-4&lt;/b&gt;) RTKs with &lt;b&gt;IC50&lt;/b&gt; of 8-13 nM, less potent to InsR, EGFR, c-Met, EphA2, Tie2, IGFR1 and HER2. Phase 4.
</t>
  </si>
  <si>
    <t>SK06H16</t>
  </si>
  <si>
    <t>Optovin</t>
  </si>
  <si>
    <t xml:space="preserve">Optovin is a reversible photoactivated TRPA1 activator.
</t>
  </si>
  <si>
    <t>SK06H17</t>
  </si>
  <si>
    <t>Combretastatin A4</t>
  </si>
  <si>
    <t xml:space="preserve">Combretastatin A4 is a &lt;b&gt;microtubule&lt;/b&gt;-targeting agent that binds β-tubulin with &lt;b&gt;K&lt;sub&gt;d&lt;/sub&gt;&lt;/b&gt; of 0.4 μM.Phase 3.
</t>
  </si>
  <si>
    <t>SK06H18</t>
  </si>
  <si>
    <t>SK06H19</t>
  </si>
  <si>
    <t>AT7519 HCl</t>
  </si>
  <si>
    <t xml:space="preserve">AT7519 HCl is a multi-&lt;b&gt;CDK&lt;/b&gt; inhibitor for CDK1, 2, 4, 6 and 9 with &lt;b&gt;IC50&lt;/b&gt; of 10-210 nM in cell-free assays. It is less potent to CDK3 and little active to CDK7. Phase 2.
</t>
  </si>
  <si>
    <t>SK06H20</t>
  </si>
  <si>
    <t>Methacycline HCl</t>
  </si>
  <si>
    <t>Methacycline HCl is a tetracycline antibiotic.</t>
  </si>
  <si>
    <t>SK06H21</t>
  </si>
  <si>
    <t>BI-847325</t>
  </si>
  <si>
    <t>BI-847325 is an orally bioavailable, and selective dual &lt;b&gt;MEK/Aurora kinase&lt;/b&gt; inhibitor with &lt;b&gt;IC50&lt;/b&gt; of 3 nM, 25 nM, 15 nM, 25 nM, and 4 nM for Xenopus laevis Aurora B, human Aurora A and Aurora C, as well as human MEK1 and MEK2, respectively. Phase 1.</t>
  </si>
  <si>
    <t>SK06H22</t>
  </si>
  <si>
    <t>SK06H23</t>
  </si>
  <si>
    <t>SK06H24</t>
  </si>
  <si>
    <t>SK06I01</t>
  </si>
  <si>
    <t>AZD9291</t>
  </si>
  <si>
    <t>AZD9291 is an oral, irreversible, and mutant-selective EGFR inhibitor with IC50 of 12.92, 11.44 and 493.8 nM for Exon 19 deletion EGFR, L858R/T790M EGFR, and WT EGFR, respectively. Phase 3.</t>
  </si>
  <si>
    <t>SK06I02</t>
  </si>
  <si>
    <t>VER-49009</t>
  </si>
  <si>
    <t>VER-49009 is a potent HSP90 inhibitor with IC50 of 47 nM for HSP90β.</t>
  </si>
  <si>
    <t>SK06I03</t>
  </si>
  <si>
    <t>SF1670</t>
  </si>
  <si>
    <t xml:space="preserve">SF1670 is a highly potent and specific PTEN inhibitor with IC50 of 2 μM. 
</t>
  </si>
  <si>
    <t>SK06I04</t>
  </si>
  <si>
    <t>Nexturastat A</t>
  </si>
  <si>
    <t xml:space="preserve">Nexturastat A is a potent and selective HDAC6 inhibitor with IC50 of 5 nM, &gt;190-fold selectivity over other HDACs. </t>
  </si>
  <si>
    <t>SK06I05</t>
  </si>
  <si>
    <t>TMP269</t>
  </si>
  <si>
    <t>TMP269 is a potent, selective class IIa HDAC inhibitor with IC50 of 157 nM, 97 nM, 43 nM and 23 nM for HDAC4, HDAC5, HDAC7 and HDAC9, respectively.</t>
  </si>
  <si>
    <t>SK06I06</t>
  </si>
  <si>
    <t>INH6</t>
  </si>
  <si>
    <t xml:space="preserve">INH6 is a potent Hec1 inhibitor, which specifically disrupts the Hec1/Nek2 interaction and causes chromosome mis-alignment.
</t>
  </si>
  <si>
    <t>SK06I07</t>
  </si>
  <si>
    <t>K-Ras(G12C) inhibitor 6</t>
  </si>
  <si>
    <t>K-Ras(G12C) inhibitor 6 is an allosteric, and selective inhibitor of oncogenic K-Ras(G12C).</t>
  </si>
  <si>
    <t>SK06I08</t>
  </si>
  <si>
    <t>ML167</t>
  </si>
  <si>
    <t>ML167 is a highly selective Cdc2-like kinase 4 (Clk4) inhibitor with IC50 of 136 nM, &gt;10-fold selectivity for closely related kinases Clk1-3 and Dyrk1A/1B.</t>
  </si>
  <si>
    <t>SK06I09</t>
  </si>
  <si>
    <t>Bay 11-7085</t>
  </si>
  <si>
    <t>BAY 11-7085 is an irreversible inhibitor of TNFα-induced &lt;b&gt;IκBα&lt;/b&gt; phosphorylation with &lt;b&gt;IC50&lt;/b&gt; of 10 μM.</t>
  </si>
  <si>
    <t>SK06I10</t>
  </si>
  <si>
    <t>Darapladib (SB-480848)</t>
  </si>
  <si>
    <t xml:space="preserve">Darapladib (SB-480848) is a reversible lipoprotein-associated phospholipase A2 (Lp-PLA2) inhibitor with IC50 of 0.25 nM. Phase 3.
</t>
  </si>
  <si>
    <t>SK06I11</t>
  </si>
  <si>
    <t>BRD7552</t>
  </si>
  <si>
    <t xml:space="preserve">BRD7552 is an inducer of transcription factor &lt;b&gt;PDX1&lt;/b&gt;, which increases insulin expression.
</t>
  </si>
  <si>
    <t>SK06I12</t>
  </si>
  <si>
    <t>EW-7197</t>
  </si>
  <si>
    <t xml:space="preserve">EW-7197 is a highly potent, selective, and orally bioavailable &lt;b&gt;TGF-β receptor ALK4/ALK5&lt;/b&gt; inhibitor with &lt;b&gt;IC50&lt;/b&gt; of 13 nM and 11 nM, respectively. Phase 1.
</t>
  </si>
  <si>
    <t>SK06I13</t>
  </si>
  <si>
    <t>PTC-209</t>
  </si>
  <si>
    <t>PTC-209 is a potent and selective BMI-1 inhibitor with IC50 of 0.5 μM, and results in irreversible reduction of cancer-initiating cells (CICs).</t>
  </si>
  <si>
    <t>SK06I14</t>
  </si>
  <si>
    <t>Erythromycin Cyclocarbonate</t>
  </si>
  <si>
    <t xml:space="preserve">Erythromycin Cyclocarbonate, derivative of Erythromycin, inhibits protein synthesis of bacteria by binding to the 50S ribosome.
</t>
  </si>
  <si>
    <t>SK06I15</t>
  </si>
  <si>
    <t>Z-FA-FMK</t>
  </si>
  <si>
    <t>Z-FA-FMK is an irreversible cysteine protease inhibitor, and also inhibits effector caspases.</t>
  </si>
  <si>
    <t>SK06I16</t>
  </si>
  <si>
    <t>LMK-235</t>
  </si>
  <si>
    <t xml:space="preserve">LMK-235 is a selective inhibitor of &lt;b&gt;HDAC4&lt;/b&gt; and &lt;b&gt;HDAC5&lt;/b&gt; with &lt;b&gt;IC50&lt;/b&gt; of 11.9 nM and 4.2 nM, respectively. 
</t>
  </si>
  <si>
    <t>SK06I17</t>
  </si>
  <si>
    <t>Caffeic Acid Phenethyl Ester</t>
  </si>
  <si>
    <t>Caffeic acid phenethyl ester is a potent and specific inhibitor of NF-κB activation, and also displays antioxidant, immunomodulatory and antiinflammatory activities.</t>
  </si>
  <si>
    <t>SK06I18</t>
  </si>
  <si>
    <t>LRRK2-IN-1</t>
  </si>
  <si>
    <t xml:space="preserve">LRRK2-IN-1 is a potent and selective &lt;b&gt;LRRK2&lt;/b&gt; inhibitor with &lt;b&gt;IC50&lt;/b&gt; of 6 nM and 13 nM for LRRK2 (G2019S) and LRRK2 (WT), respectively.
</t>
  </si>
  <si>
    <t>SK06I19</t>
  </si>
  <si>
    <t>TAPI-1</t>
  </si>
  <si>
    <t xml:space="preserve">TAPI-1 is an ADAM17/TACE inhibitor, which blocks shedding of cytokine receptors.
</t>
  </si>
  <si>
    <t>SK06I20</t>
  </si>
  <si>
    <t>CAY10603</t>
  </si>
  <si>
    <t xml:space="preserve">CAY10603 is a potent and selective &lt;b&gt;HDAC6&lt;/b&gt; inhibitor with &lt;b&gt;IC50&lt;/b&gt; of 2 pM, &gt;200-fold selectivity over other HDACs.
</t>
  </si>
  <si>
    <t>SK06I21</t>
  </si>
  <si>
    <t>E3330</t>
  </si>
  <si>
    <t xml:space="preserve">E3330 is a potent and selective &lt;b&gt;APE1(Ref-1)&lt;/b&gt; inhibitor, which suppressed NF-kappa B DNA-binding activity.
</t>
  </si>
  <si>
    <t>SK06I22</t>
  </si>
  <si>
    <t>PX-478 2HCl</t>
  </si>
  <si>
    <t xml:space="preserve">PX-478 2HCl is an orally active, and selective &lt;b&gt;hypoxia-inducible factor-1α (HIF-1α)&lt;/b&gt; inhibitor. Phase 1.
</t>
  </si>
  <si>
    <t>SK06I23</t>
  </si>
  <si>
    <t>SK06I24</t>
  </si>
  <si>
    <t>SK06J01</t>
  </si>
  <si>
    <t>LDN-214117</t>
  </si>
  <si>
    <t xml:space="preserve">LDN-214117 is a potent and selective BMP type I receptor kinase &lt;b&gt;ALK2&lt;/b&gt; inhibitor with &lt;b&gt;IC50&lt;/b&gt; of 24 nM.
</t>
  </si>
  <si>
    <t>SK06J02</t>
  </si>
  <si>
    <t>ONO-4059</t>
  </si>
  <si>
    <t xml:space="preserve">ONO-4059 is a highly potent and selective oral &lt;b&gt;BTK&lt;/b&gt; inhibitor with &lt;b&gt;IC50&lt;/b&gt; of 23.9 nM. Phase 1.
</t>
  </si>
  <si>
    <t>SK06J03</t>
  </si>
  <si>
    <t>LDC1267</t>
  </si>
  <si>
    <t xml:space="preserve">LDC1267 is a highly selective &lt;b&gt;TAM kinase&lt;/b&gt; inhibitor with &lt;b&gt;IC50&lt;/b&gt; of &lt;5 nM, 8 nM, and 29 nM for Mer, Tyro3, and Axl, respectively. Displays lower activity against Met, Aurora B, Lck, Src, and CDK8.
</t>
  </si>
  <si>
    <t>SK06J04</t>
  </si>
  <si>
    <t>Bromodeoxyuridine (BrdU)</t>
  </si>
  <si>
    <t xml:space="preserve">Bromodeoxyuridine (BrdU) is a nucleoside analog that competes with thymidine for incorporation into DNA, and used in the detection of proliferating cells.  
</t>
  </si>
  <si>
    <t>SK06J05</t>
  </si>
  <si>
    <t>CB-839</t>
  </si>
  <si>
    <t xml:space="preserve">CB-839 is a potent, selective, and orally bioavailable &lt;b&gt;glutaminase&lt;/b&gt; inhibitor with &lt;b&gt;IC50&lt;/b&gt; of 24 nM for recombinant human GAC. Phase 1.
</t>
  </si>
  <si>
    <t>SK06J06</t>
  </si>
  <si>
    <t>VE-821</t>
  </si>
  <si>
    <t>VE-821 is a potent and selective ATP competitive inhibitor of ATR with Ki/IC50 of 13 nM/26 nM, shows inhibition of H2AX phosphorylation, minimal activity against PIKKs ATM, DNA-PK, mTOR and PI3Kγ.</t>
  </si>
  <si>
    <t>SK06J07</t>
  </si>
  <si>
    <t>Omaveloxolone (RTA-408)</t>
  </si>
  <si>
    <t xml:space="preserve">Omaveloxolone (RTA-408) is a synthetic triterpenoid that activates the cytoprotective transcription factor &lt;b&gt;Nrf2&lt;/b&gt; and inhibits NF-κB signaling. Phase 2. 
</t>
  </si>
  <si>
    <t>SK06J08</t>
  </si>
  <si>
    <t>Vortioxetine (Lu AA21004) HBr</t>
  </si>
  <si>
    <t>Vortioxetine (Lu AA21004) is a multimodal serotonergic agent, inhibits 5-HT1A, 5-HT1B, 5-HT3A, 5-HT7 receptor and SERT with IC50 of 15 nM, 33 nM, 3.7 nM, 19 nM and 1.6 nM, respectively. Phase 3.</t>
  </si>
  <si>
    <t>SK06J09</t>
  </si>
  <si>
    <t>BG45</t>
  </si>
  <si>
    <t>BG45 is a class I &lt;b&gt;HDAC&lt;/b&gt; inhibitor with &lt;b&gt;IC50&lt;/b&gt; of 289 nM, 2.0 ¦ÌM, 2.2 ¦ÌM and &gt;20 ¦ÌM for HDAC3, HDAC1, HDAC2, and HDAC6 in cell-free assays, respectively.</t>
  </si>
  <si>
    <t>SK06J10</t>
  </si>
  <si>
    <t>PRT062607 (P505-15, BIIB057) HCl</t>
  </si>
  <si>
    <t>PRT062607 (P505-15) HCl is a novel, highly selective Syk inhibitor with IC50 of 1 nM, &gt;80-fold selective for Syk than Fgr, Lyn, FAK, Pyk2 and Zap70.</t>
  </si>
  <si>
    <t>SK06J11</t>
  </si>
  <si>
    <t>SBE 13 HCl</t>
  </si>
  <si>
    <t xml:space="preserve">SBE 13 HCl is a potent and selective &lt;b&gt;PLK1&lt;/b&gt; inhibitor with &lt;b&gt;IC50&lt;/b&gt; of 200 pM, &gt;4000-fold selectivity over Aurora A kinase, Plk2 and Plk3.
</t>
  </si>
  <si>
    <t>SK06J12</t>
  </si>
  <si>
    <t>GW2580</t>
  </si>
  <si>
    <t>GW2580 is a selective CSF-1R inhibitor for c-FMS with IC50 of 30 nM, 150- to 500-fold selective compared to b-Raf, CDK4, c-KIT, c-SRC, EGFR, ERBB2/4, ERK2, FLT-3, GSK3, ITK, JAK2 etc.</t>
  </si>
  <si>
    <t>SK06J13</t>
  </si>
  <si>
    <t>SCR7</t>
  </si>
  <si>
    <t xml:space="preserve">SCR7 is a specific &lt;b&gt;DNA Ligase IV&lt;/b&gt; inhibitor, which blocks nonhomologous end-joining (NHEJ).
</t>
  </si>
  <si>
    <t>SK06J14</t>
  </si>
  <si>
    <t>ASP3026</t>
  </si>
  <si>
    <t>ASP3026 is a novel and selective inhibitor for ALK  with IC50 of 3.5 nM. Phase 1.</t>
  </si>
  <si>
    <t>SK06J15</t>
  </si>
  <si>
    <t>Cabotegravir (GSK744, GSK1265744)</t>
  </si>
  <si>
    <t xml:space="preserve">Cabotegravir (GSK744, GSK1265744) is a long-acting &lt;b&gt;HIV integrase&lt;/b&gt; inhibitor against a broad range of HIV subtypes, and inhibits the HIV-1 integrase catalyzed strand transfer reaction with &lt;b&gt;IC50&lt;/b&gt; of 3.0 nM. Phase 2.
</t>
  </si>
  <si>
    <t>SK06J16</t>
  </si>
  <si>
    <t>PluriSIn #1 (NSC 14613)</t>
  </si>
  <si>
    <t>PluriSIn #1 is an inhibitor of the stearoyl-coA desaturase 1 (SCD1), which is able to selectively eliminate hPSCs.</t>
  </si>
  <si>
    <t>SK06J17</t>
  </si>
  <si>
    <t>Erlotinib</t>
  </si>
  <si>
    <t xml:space="preserve">Erlotinib is an &lt;b&gt;EGFR&lt;/b&gt; inhibitor with &lt;b&gt;IC50&lt;/b&gt; of 2 nM, &gt;1000-fold more sensitive for EGFR than human c-Src or v-Abl.
</t>
  </si>
  <si>
    <t>SK06J18</t>
  </si>
  <si>
    <t>SK06J19</t>
  </si>
  <si>
    <t>Afatinib (BIBW2992) Dimaleate</t>
  </si>
  <si>
    <t xml:space="preserve">Afatinib (BIBW2992) Dimaleate irreversibly inhibits &lt;b&gt;EGFR/HER2&lt;/b&gt; including &lt;b&gt;EGFR(wt)&lt;/b&gt;, &lt;b&gt;EGFR(L858R)&lt;/b&gt;, EGFR(L858R/T790M) and HER2 with IC50 of 0.5 nM, 0.4 nM, 10 nM and 14 nM, respectively; 100-fold more active against Gefitinib-resistant L858R-T790M EGFR mutant.
</t>
  </si>
  <si>
    <t>SK06J20</t>
  </si>
  <si>
    <t>Zanamivir</t>
  </si>
  <si>
    <t>Zanamivir is a neuraminidase inhibitor used in the treatment and prophylaxis of influenza caused by influenza A virus and influenza B virus.</t>
  </si>
  <si>
    <t>SK06J21</t>
  </si>
  <si>
    <t>Cyclo(RGDyK)</t>
  </si>
  <si>
    <t xml:space="preserve">Cyclo(RGDyK) is a potent and selective &lt;b&gt;αVβ3 integrin&lt;/b&gt; inhibitor with &lt;b&gt;IC50&lt;/b&gt; of 20 nM. 
</t>
  </si>
  <si>
    <t>SK06J22</t>
  </si>
  <si>
    <t>SK06J23</t>
  </si>
  <si>
    <t>SK06J24</t>
  </si>
  <si>
    <t>SK06K01</t>
  </si>
  <si>
    <t>AZ5104</t>
  </si>
  <si>
    <t>AZ5104, the demethylated metabolite of AZD-9291, is a potent &lt;b&gt;EGFR&lt;/b&gt; inhibitor with &lt;b&gt;IC50&lt;/b&gt; of &lt;1 nM, 6 nM, 1 nM, and 25 nM for EGFR (L858R/T790M), EGFR (L858R), EGFR (L861Q), and EGFR (wildtype), respectively. Phase 1.</t>
  </si>
  <si>
    <t>SK06K02</t>
  </si>
  <si>
    <t>VER-50589</t>
  </si>
  <si>
    <t xml:space="preserve">VER-50589 is a potent HSP90 inhibitor with IC50 of 21 nM for HSP90β.
</t>
  </si>
  <si>
    <t>SK06K03</t>
  </si>
  <si>
    <t>Z-DEVD-FMK</t>
  </si>
  <si>
    <t>Z-DEVD-FMK is a specific, irreversible Caspase-3 inhibitor, and also shows potent inhibition on caspase-6, caspase-7, caspase-8, and caspase-10.</t>
  </si>
  <si>
    <t>SK06K04</t>
  </si>
  <si>
    <t>MG149</t>
  </si>
  <si>
    <t xml:space="preserve">MG149 is a potent &lt;b&gt;histone acetyltransferase&lt;/b&gt; inhibitor with &lt;b&gt;IC50&lt;/b&gt; of 74 μM and 47 μM for Tip60 and MOF,respectively.
</t>
  </si>
  <si>
    <t>SK06K05</t>
  </si>
  <si>
    <t>UNC2881</t>
  </si>
  <si>
    <t>UNC2881 is a specific Mer tyrosine kinase inhibitor with IC50 of 4.3 nM, about 83- and 58-fold selectivity over Axl and Tyro3, respectively.</t>
  </si>
  <si>
    <t>SK06K06</t>
  </si>
  <si>
    <t>TAI-1</t>
  </si>
  <si>
    <t xml:space="preserve">TAI-1 is a potent and specific &lt;b&gt;Hec1&lt;/b&gt; inhibitor, which disrupts Hec1-Nek2 protein interaction. 
</t>
  </si>
  <si>
    <t>SK06K07</t>
  </si>
  <si>
    <t>ERK5-IN-1</t>
  </si>
  <si>
    <t xml:space="preserve">ERK5-IN-1 is a potent, and selective &lt;b&gt;ERK5&lt;/b&gt; inhibitor with &lt;b&gt;IC50&lt;/b&gt; of 162 nM.
</t>
  </si>
  <si>
    <t>SK06K08</t>
  </si>
  <si>
    <t>UM729</t>
  </si>
  <si>
    <t xml:space="preserve">UM729 is an enhancer of &lt;b&gt;aryl hydrocarbon receptor (AhR)&lt;/b&gt; antagonists.
</t>
  </si>
  <si>
    <t>SK06K09</t>
  </si>
  <si>
    <t>EPZ004777</t>
  </si>
  <si>
    <t>EPZ004777 is a potent, selective DOT1L inhibitor with IC50 of 0.4 nM.</t>
  </si>
  <si>
    <t>SK06K10</t>
  </si>
  <si>
    <t>Afuresertib (GSK2110183)</t>
  </si>
  <si>
    <t xml:space="preserve">Afuresertib (GSK2110183) is a potent, orally bioavailable &lt;b&gt;Akt&lt;/b&gt; inhibitor with &lt;b&gt;K&lt;sub&gt;i&lt;/sub&gt;&lt;/b&gt; of 0.08 nM, 2 nM, and 2.6 nM for Akt1, Akt2, and Akt3, respectively. Phase 2.
</t>
  </si>
  <si>
    <t>SK06K11</t>
  </si>
  <si>
    <t>Atglistatin</t>
  </si>
  <si>
    <t>Atglistatin is a highly potent, and selective inhibitor of adipose triglyceride lipase (ATGL) with IC50 of 0.7 μM, high selectivity over other key metabolic lipases.</t>
  </si>
  <si>
    <t>SK06K12</t>
  </si>
  <si>
    <t>UMI-77</t>
  </si>
  <si>
    <t xml:space="preserve">UMI-77 is a selective &lt;b&gt;Mcl-1&lt;/b&gt; inhibitor with &lt;b&gt;K&lt;/sub&gt;i&lt;/sub&gt;&lt;/b&gt; of 490 nM, showing selectivity over other members of Bcl-2 family.
</t>
  </si>
  <si>
    <t>SK06K13</t>
  </si>
  <si>
    <t>UNC669</t>
  </si>
  <si>
    <t>UNC669 is a potent and selective MBT (malignant brain tumor) inhibitor with IC50 of 6 μM for L3MBTL1, 5- and 11-fold selective over L3MBTL3 and L3MBTL4.</t>
  </si>
  <si>
    <t>SK06K14</t>
  </si>
  <si>
    <t>Piperlongumine</t>
  </si>
  <si>
    <t xml:space="preserve">Piperlongumine, a natural alkaloid from Piper longum L., increases the level of &lt;b&gt;reactive oxygen species (ROS)&lt;/b&gt; and selectively kills cancer cells. 
</t>
  </si>
  <si>
    <t>SK06K15</t>
  </si>
  <si>
    <t>Loxistatin Acid (E-64C)</t>
  </si>
  <si>
    <t>Loxistatin Acid (E-64C), a derivative of E-64, is an irreversible and membrane-permeant cysteine protease inhibitor.</t>
  </si>
  <si>
    <t>SK06K16</t>
  </si>
  <si>
    <t>UNC0379</t>
  </si>
  <si>
    <t xml:space="preserve">UNC0379 is a selective, substrate competitive inhibitor of &lt;b&gt;N-lysine methyltransferase SETD8&lt;/b&gt; with &lt;b&gt;IC50&lt;/b&gt; of 7.9 μM, high selectivity over 15 other methyltransferases. 
</t>
  </si>
  <si>
    <t>SK06K17</t>
  </si>
  <si>
    <t>Puromycin 2HCl</t>
  </si>
  <si>
    <t>Puromycin 2HCl is an aminonucleoside antibiotic, which acts as a protein synthesis inhibitor.</t>
  </si>
  <si>
    <t>SK06K18</t>
  </si>
  <si>
    <t>SB-334867</t>
  </si>
  <si>
    <t xml:space="preserve">SB-334867 is a selective &lt;b&gt;orexin-1 (OX1) receptor&lt;/b&gt; antagonist.
</t>
  </si>
  <si>
    <t>SK06K19</t>
  </si>
  <si>
    <t>AR-A014418</t>
  </si>
  <si>
    <t>AR-A014418 is an ATP-competitive, and selective GSK3β inhibitor with IC50 and Ki of 104 nM and 38 nM, without significant inhibition on 26 other kinases tested.</t>
  </si>
  <si>
    <t>SK06K20</t>
  </si>
  <si>
    <t>BV-6</t>
  </si>
  <si>
    <t xml:space="preserve">BV-6 is a SMAC mimetic, dual cIAP and XIAP inhibitor. 
</t>
  </si>
  <si>
    <t>SK06K21</t>
  </si>
  <si>
    <t>ZLN005</t>
  </si>
  <si>
    <t>ZLN005 is a potent and tissue-specific PGC-1α transcriptional activator.</t>
  </si>
  <si>
    <t>SK06K22</t>
  </si>
  <si>
    <t>CPI-169</t>
  </si>
  <si>
    <t>CPI-169 is a potent, and selective &lt;b&gt;EZH2&lt;/b&gt; inhibitor with &lt;b&gt;IC50&lt;/b&gt; of 0.24 nM, 0.51 nM, and 6.1 nM for EZH2 WT, EZH2 Y641N, and EZH1, respectively.</t>
  </si>
  <si>
    <t>SK06K23</t>
  </si>
  <si>
    <t>SK06K24</t>
  </si>
  <si>
    <t>SK06L01</t>
  </si>
  <si>
    <t>TH287</t>
  </si>
  <si>
    <t xml:space="preserve">TH287 is a potent and selective &lt;b&gt;MTH1 (NUDT1)&lt;/b&gt; inhibitor with &lt;b&gt;IC50&lt;/b&gt; of 0.8 nM.
</t>
  </si>
  <si>
    <t>SK06L02</t>
  </si>
  <si>
    <t>BQ-123</t>
  </si>
  <si>
    <t xml:space="preserve">BQ-123 is a selective &lt;b&gt;endothelin A receptor (ETA)&lt;/b&gt; antagonist with &lt;b&gt;IC50&lt;/b&gt; of 7.3 nM. Phase 2.
</t>
  </si>
  <si>
    <t>SK06L03</t>
  </si>
  <si>
    <t>Remodelin</t>
  </si>
  <si>
    <t xml:space="preserve">Remodelin is a potent &lt;b&gt;acetyl-transferase NAT10&lt;/b&gt; inhibitor.
</t>
  </si>
  <si>
    <t>SK06L04</t>
  </si>
  <si>
    <t>Tenovin-1</t>
  </si>
  <si>
    <t>Tenovin-1 protects against MDM2-mediated p53 degradation, which involves ubiquitination, and acts through inhibition of protein-deacetylating activities of SirT1 and SirT2.</t>
  </si>
  <si>
    <t>SK06L05</t>
  </si>
  <si>
    <t>CPI-360</t>
  </si>
  <si>
    <t xml:space="preserve">CPI-360 is a potent, selective,and SAM-competitive &lt;b&gt;EZH1&lt;/b&gt; inhibitor with &lt;b&gt;IC50&lt;/b&gt; of 102.3 nM, &gt;100-fold selectivity over other methyltransferases.
</t>
  </si>
  <si>
    <t>SK06L06</t>
  </si>
  <si>
    <t>AG-18</t>
  </si>
  <si>
    <t>AG-18 inhibits EGFR with IC50 of 35 μM.</t>
  </si>
  <si>
    <t>SK06L07</t>
  </si>
  <si>
    <t>PF-4989216</t>
  </si>
  <si>
    <t xml:space="preserve">PF-4989216 is a potent and selective &lt;b&gt;PI3K&lt;/b&gt; inhibitor with &lt;b&gt;IC50&lt;/b&gt; of 2 nM, 142 nM, 65 nM, 1 nM, and 110 nM for p110α, p110β, p110γ, p110δ, and VPS34, respectively.
</t>
  </si>
  <si>
    <t>SK06L08</t>
  </si>
  <si>
    <t>Empagliflozin (BI 10773)</t>
  </si>
  <si>
    <t>Empagliflozin (BI-10773) is a potent and selective SGLT-2 inhibitor with IC50 of 3.1 nM, exhibits &gt;300-fold selectivity over SGLT-1, 4, 5 and 6. Phase 3.</t>
  </si>
  <si>
    <t>SK06L09</t>
  </si>
  <si>
    <t>AZD8186</t>
  </si>
  <si>
    <t xml:space="preserve">AZD8186 is a potent and selective inhibitor of PI3Kβ and PI3Kδ with &lt;b&gt;IC50&lt;/b&gt; of 4 nM and 12 nM, respectively. Phase 1.
</t>
  </si>
  <si>
    <t>SK06L10</t>
  </si>
  <si>
    <t>Apremilast (CC-10004)</t>
  </si>
  <si>
    <t>Apremilast (CC-10004) is a potent and orally active PDE4 and TNF-α inhibitor with IC50 of 74 nM and 77 nM, respectively.</t>
  </si>
  <si>
    <t>SK06L11</t>
  </si>
  <si>
    <t>Monomethyl auristatin E (MMAE)</t>
  </si>
  <si>
    <t xml:space="preserve">Monomethyl auristatin E (MMAE) is a synthetic antineoplastic agent, which is linked to a monoclonal antibody (MAB).
</t>
  </si>
  <si>
    <t>SK06L12</t>
  </si>
  <si>
    <t xml:space="preserve">Scriptaid </t>
  </si>
  <si>
    <t>Scriptaid is an inhibitor of HDAC. It shows a greater effect on acetylated H4 than H3.</t>
  </si>
  <si>
    <t>SK06L13</t>
  </si>
  <si>
    <t>ANA-12</t>
  </si>
  <si>
    <t xml:space="preserve">ANA-12 is a selective &lt;b&gt;TrkB&lt;/b&gt; antagonist with &lt;b&gt;K&lt;sub&gt;d&lt;/sub&gt;&lt;/b&gt; of 10 nM and 12 μM for the high and low affinity sites, respectively.
</t>
  </si>
  <si>
    <t>SK06L14</t>
  </si>
  <si>
    <t>Lomeguatrib</t>
  </si>
  <si>
    <t>Lomeguatrib is a potent inhibitor of O6-alkylguanine-DNA-alkyltransferase with IC50 of 5 nM.</t>
  </si>
  <si>
    <t>SK06L15</t>
  </si>
  <si>
    <t>STF-083010</t>
  </si>
  <si>
    <t xml:space="preserve">STF-083010 is a specific &lt;b&gt;IRE1α endonuclease&lt;/b&gt; inhibitor.
</t>
  </si>
  <si>
    <t>SK06L16</t>
  </si>
  <si>
    <t>RI-1</t>
  </si>
  <si>
    <t>RI-1 is a RAD51 inhibitor with IC50 ranging from 5 to 30 μM.</t>
  </si>
  <si>
    <t>SK06L17</t>
  </si>
  <si>
    <t>Docetaxel Trihydrate</t>
  </si>
  <si>
    <t xml:space="preserve">Docetaxel, an analog of paclitaxel, is an inhibitor of depolymerisation of &lt;b&gt;microtubules&lt;/b&gt; by binding to stabilized microtubules.
</t>
  </si>
  <si>
    <t>SK06L18</t>
  </si>
  <si>
    <t>SK06L19</t>
  </si>
  <si>
    <t>MHY1485</t>
  </si>
  <si>
    <t xml:space="preserve">MHY1485 is a potent, and cell-permeable &lt;b&gt;mTOR&lt;/b&gt; activator, and also potently inhibits &lt;b&gt;autophagy&lt;/b&gt;.
</t>
  </si>
  <si>
    <t>SK06L20</t>
  </si>
  <si>
    <t>Solifenacin succinate</t>
  </si>
  <si>
    <t>Solifenacin succinate is a urinary antispasmodic of the antimuscarinic class.</t>
  </si>
  <si>
    <t>SK06L21</t>
  </si>
  <si>
    <t>Ulixertinib (BVD-523, VRT752271)</t>
  </si>
  <si>
    <t>Ulixertinib (BVD-523, VRT752271) is a potent and reversible &lt;b&gt;ERK1/ERK2&lt;/b&gt; inhibitor with &lt;b&gt;IC50&lt;/b&gt; of &lt;0.3 nM for ERK2. Phase 1.</t>
  </si>
  <si>
    <t>SK06L22</t>
  </si>
  <si>
    <t>SK06L23</t>
  </si>
  <si>
    <t>SK06L24</t>
  </si>
  <si>
    <t>SK06M01</t>
  </si>
  <si>
    <t xml:space="preserve">PJ34 HCl </t>
  </si>
  <si>
    <t>PJ34 HCl is the hydrochloride salt of PJ34, which is a PARP inhibitor with EC50 of 20 nM and is equally potent to PARP1/2.</t>
  </si>
  <si>
    <t>SK06M02</t>
  </si>
  <si>
    <t>BTB06584</t>
  </si>
  <si>
    <t>BTB06584 is an IF1-dependent, selective inhibitor of the mitochondrial F1 Fo-ATPase.</t>
  </si>
  <si>
    <t>SK06M03</t>
  </si>
  <si>
    <t>PFI-3</t>
  </si>
  <si>
    <t xml:space="preserve">PFI-3 is a selective chemical probe for &lt;b&gt;SMARCA bromodomains&lt;/b&gt;, including SMARCA2, SMARCA4 and PB1(5) bromodomains.
</t>
  </si>
  <si>
    <t>SK06M04</t>
  </si>
  <si>
    <t>EHT 1864</t>
  </si>
  <si>
    <t xml:space="preserve">EHT 1864 is a potent Rac family GTPase inhibitor with Kd of 40 nM, 50 nM, 60 nM and 250 nM for Rac1, Rac1b, Rac2 and Rac3, respectively.
</t>
  </si>
  <si>
    <t>SK06M05</t>
  </si>
  <si>
    <t>Tasisulam</t>
  </si>
  <si>
    <t>Tasisulam is an antitumor agent and an apoptosis inducer via the intrinsic pathway. Phase 3</t>
  </si>
  <si>
    <t>SK06M06</t>
  </si>
  <si>
    <t>CK-636</t>
  </si>
  <si>
    <t>CK-636 is an Arp2/3 complex inhibitor with IC50 of 4 μM, 24 μM and 32 μM for inhibition of actin polymerization induced by human, fission yeast and bovine Arp2/3 complex, respectively.</t>
  </si>
  <si>
    <t>SK06M07</t>
  </si>
  <si>
    <t>CW069</t>
  </si>
  <si>
    <t>CW069 is an allosteric, and selective inhibitor of microtubule motor protein HSET with IC50 of 75 μM, significant selectivity over KSP.</t>
  </si>
  <si>
    <t>SK06M08</t>
  </si>
  <si>
    <t>Trelagliptin</t>
  </si>
  <si>
    <t>Trelagliptin is a highly selective, long-acting DPP-4 inhibitor. Phase 3.</t>
  </si>
  <si>
    <t>SK06M09</t>
  </si>
  <si>
    <t>ARQ 621</t>
  </si>
  <si>
    <t xml:space="preserve">ARQ 621 is an allosteric, and selective Eg5 mitotic motor protein inhibitor. Phase 1.
</t>
  </si>
  <si>
    <t>SK06M10</t>
  </si>
  <si>
    <t>GS-9973</t>
  </si>
  <si>
    <t>GS-9973 is an orally bioavailable, selective Syk inhibitor with IC50 of 7.7 nM. Phase 2.</t>
  </si>
  <si>
    <t>SK06M11</t>
  </si>
  <si>
    <t>AdipoRon</t>
  </si>
  <si>
    <t>AdipoRon is a novel, and orally bioavailable adiponectin receptor agonist with KD of 1.8 and 3.1 μM for AdipoR1 and AdipoR2, respectively.</t>
  </si>
  <si>
    <t>SK06M12</t>
  </si>
  <si>
    <t>BAPTA-AM</t>
  </si>
  <si>
    <t>BAPTA-AM is a selective, membrane-permeable calcium chelator.</t>
  </si>
  <si>
    <t>SK06M13</t>
  </si>
  <si>
    <t>AEBSF HCl</t>
  </si>
  <si>
    <t xml:space="preserve">AEBSF HCl is a broad spectrum, irreversible serine protease inhibitor.
</t>
  </si>
  <si>
    <t>SK06M14</t>
  </si>
  <si>
    <t>GDC-0623</t>
  </si>
  <si>
    <t xml:space="preserve">GDC-0623 is a potent and ATP-uncompetitive &lt;b&gt;MEK1&lt;/b&gt; inhibitor with &lt;b&gt;K&lt;sub&gt;i&lt;/sub&gt;&lt;/b&gt; of 0.13 nM. Phase 1.
</t>
  </si>
  <si>
    <t>SK06M15</t>
  </si>
  <si>
    <t>Aloxistatin</t>
  </si>
  <si>
    <t>Aloxistatin is an irreversible and membrane-permeable cysteine protease inhibitor.</t>
  </si>
  <si>
    <t>SK06M16</t>
  </si>
  <si>
    <t>GSK2830371</t>
  </si>
  <si>
    <t xml:space="preserve">GSK2830371 is an orally active, allosteric &lt;b&gt;Wip1 phosphatase&lt;/b&gt; inhibitor with &lt;b&gt;IC50&lt;/b&gt; of 6 nM.
</t>
  </si>
  <si>
    <t>SK06M17</t>
  </si>
  <si>
    <t>CGP 57380</t>
  </si>
  <si>
    <t>CGP 57380 is potent MNK1 inhibitor with IC50 of 2.2 μM, exhibiting no inhibitory activity on p38, JNK1, ERK1 and -2, PKC, or c-Src-like kinases.</t>
  </si>
  <si>
    <t>SK06M18</t>
  </si>
  <si>
    <t>INCB024360</t>
  </si>
  <si>
    <t xml:space="preserve">INCB024360 is a potent, competitive IDO1 (indoleamine-(2,3)-dioxygenase) inhibitor with IC50 of 67 nM. Phase 2.
</t>
  </si>
  <si>
    <t>SK06M19</t>
  </si>
  <si>
    <t>NH125</t>
  </si>
  <si>
    <t>NH125 is a selective eEF-2 kinase inhibitor with IC50 of 60 nM, &gt;125-fold selectivity over PKC, PKA, and CaMKII, and also a potent histidine kinase inhibitor.</t>
  </si>
  <si>
    <t>SK06M20</t>
  </si>
  <si>
    <t>Filgotinib (GLPG0634)</t>
  </si>
  <si>
    <t xml:space="preserve">Filgotinib (GLPG0634) is a selective JAK1 inhibitor with IC50 of 10 nM, 28 nM, 810 nM, and 116 nM for JAK1, JAK2, JAK3, and TYK2, respectively. Phase 2.
</t>
  </si>
  <si>
    <t>SK06M21</t>
  </si>
  <si>
    <t>CORM-3</t>
  </si>
  <si>
    <t>CORM-3 is a water-soluble carbon monoxide-releasing molecule with anti-inflammatory and cardioprotective activity.</t>
  </si>
  <si>
    <t>SK06M22</t>
  </si>
  <si>
    <t>Tasquinimod</t>
  </si>
  <si>
    <t xml:space="preserve">Tasquinimod is an orally active &lt;b&gt;antiangiogenic&lt;/b&gt; agent by allosterically inhibiting &lt;b&gt;HDAC4&lt;/b&gt; signalling. Phase 3.
</t>
  </si>
  <si>
    <t>SK06M23</t>
  </si>
  <si>
    <t>SK06M24</t>
  </si>
  <si>
    <t>SK06N01</t>
  </si>
  <si>
    <t>TH588</t>
  </si>
  <si>
    <t>TH588 is a potent and selective MTH1 (NUDT1) inhibitor with IC50 of 5 nM.</t>
  </si>
  <si>
    <t>SK06N02</t>
  </si>
  <si>
    <t>AMI-1</t>
  </si>
  <si>
    <t xml:space="preserve">AMI-1 is a potent and specific &lt;b&gt;Histone Methyltransferase (HMT)&lt;/b&gt; inhibitor with &lt;b&gt;IC50&lt;/b&gt; of 3.0 μM and 8.8 μM for yeast Hmt1p and human PRMT1, respectively.
</t>
  </si>
  <si>
    <t>SK06N03</t>
  </si>
  <si>
    <t>D 4476</t>
  </si>
  <si>
    <t xml:space="preserve">D 4476 is a potent, selective, and cell-permeant &lt;b&gt;CK1 (casein kinase 1)&lt;/b&gt; inhibitor with &lt;b&gt;IC50&lt;/b&gt; of 200 nM and 300 nM in a cell-free assay for CK1 from Schizosaccharomyces pombe and CK1δ, respectively. Also acts as an &lt;b&gt;ALK5&lt;/b&gt; inhibitor with &lt;b&gt;IC50&lt;/b&gt; of 500 nM.
</t>
  </si>
  <si>
    <t>SK06N04</t>
  </si>
  <si>
    <t>Rocilinostat (ACY-1215)</t>
  </si>
  <si>
    <t>Rocilinostat (ACY-1215) is a selective HDAC6 inhibitor with IC50 of 5 nM. It is &gt;10-fold more selective for HDAC6 than HDAC1/2/3 (class I HDACs) with slight activity against HDAC8, minimal activity against HDAC4/5/7/9/11, Sirtuin1, and Sirtuin2.</t>
  </si>
  <si>
    <t>SK06N05</t>
  </si>
  <si>
    <t>Kartogenin</t>
  </si>
  <si>
    <t xml:space="preserve">Kartogenin is an activator of the &lt;b&gt;smad4/smad5&lt;/b&gt; pathway, and promotes the selective differentiation of multipotent mesenchymal stem cells into chondrocytes. 
</t>
  </si>
  <si>
    <t>SK06N06</t>
  </si>
  <si>
    <t>PRX-08066 Maleic acid</t>
  </si>
  <si>
    <t>PRX-08066 is a selective 5-HT2B receptor antagonist with IC50 of 3.4 nM, prevents the severity of pulmonary arterial hypertension in the MCT rat model. Phase 2.</t>
  </si>
  <si>
    <t>SK06N07</t>
  </si>
  <si>
    <t>LCZ696</t>
  </si>
  <si>
    <t xml:space="preserve">LCZ696, consisting of valsartan and sacubitril in 1:1 molar ratio, is an orally bioavailable, dual-acting &lt;b&gt;angiotensin receptor-neprilysin inhibitor (ARNi)&lt;/b&gt; for hypertension and heart failure. Phase 3.
</t>
  </si>
  <si>
    <t>SK06N08</t>
  </si>
  <si>
    <t>TCS 359</t>
  </si>
  <si>
    <t>TCS 359 is a potent FLT3 inhibitor with IC50 of 42 nM.</t>
  </si>
  <si>
    <t>SK06N09</t>
  </si>
  <si>
    <t>LY2409881</t>
  </si>
  <si>
    <t xml:space="preserve">LY2409881 is a potent and selective &lt;b&gt;IKK2&lt;/b&gt; inhibitor with &lt;b&gt;IC50&lt;/b&gt; of 30 nM, &gt;10-fold selectivity over IKK1 and other common kinases.
</t>
  </si>
  <si>
    <t>SK06N10</t>
  </si>
  <si>
    <t>Butein</t>
  </si>
  <si>
    <t>Butein, a plant polyphenol isolated from &lt;i&gt;Rhus verniciflua&lt;/i&gt;, is able to inhibit the activation of protein tyrosine kinase, NF-κB and STAT3, also inhibits EGFR</t>
  </si>
  <si>
    <t>SK06N11</t>
  </si>
  <si>
    <t>Bikinin</t>
  </si>
  <si>
    <t xml:space="preserve">Bikinin is an ATP-competitive Arabidopsis &lt;b&gt;GSK-3&lt;/b&gt; inhibitor, and acts as a strong activator of brassinosteroid (BR) signaling.
</t>
  </si>
  <si>
    <t>SK06N12</t>
  </si>
  <si>
    <t>BMS-345541</t>
  </si>
  <si>
    <t>BMS-345541 is a highly selective inhibitor of the catalytic subunits of IKK-2 and IKK-1 with IC50 of 0.3 μM and 4 μM, respectively.</t>
  </si>
  <si>
    <t>SK06N13</t>
  </si>
  <si>
    <t>Ro-3306</t>
  </si>
  <si>
    <t xml:space="preserve">RO-3306 is an ATP-competitive, and selective &lt;b&gt;CDK1&lt;/b&gt; inhibitor with &lt;b&gt;K&lt;sub&gt;i&lt;/sub&gt;&lt;/b&gt; of 20 nM, &gt;15-fold selectivity against a diverse panel of human kinases.
</t>
  </si>
  <si>
    <t>SK06N14</t>
  </si>
  <si>
    <t>Pacritinib (SB1518)</t>
  </si>
  <si>
    <t>Pacritinib (SB1518) is a potent and selective inhibitor of Janus Kinase 2 (JAK2) and Fms-Like Tyrosine Kinase-3 (FLT3) with IC50s of 23 and 22 nM, respectively.</t>
  </si>
  <si>
    <t>SK06N15</t>
  </si>
  <si>
    <t>Elacridar (GF120918)</t>
  </si>
  <si>
    <t xml:space="preserve">Elacridar (GF120918) is a potent &lt;b&gt;P-gp&lt;/b&gt; (MDR-1) and BCRP inhibitor.
</t>
  </si>
  <si>
    <t>SK06N16</t>
  </si>
  <si>
    <t>Bardoxolone Methyl</t>
  </si>
  <si>
    <t>Bardoxolone Methyl is an IKK inhibitor, showing potent proapoptotic and anti-inflammatory activities. Phase 3.</t>
  </si>
  <si>
    <t>SK06N17</t>
  </si>
  <si>
    <t>SRT2104 (GSK2245840)</t>
  </si>
  <si>
    <t xml:space="preserve">SRT2104 (GSK2245840) is a selective &lt;b&gt;SIRT1&lt;/b&gt; activator involved in the regulation of energy homeostasis. Phase 2.
</t>
  </si>
  <si>
    <t>SK06N18</t>
  </si>
  <si>
    <t>SK06N19</t>
  </si>
  <si>
    <t>AI-10-49</t>
  </si>
  <si>
    <t xml:space="preserve">AI-10-49 is a selective inhibitor of the binding of CBFβ-SMMHC to RUNX1 with IC50 of 260 nM. </t>
  </si>
  <si>
    <t>SK06N20</t>
  </si>
  <si>
    <t>Tripelennamine HCl</t>
  </si>
  <si>
    <t>Tripelennamine is a widely used H1 antagonist, inhibiting PhIP glucuronidation with IC50 of 30 μM.</t>
  </si>
  <si>
    <t>SK06N21</t>
  </si>
  <si>
    <t>Tenofovir Alafenamide (GS-7340)</t>
  </si>
  <si>
    <t xml:space="preserve">Tenofovir Alafenamide (GS-7340) is a prodrug of tenofovir, which is a &lt;b&gt;reverse transcriptase&lt;/b&gt; inhibitor, used to treat HIV and Hepatitis B.
</t>
  </si>
  <si>
    <t>SK06N22</t>
  </si>
  <si>
    <t>SK06N23</t>
  </si>
  <si>
    <t>SK06N24</t>
  </si>
  <si>
    <t>SK06O01</t>
  </si>
  <si>
    <t>IWP-L6</t>
  </si>
  <si>
    <t>IWP-L6 is a highly potent Porcn inhibitor with EC50 of 0.5 nM.</t>
  </si>
  <si>
    <t>SK06O02</t>
  </si>
  <si>
    <t>LDC000067</t>
  </si>
  <si>
    <t xml:space="preserve">LDC000067 is a highly selective CDK9 inhibitor with IC50 of 44 nM, 55/125/210/ &gt;227/ &gt;227-fold selectivity over CDK2/1/4/6/7.
</t>
  </si>
  <si>
    <t>SK06O03</t>
  </si>
  <si>
    <t>STF-118804</t>
  </si>
  <si>
    <t>STF-118804 is a highly specific NAMPT inhibitor.</t>
  </si>
  <si>
    <t>SK06O04</t>
  </si>
  <si>
    <t>FH535</t>
  </si>
  <si>
    <t xml:space="preserve">FH535 is a Wnt/β-catenin signaling inhibitor and also a dual PPARγ and PPARδ antagonist.
</t>
  </si>
  <si>
    <t>SK06O05</t>
  </si>
  <si>
    <t>ID-8</t>
  </si>
  <si>
    <t>ID-8 is a DYRK inhibitor, and sustains embryonic stem cell self-renewal in long-term culture.</t>
  </si>
  <si>
    <t>SK06O06</t>
  </si>
  <si>
    <t>ESI-09</t>
  </si>
  <si>
    <t xml:space="preserve">ESI-09 is a specific exchange protein directly activated by cAMP (EPAC) inhibitor with IC50 of 3.2 μM and 1.4 μM for EPAC1 and EPAC2, respectively, &gt;100-fold selectivity over PKA.  
</t>
  </si>
  <si>
    <t>SK06O07</t>
  </si>
  <si>
    <t>SH-4-54</t>
  </si>
  <si>
    <t xml:space="preserve">SH-4-54 is a potent STAT inhibitor with KD of 300 nM and 464 nM for STAT3 and STAT5, respectively.
</t>
  </si>
  <si>
    <t>SK06O08</t>
  </si>
  <si>
    <t>VGX-1027</t>
  </si>
  <si>
    <t>VGX-1027 is an orally active immunomodulator. Phase 1.</t>
  </si>
  <si>
    <t>SK06O09</t>
  </si>
  <si>
    <t>HS-173</t>
  </si>
  <si>
    <t>HS-173 is a potent PI3Kα inhibitor with IC50 of 0.8 nM.</t>
  </si>
  <si>
    <t>SK06O10</t>
  </si>
  <si>
    <t>FR 180204</t>
  </si>
  <si>
    <t xml:space="preserve">FR 180204 is an ATP-competitive, selective &lt;b&gt;ERK&lt;/b&gt; inhibitor with &lt;b&gt;K&lt;sub&gt;i&lt;/sub&gt;&lt;/b&gt; of 0.31 μM and 0.14 μM for ERK1 And ERK2, respectively.
</t>
  </si>
  <si>
    <t>SK06O11</t>
  </si>
  <si>
    <t>LY2119620</t>
  </si>
  <si>
    <t xml:space="preserve">LY2119620 is a specific, and allosteric agonist of human &lt;b&gt;M2 and M4 muscarinic acetylcholine receptors&lt;/b&gt;. 
</t>
  </si>
  <si>
    <t>SK06O12</t>
  </si>
  <si>
    <t>PF-06463922</t>
  </si>
  <si>
    <t xml:space="preserve">PF-06463922 is a potent, dual &lt;b&gt;ALK/ROS1&lt;/b&gt; inhibitor with &lt;b&gt;K&lt;sub&gt;i&lt;/sub&gt;&lt;/b&gt; of &lt;0.02 nM, &lt;0.07 nM, and 0.7 nM for ROS1, ALK (WT), and ALK (L1196M), respectively. Phase 1.
</t>
  </si>
  <si>
    <t>SK06O13</t>
  </si>
  <si>
    <t>E-64</t>
  </si>
  <si>
    <t>E-64 is an irreversible and selective cysteine protease inhibitor with IC50 of 9 nM for papain.</t>
  </si>
  <si>
    <t>SK06O14</t>
  </si>
  <si>
    <t>4SC-202</t>
  </si>
  <si>
    <t xml:space="preserve">4SC-202 is a selective class I &lt;b&gt;HDAC&lt;/b&gt; inhibitor with &lt;b&gt;IC50&lt;/b&gt; of 1.20 μM, 1.12 μM, and 0.57 μM for HDAC1, HDAC2, and HDAC3, respectively. Also displays inhibitory activity against &lt;b&gt;Lysine specific demethylase 1 (LSD1)&lt;/b&gt;. Phase 1.
</t>
  </si>
  <si>
    <t>SK06O15</t>
  </si>
  <si>
    <t>Calpeptin</t>
  </si>
  <si>
    <t xml:space="preserve">Calpeptin is a potent, cell-permeable &lt;b&gt;calpain&lt;/b&gt; inhibitor with &lt;b&gt;ID50&lt;/b&gt; of 52 nM, 34 nM, 138 nM, and 40 nM for Calpain I (porcine erythrocytes), Calpain II (porcine kidney), Papainb, and Calpain I (human platelets), respectively. 
</t>
  </si>
  <si>
    <t>SK06O16</t>
  </si>
  <si>
    <t>GSK-LSD1 2HCl</t>
  </si>
  <si>
    <t xml:space="preserve">GSK-LSD1 2HCl is an irreversible, and selective &lt;b&gt;LSD1&lt;/b&gt; inhibitor with &lt;b&gt;IC50&lt;/b&gt; of 16 nM, &gt; 1000 fold selective over other closely related FAD utilizing enzymes (i.e. LSD2, MAO-A, MAO-B).
</t>
  </si>
  <si>
    <t>SK06O17</t>
  </si>
  <si>
    <t>KN-62</t>
  </si>
  <si>
    <t>KN-62 is a potent and specific inhibitor of Ca2+/calmodulin-dependent protein kinase II (CaMKII) with Ki of 0.9 μM.</t>
  </si>
  <si>
    <t>SK06O18</t>
  </si>
  <si>
    <t>N6022</t>
  </si>
  <si>
    <t xml:space="preserve">N6022 is a selective, and reversible inhibitor of S-nitrosoglutathione reductase (GSNOR) with IC50 of 8 nM and Ki of 2.5 nM. Phase 1/2.
</t>
  </si>
  <si>
    <t>SK06O19</t>
  </si>
  <si>
    <t>Sal003</t>
  </si>
  <si>
    <t>Sal003 is a potent and cell-permeable eIF-2α phosphatase inhibitor.</t>
  </si>
  <si>
    <t>SK06O20</t>
  </si>
  <si>
    <t>RBC8</t>
  </si>
  <si>
    <t xml:space="preserve">RBC8 is a selective inhibitor of the &lt;b&gt;GTPases RalA&lt;/b&gt; and &lt;b&gt;RalB&lt;/b&gt; by inhibiting the binding of Ral to its effector RALBP1, no inhibition on the GTPases Ras and RhoA.
</t>
  </si>
  <si>
    <t>SK06O21</t>
  </si>
  <si>
    <t>CRT0044876</t>
  </si>
  <si>
    <t>CRT0044876 is a potent and selective APE1 inhibitor with IC50 of ~3 μM.</t>
  </si>
  <si>
    <t>SK06O22</t>
  </si>
  <si>
    <t>MI-2 (Menin-MLL Inhibitor)</t>
  </si>
  <si>
    <t xml:space="preserve">MI-2 (Menin-MLL Inhibitor) is a potent &lt;b&gt;menin-MLL&lt;/b&gt; interaction inhibitor with &lt;b&gt;IC50&lt;/b&gt; of 446 nM.
</t>
  </si>
  <si>
    <t>SK06O23</t>
  </si>
  <si>
    <t>SK06O24</t>
  </si>
  <si>
    <t>SK06P01</t>
  </si>
  <si>
    <t>Lomitapide Mesylate</t>
  </si>
  <si>
    <t xml:space="preserve">Lomitapide Mesylate is a potent &lt;b&gt;microsomal triglyceride transfer protein (MTP)&lt;/b&gt; inhibitor, used in the treatment of familial hypercholesterolemia.
</t>
  </si>
  <si>
    <t>SK06P02</t>
  </si>
  <si>
    <t>Xanthohumol</t>
  </si>
  <si>
    <t xml:space="preserve">Xanthohumol, a prenylated chalcone from hop, inhibits &lt;b&gt;COX-1&lt;/b&gt; and &lt;/b&gt;COX-2&lt;/b&gt; activity and shows chemopreventive effects. Phase 1.
</t>
  </si>
  <si>
    <t>SK06P03</t>
  </si>
  <si>
    <t>PF-431396</t>
  </si>
  <si>
    <t xml:space="preserve">PF-431396 is a dual &lt;b&gt;PYK2/FAK&lt;/b&gt; inhibitor with &lt;b&gt;IC50&lt;/b&gt; of 11 nM and 2 nM, respectively.
</t>
  </si>
  <si>
    <t>SK06P04</t>
  </si>
  <si>
    <t>GSK2636771</t>
  </si>
  <si>
    <t>GSK2636771 is a potent, orally bioavailable, PI3Kβ-selective inhibitor, sensitive to PTEN null cell lines. Phase 1/2a.</t>
  </si>
  <si>
    <t>SK06P05</t>
  </si>
  <si>
    <t>Obeticholic Acid</t>
  </si>
  <si>
    <t xml:space="preserve">Obeticholic Acid is a potent and selective &lt;b&gt;farnesoid X receptor (FXR)&lt;/b&gt; agonist with &lt;b&gt;EC50&lt;/b&gt; of 99 nM. Phase 3.
</t>
  </si>
  <si>
    <t>SK06P06</t>
  </si>
  <si>
    <t>GW9508</t>
  </si>
  <si>
    <t>GW9508 is a potent and selective agonist for FFA1 (GPR40) with pEC50 of 7.32, 100-fold selective against GPR120, stimulates insulin secretion in a glucose-sensitive manner.</t>
  </si>
  <si>
    <t>SK06P07</t>
  </si>
  <si>
    <t>YK-4-279</t>
  </si>
  <si>
    <t xml:space="preserve">YK-4-279 is a potent inhibitor of &lt;b&gt;EWS-FLI1&lt;/b&gt; binding to &lt;b&gt;RNA helicase A (RHA)&lt;/b&gt;.
</t>
  </si>
  <si>
    <t>SK06P08</t>
  </si>
  <si>
    <t>Tyrphostin AG 1296</t>
  </si>
  <si>
    <t>Tyrphostin AG 1296 is an inhibitor of PDGFR with IC50 of 0.3-0.5 μM, no activity to EGFR.</t>
  </si>
  <si>
    <t>SK06P09</t>
  </si>
  <si>
    <t>Liproxstatin-1</t>
  </si>
  <si>
    <t xml:space="preserve">Liproxstatin-1 is a potent &lt;b&gt;ferroptosis&lt;/b&gt; inhibitor. 
</t>
  </si>
  <si>
    <t>SK06P10</t>
  </si>
  <si>
    <t>Necrostatin-1</t>
  </si>
  <si>
    <t>Necrostatin-1 is a specific RIP1 inhibitor and inhibits TNF-α-induced necroptosis with EC50 of 490 nM.</t>
  </si>
  <si>
    <t>SK06P11</t>
  </si>
  <si>
    <t>BLZ945</t>
  </si>
  <si>
    <t xml:space="preserve">BLZ945 is an orally active, potent and selective &lt;b&gt;CSF-1R&lt;/b&gt; inhibitor with &lt;b&gt;IC50&lt;/b&gt; of 1 nM, &gt;1000-fold selective against its closest receptor tyrosine kinase homologs.
</t>
  </si>
  <si>
    <t>SK06P12</t>
  </si>
  <si>
    <t>Dynasore</t>
  </si>
  <si>
    <t>Dynasore is a cell-permeable, reversible non-competitive dynamin inhibitor of GTPase activity of dynamin 1/2, with IC50 of 15 μM, also inhibits the mitochondrial dynamin Drp1, with no effect against other small GTPase.</t>
  </si>
  <si>
    <t>SK06P13</t>
  </si>
  <si>
    <t>EPZ015666</t>
  </si>
  <si>
    <t xml:space="preserve">EPZ015666 is a potent, selective and orally bioavailable &lt;b&gt;PRMT5&lt;/b&gt; inhibitor with &lt;b&gt;K&lt;sub&gt;i&lt;/sub&gt;&lt;/b&gt; of 5 nM, &gt;20,000-fold selectivity over other PMTs. 
</t>
  </si>
  <si>
    <t>SK06P14</t>
  </si>
  <si>
    <t>P276-00</t>
  </si>
  <si>
    <t>p276-00 is a novel CDK1, CDK4 and CDK9 inhibitor with IC50 of 79 nM, 63 nM and 20 nM, respectively.</t>
  </si>
  <si>
    <t>SK06P15</t>
  </si>
  <si>
    <t>SU6656</t>
  </si>
  <si>
    <t xml:space="preserve">SU 6656 is a selective &lt;b&gt;Src&lt;/b&gt; family kinase inhibitor with &lt;b&gt;IC50&lt;/b&gt; of 280 nM, 20 nM, 130 nM, and 170 nM for Src, Yes, Lyn, and Fyn, respectively.
</t>
  </si>
  <si>
    <t>SK06P16</t>
  </si>
  <si>
    <t>SK06P17</t>
  </si>
  <si>
    <t>Purvalanol A</t>
  </si>
  <si>
    <t xml:space="preserve">Purvalanol A is a potent, and cell-permeable &lt;b&gt;CDK&lt;/b&gt; inhibitor with &lt;b&gt;IC50&lt;/b&gt; of 4 nM, 70 nM, 35 nM, and 850 nM for cdc2-cyclin B, cdk2-cyclin A, cdk2-cyclin E, and cdk4-cyclin D1, respectively.
</t>
  </si>
  <si>
    <t>SK06P18</t>
  </si>
  <si>
    <t>SK06P19</t>
  </si>
  <si>
    <t>Pexidartinib (PLX3397)</t>
  </si>
  <si>
    <t>Pexidartinib (PLX3397) is an oral, potent mutil-targeted receptor tyrosine kinase inhibitor of &lt;b&gt;CSF-1R&lt;/b&gt;, Kit, and Flt3 with &lt;b&gt;IC50&lt;/b&gt; of 20 nM, 10 nM and 160 nM, respectively. Phase 3.</t>
  </si>
  <si>
    <t>SK06P20</t>
  </si>
  <si>
    <t>Flavoxate HCl</t>
  </si>
  <si>
    <t>Flavoxate is a muscarinic AChR antagonist with IC50 of 12.2 μM.</t>
  </si>
  <si>
    <t>SK06P21</t>
  </si>
  <si>
    <t>8-Bromo-cAMP</t>
  </si>
  <si>
    <t xml:space="preserve">8-Bromo-cAMP is a cell perbeable cyclic AMP (cAMP) analog and a &lt;b&gt;PKA&lt;/b&gt; activator. 
</t>
  </si>
  <si>
    <t>SK06P22</t>
  </si>
  <si>
    <t>SK06P23</t>
  </si>
  <si>
    <t>SK06P24</t>
  </si>
  <si>
    <t>raw screening data</t>
  </si>
  <si>
    <t>normalized viability values</t>
  </si>
  <si>
    <t>HOS shRB1#1_mean</t>
    <phoneticPr fontId="3" type="noConversion"/>
  </si>
  <si>
    <t>RB1-selective sensitivity metrics</t>
  </si>
  <si>
    <t>HOS shNC_mean</t>
    <phoneticPr fontId="2" type="noConversion"/>
  </si>
  <si>
    <t>(HOS shRB1#1_mean)/(HOS shNC_mean)</t>
    <phoneticPr fontId="3" type="noConversion"/>
  </si>
  <si>
    <t>(MG63 shRB1#1_mean)/(MG63 shNC_mean)</t>
    <phoneticPr fontId="2" type="noConversion"/>
  </si>
  <si>
    <t>log2[HOS shRB1#1_mean)/(HOS shNC_mean)]</t>
    <phoneticPr fontId="2" type="noConversion"/>
  </si>
  <si>
    <t>log2[(MG63 shRB1#1_mean)/(MG63 shNC_mean)]</t>
    <phoneticPr fontId="2" type="noConversion"/>
  </si>
  <si>
    <t>RB1-selective sensitivity metrics</t>
    <phoneticPr fontId="2" type="noConversion"/>
  </si>
  <si>
    <t>HOS</t>
    <phoneticPr fontId="2" type="noConversion"/>
  </si>
  <si>
    <t>MG63</t>
    <phoneticPr fontId="2" type="noConversion"/>
  </si>
  <si>
    <t>Compound screen analysis, related to Figure 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</si>
</sst>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_);[Red]\(0.000\)"/>
    <numFmt numFmtId="177" formatCode="0.00_ ;[Red]\-0.00\ "/>
  </numFmts>
  <fonts count="15">
    <font>
      <sz val="11"/>
      <color theme="1"/>
      <name val="等线"/>
      <family val="2"/>
      <charset val="134"/>
      <scheme val="minor"/>
    </font>
    <font>
      <sz val="11"/>
      <color theme="1"/>
      <name val="等线"/>
      <family val="2"/>
      <charset val="134"/>
      <scheme val="minor"/>
    </font>
    <font>
      <sz val="9"/>
      <name val="等线"/>
      <family val="2"/>
      <charset val="134"/>
      <scheme val="minor"/>
    </font>
    <font>
      <sz val="9"/>
      <name val="等线"/>
      <family val="3"/>
      <charset val="134"/>
      <scheme val="minor"/>
    </font>
    <font>
      <sz val="11"/>
      <color theme="1"/>
      <name val="等线"/>
      <family val="3"/>
      <charset val="134"/>
      <scheme val="minor"/>
    </font>
    <font>
      <sz val="10"/>
      <name val="Arial"/>
      <family val="2"/>
    </font>
    <font>
      <sz val="10"/>
      <name val="宋体"/>
      <family val="3"/>
      <charset val="134"/>
    </font>
    <font>
      <sz val="11"/>
      <name val="Arial Narrow"/>
      <family val="2"/>
    </font>
    <font>
      <b/>
      <sz val="11"/>
      <name val="Arial Narrow"/>
      <family val="2"/>
    </font>
    <font>
      <sz val="11"/>
      <name val="宋体"/>
      <family val="3"/>
      <charset val="134"/>
    </font>
    <font>
      <sz val="11"/>
      <color theme="1"/>
      <name val="Aptos Narrow"/>
      <family val="2"/>
    </font>
    <font>
      <sz val="11"/>
      <name val="Arial Unicode MS"/>
      <family val="2"/>
      <charset val="134"/>
    </font>
    <font>
      <sz val="11"/>
      <color theme="1"/>
      <name val="Arial Narrow"/>
      <family val="2"/>
    </font>
    <font>
      <b/>
      <sz val="12"/>
      <color rgb="FF000000"/>
      <name val="Arial Narrow"/>
      <family val="2"/>
    </font>
    <font>
      <b/>
      <sz val="11"/>
      <color theme="1"/>
      <name val="Arial"/>
      <family val="2"/>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alignment vertical="center"/>
    </xf>
    <xf numFmtId="0" fontId="4" fillId="0" borderId="0">
      <alignment vertical="center"/>
    </xf>
    <xf numFmtId="0" fontId="5" fillId="0" borderId="0"/>
    <xf numFmtId="0" fontId="1" fillId="0" borderId="0">
      <alignment vertical="center"/>
    </xf>
    <xf numFmtId="0" fontId="6" fillId="0" borderId="0"/>
    <xf numFmtId="0" fontId="1" fillId="0" borderId="0"/>
    <xf numFmtId="0" fontId="1" fillId="0" borderId="0">
      <alignment vertical="center"/>
    </xf>
  </cellStyleXfs>
  <cellXfs count="32">
    <xf numFmtId="0" fontId="0" fillId="0" borderId="0" xfId="0">
      <alignment vertical="center"/>
    </xf>
    <xf numFmtId="0" fontId="12" fillId="0" borderId="0" xfId="5" applyFont="1" applyAlignment="1">
      <alignment horizontal="left"/>
    </xf>
    <xf numFmtId="177" fontId="0" fillId="0" borderId="0" xfId="0" applyNumberFormat="1">
      <alignment vertical="center"/>
    </xf>
    <xf numFmtId="0" fontId="8" fillId="0" borderId="1" xfId="6" applyFont="1" applyBorder="1" applyAlignment="1">
      <alignment horizontal="center" vertical="center" wrapText="1"/>
    </xf>
    <xf numFmtId="49" fontId="8" fillId="0" borderId="1" xfId="6" applyNumberFormat="1" applyFont="1" applyBorder="1" applyAlignment="1">
      <alignment horizontal="center" vertical="center" wrapText="1"/>
    </xf>
    <xf numFmtId="176" fontId="8" fillId="0" borderId="1" xfId="6" applyNumberFormat="1" applyFont="1" applyBorder="1" applyAlignment="1">
      <alignment horizontal="center" vertical="center" wrapText="1"/>
    </xf>
    <xf numFmtId="0" fontId="7" fillId="0" borderId="1" xfId="6" applyFont="1" applyBorder="1" applyAlignment="1">
      <alignment horizontal="center" vertical="center"/>
    </xf>
    <xf numFmtId="176" fontId="7" fillId="0" borderId="1" xfId="6" applyNumberFormat="1" applyFont="1" applyBorder="1" applyAlignment="1">
      <alignment horizontal="center" vertical="center"/>
    </xf>
    <xf numFmtId="176" fontId="12" fillId="0" borderId="1" xfId="5" applyNumberFormat="1" applyFont="1" applyBorder="1" applyAlignment="1">
      <alignment horizontal="center"/>
    </xf>
    <xf numFmtId="0" fontId="7" fillId="0" borderId="1" xfId="2" applyFont="1" applyBorder="1" applyAlignment="1">
      <alignment horizontal="center"/>
    </xf>
    <xf numFmtId="176" fontId="7" fillId="0" borderId="1" xfId="2" applyNumberFormat="1" applyFont="1" applyBorder="1" applyAlignment="1">
      <alignment horizontal="center"/>
    </xf>
    <xf numFmtId="0" fontId="7" fillId="0" borderId="1" xfId="5" applyFont="1" applyBorder="1" applyAlignment="1">
      <alignment horizontal="center"/>
    </xf>
    <xf numFmtId="176" fontId="7" fillId="0" borderId="1" xfId="5" applyNumberFormat="1" applyFont="1" applyBorder="1" applyAlignment="1">
      <alignment horizontal="center"/>
    </xf>
    <xf numFmtId="0" fontId="7" fillId="0" borderId="1" xfId="6" applyFont="1" applyBorder="1" applyAlignment="1">
      <alignment horizontal="center"/>
    </xf>
    <xf numFmtId="176" fontId="7" fillId="0" borderId="1" xfId="6" applyNumberFormat="1" applyFont="1" applyBorder="1" applyAlignment="1">
      <alignment horizontal="center"/>
    </xf>
    <xf numFmtId="0" fontId="7" fillId="0" borderId="1" xfId="5" applyFont="1" applyBorder="1" applyAlignment="1">
      <alignment horizontal="center" vertical="center"/>
    </xf>
    <xf numFmtId="176" fontId="7" fillId="0" borderId="1" xfId="5" applyNumberFormat="1" applyFont="1" applyBorder="1" applyAlignment="1">
      <alignment horizontal="center" vertical="center"/>
    </xf>
    <xf numFmtId="0" fontId="7" fillId="0" borderId="1" xfId="5" applyFont="1" applyBorder="1" applyAlignment="1">
      <alignment horizontal="center" vertical="top"/>
    </xf>
    <xf numFmtId="176" fontId="7" fillId="0" borderId="1" xfId="5" applyNumberFormat="1" applyFont="1" applyBorder="1" applyAlignment="1">
      <alignment horizontal="center" vertical="top"/>
    </xf>
    <xf numFmtId="0" fontId="7" fillId="0" borderId="1" xfId="4" applyFont="1" applyBorder="1" applyAlignment="1">
      <alignment horizontal="center" vertical="center"/>
    </xf>
    <xf numFmtId="176" fontId="7" fillId="0" borderId="1" xfId="4" applyNumberFormat="1" applyFont="1" applyBorder="1" applyAlignment="1">
      <alignment horizontal="center" vertical="center"/>
    </xf>
    <xf numFmtId="177" fontId="8" fillId="0" borderId="1" xfId="6" applyNumberFormat="1" applyFont="1" applyBorder="1" applyAlignment="1">
      <alignment horizontal="center" vertical="center" wrapText="1"/>
    </xf>
    <xf numFmtId="177" fontId="12" fillId="0" borderId="1" xfId="5" applyNumberFormat="1" applyFont="1" applyBorder="1" applyAlignment="1">
      <alignment horizontal="center"/>
    </xf>
    <xf numFmtId="49" fontId="8" fillId="0" borderId="1" xfId="6" applyNumberFormat="1" applyFont="1" applyBorder="1">
      <alignment vertical="center"/>
    </xf>
    <xf numFmtId="176" fontId="8" fillId="0" borderId="2" xfId="6" applyNumberFormat="1" applyFont="1" applyBorder="1" applyAlignment="1">
      <alignment horizontal="center" vertical="center" wrapText="1"/>
    </xf>
    <xf numFmtId="176" fontId="12" fillId="0" borderId="2" xfId="5" applyNumberFormat="1" applyFont="1" applyBorder="1" applyAlignment="1">
      <alignment horizontal="center"/>
    </xf>
    <xf numFmtId="0" fontId="0" fillId="0" borderId="0" xfId="0" applyAlignment="1">
      <alignment horizontal="center" vertical="center"/>
    </xf>
    <xf numFmtId="0" fontId="8" fillId="0" borderId="1" xfId="6" applyFont="1" applyBorder="1" applyAlignment="1">
      <alignment horizontal="center" vertical="center" wrapText="1"/>
    </xf>
    <xf numFmtId="0" fontId="8" fillId="0" borderId="1" xfId="5" applyFont="1" applyBorder="1" applyAlignment="1">
      <alignment horizontal="center" vertical="center" wrapText="1"/>
    </xf>
    <xf numFmtId="49" fontId="8" fillId="0" borderId="1" xfId="6" applyNumberFormat="1" applyFont="1" applyBorder="1" applyAlignment="1">
      <alignment horizontal="center" vertical="center"/>
    </xf>
    <xf numFmtId="0" fontId="13" fillId="0" borderId="0" xfId="5" applyFont="1" applyAlignment="1">
      <alignment horizontal="left" vertical="center" wrapText="1"/>
    </xf>
    <xf numFmtId="0" fontId="14" fillId="0" borderId="1" xfId="0" applyFont="1" applyBorder="1" applyAlignment="1">
      <alignment horizontal="center" vertical="center"/>
    </xf>
  </cellXfs>
  <cellStyles count="7">
    <cellStyle name="常规" xfId="0" builtinId="0"/>
    <cellStyle name="常规 10" xfId="2" xr:uid="{553B8702-4A3E-4B0A-AE05-4DDFAC26A7A5}"/>
    <cellStyle name="常规 11 2 2 2 2" xfId="3" xr:uid="{A4A56A89-84EB-4D8A-A065-E4F1DBA0E7B3}"/>
    <cellStyle name="常规 16" xfId="1" xr:uid="{A1B7B711-AD17-48CB-81C8-5F50434751C5}"/>
    <cellStyle name="常规 16 2" xfId="6" xr:uid="{BFDE3778-8417-4068-800F-B0780B85D8B8}"/>
    <cellStyle name="常规 17" xfId="4" xr:uid="{5C83F0A8-EE01-4080-A317-5CC5C8F0AAAA}"/>
    <cellStyle name="常规 2" xfId="5" xr:uid="{3E7C8436-A1D4-4FB6-BB1D-2F61869A30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06E37-6434-4F54-BD60-81D83996D105}">
  <dimension ref="A1:U2308"/>
  <sheetViews>
    <sheetView tabSelected="1" zoomScale="70" zoomScaleNormal="70" workbookViewId="0">
      <selection sqref="A1:T1"/>
    </sheetView>
  </sheetViews>
  <sheetFormatPr defaultRowHeight="14"/>
  <cols>
    <col min="2" max="2" width="42.1640625" bestFit="1" customWidth="1"/>
    <col min="7" max="8" width="12.6640625" customWidth="1"/>
    <col min="9" max="9" width="16.4140625" customWidth="1"/>
    <col min="10" max="10" width="16.4140625" style="2" customWidth="1"/>
    <col min="16" max="17" width="12.6640625" customWidth="1"/>
    <col min="18" max="18" width="16.4140625" customWidth="1"/>
    <col min="19" max="19" width="16.4140625" style="2" customWidth="1"/>
    <col min="21" max="21" width="27.5" customWidth="1"/>
  </cols>
  <sheetData>
    <row r="1" spans="1:21">
      <c r="A1" s="26" t="s">
        <v>6524</v>
      </c>
      <c r="B1" s="26"/>
      <c r="C1" s="26"/>
      <c r="D1" s="26"/>
      <c r="E1" s="26"/>
      <c r="F1" s="26"/>
      <c r="G1" s="26"/>
      <c r="H1" s="26"/>
      <c r="I1" s="26"/>
      <c r="J1" s="26"/>
      <c r="K1" s="26"/>
      <c r="L1" s="26"/>
      <c r="M1" s="26"/>
      <c r="N1" s="26"/>
      <c r="O1" s="26"/>
      <c r="P1" s="26"/>
      <c r="Q1" s="26"/>
      <c r="R1" s="26"/>
      <c r="S1" s="26"/>
      <c r="T1" s="26"/>
    </row>
    <row r="2" spans="1:21" ht="28" customHeight="1">
      <c r="A2" s="28" t="s">
        <v>0</v>
      </c>
      <c r="B2" s="27" t="s">
        <v>1</v>
      </c>
      <c r="C2" s="29" t="s">
        <v>6522</v>
      </c>
      <c r="D2" s="29"/>
      <c r="E2" s="29"/>
      <c r="F2" s="29"/>
      <c r="G2" s="29"/>
      <c r="H2" s="29"/>
      <c r="I2" s="29"/>
      <c r="J2" s="29"/>
      <c r="K2" s="23"/>
      <c r="L2" s="29" t="s">
        <v>6523</v>
      </c>
      <c r="M2" s="29"/>
      <c r="N2" s="29"/>
      <c r="O2" s="29"/>
      <c r="P2" s="29"/>
      <c r="Q2" s="29"/>
      <c r="R2" s="29"/>
      <c r="S2" s="29"/>
      <c r="T2" s="23"/>
      <c r="U2" s="30" t="s">
        <v>2</v>
      </c>
    </row>
    <row r="3" spans="1:21" ht="25.5" customHeight="1">
      <c r="A3" s="28"/>
      <c r="B3" s="27"/>
      <c r="C3" s="31" t="s">
        <v>6512</v>
      </c>
      <c r="D3" s="31"/>
      <c r="E3" s="31"/>
      <c r="F3" s="31"/>
      <c r="G3" s="31" t="s">
        <v>6513</v>
      </c>
      <c r="H3" s="31"/>
      <c r="I3" s="31" t="s">
        <v>6521</v>
      </c>
      <c r="J3" s="31"/>
      <c r="K3" s="23"/>
      <c r="L3" s="31" t="s">
        <v>6512</v>
      </c>
      <c r="M3" s="31"/>
      <c r="N3" s="31"/>
      <c r="O3" s="31"/>
      <c r="P3" s="31" t="s">
        <v>6513</v>
      </c>
      <c r="Q3" s="31"/>
      <c r="R3" s="31" t="s">
        <v>6515</v>
      </c>
      <c r="S3" s="31"/>
      <c r="T3" s="23"/>
      <c r="U3" s="30"/>
    </row>
    <row r="4" spans="1:21" ht="78" customHeight="1">
      <c r="A4" s="28"/>
      <c r="B4" s="27"/>
      <c r="C4" s="4" t="s">
        <v>3</v>
      </c>
      <c r="D4" s="4" t="s">
        <v>4</v>
      </c>
      <c r="E4" s="4" t="s">
        <v>5</v>
      </c>
      <c r="F4" s="4" t="s">
        <v>6</v>
      </c>
      <c r="G4" s="5" t="s">
        <v>6516</v>
      </c>
      <c r="H4" s="3" t="s">
        <v>6514</v>
      </c>
      <c r="I4" s="3" t="s">
        <v>6517</v>
      </c>
      <c r="J4" s="21" t="s">
        <v>6519</v>
      </c>
      <c r="K4" s="4"/>
      <c r="L4" s="5" t="s">
        <v>7</v>
      </c>
      <c r="M4" s="5" t="s">
        <v>8</v>
      </c>
      <c r="N4" s="5" t="s">
        <v>10</v>
      </c>
      <c r="O4" s="5" t="s">
        <v>11</v>
      </c>
      <c r="P4" s="5" t="s">
        <v>9</v>
      </c>
      <c r="Q4" s="5" t="s">
        <v>12</v>
      </c>
      <c r="R4" s="5" t="s">
        <v>6518</v>
      </c>
      <c r="S4" s="21" t="s">
        <v>6520</v>
      </c>
      <c r="T4" s="24"/>
      <c r="U4" s="30"/>
    </row>
    <row r="5" spans="1:21" ht="14.5">
      <c r="A5" s="6" t="s">
        <v>13</v>
      </c>
      <c r="B5" s="6" t="s">
        <v>14</v>
      </c>
      <c r="C5" s="7">
        <v>0.72724689786800745</v>
      </c>
      <c r="D5" s="7">
        <v>0.78525266626051027</v>
      </c>
      <c r="E5" s="7">
        <v>0.71898566353667193</v>
      </c>
      <c r="F5" s="8">
        <v>0.6991916411732545</v>
      </c>
      <c r="G5" s="8">
        <f>AVERAGE(C5:D5)</f>
        <v>0.75624978206425886</v>
      </c>
      <c r="H5" s="8">
        <f>AVERAGE(E5:F5)</f>
        <v>0.70908865235496321</v>
      </c>
      <c r="I5" s="8">
        <f>H5/G5</f>
        <v>0.93763815761960989</v>
      </c>
      <c r="J5" s="22">
        <f>LOG(I5,2)</f>
        <v>-9.2896812788859598E-2</v>
      </c>
      <c r="K5" s="8"/>
      <c r="L5" s="8">
        <v>1.2975679841799046</v>
      </c>
      <c r="M5" s="8">
        <v>1.1507580567355724</v>
      </c>
      <c r="N5" s="8">
        <v>1.4501394663634286</v>
      </c>
      <c r="O5" s="8">
        <v>0.63823016958233347</v>
      </c>
      <c r="P5" s="8">
        <f>AVERAGE(L5:M5)</f>
        <v>1.2241630204577385</v>
      </c>
      <c r="Q5" s="8">
        <f>AVERAGE(N5:O5)</f>
        <v>1.044184817972881</v>
      </c>
      <c r="R5" s="8">
        <f>Q5/P5</f>
        <v>0.852978566190016</v>
      </c>
      <c r="S5" s="22">
        <f>LOG(R5,2)</f>
        <v>-0.22941860520766635</v>
      </c>
      <c r="T5" s="25"/>
      <c r="U5" s="1" t="s">
        <v>15</v>
      </c>
    </row>
    <row r="6" spans="1:21">
      <c r="A6" s="6" t="s">
        <v>16</v>
      </c>
      <c r="B6" s="6" t="s">
        <v>17</v>
      </c>
      <c r="C6" s="7">
        <v>1.1507175204723146</v>
      </c>
      <c r="D6" s="7">
        <v>1.1040612205428699</v>
      </c>
      <c r="E6" s="7">
        <v>1.1729483928949234</v>
      </c>
      <c r="F6" s="8">
        <v>0.99252937385050277</v>
      </c>
      <c r="G6" s="8">
        <f t="shared" ref="G6:G69" si="0">AVERAGE(C6:D6)</f>
        <v>1.1273893705075921</v>
      </c>
      <c r="H6" s="8">
        <f t="shared" ref="H6:H69" si="1">AVERAGE(E6:F6)</f>
        <v>1.0827388833727132</v>
      </c>
      <c r="I6" s="8">
        <f t="shared" ref="I6:I69" si="2">H6/G6</f>
        <v>0.96039479499902003</v>
      </c>
      <c r="J6" s="22">
        <f t="shared" ref="J6:J69" si="3">LOG(I6,2)</f>
        <v>-5.8300510196011589E-2</v>
      </c>
      <c r="K6" s="8"/>
      <c r="L6" s="8">
        <v>1.3786354607978435</v>
      </c>
      <c r="M6" s="8">
        <v>1.1432910953957187</v>
      </c>
      <c r="N6" s="8">
        <v>1.2455766416553724</v>
      </c>
      <c r="O6" s="8">
        <v>1.0718345557143401</v>
      </c>
      <c r="P6" s="8">
        <f t="shared" ref="P6:P69" si="4">AVERAGE(L6:M6)</f>
        <v>1.260963278096781</v>
      </c>
      <c r="Q6" s="8">
        <f t="shared" ref="Q6:Q69" si="5">AVERAGE(N6:O6)</f>
        <v>1.1587055986848562</v>
      </c>
      <c r="R6" s="8">
        <f t="shared" ref="R6:R69" si="6">Q6/P6</f>
        <v>0.91890510914301482</v>
      </c>
      <c r="S6" s="22">
        <f t="shared" ref="S6:S69" si="7">LOG(R6,2)</f>
        <v>-0.12201220577455341</v>
      </c>
      <c r="T6" s="25"/>
      <c r="U6" s="1" t="s">
        <v>18</v>
      </c>
    </row>
    <row r="7" spans="1:21">
      <c r="A7" s="6" t="s">
        <v>19</v>
      </c>
      <c r="B7" s="6" t="s">
        <v>20</v>
      </c>
      <c r="C7" s="7">
        <v>1.1185170481988602</v>
      </c>
      <c r="D7" s="7">
        <v>1.1724290554865249</v>
      </c>
      <c r="E7" s="7">
        <v>1.1430817138624982</v>
      </c>
      <c r="F7" s="8">
        <v>1.2219557546363293</v>
      </c>
      <c r="G7" s="8">
        <f t="shared" si="0"/>
        <v>1.1454730518426925</v>
      </c>
      <c r="H7" s="8">
        <f t="shared" si="1"/>
        <v>1.1825187342494137</v>
      </c>
      <c r="I7" s="8">
        <f t="shared" si="2"/>
        <v>1.0323409462554589</v>
      </c>
      <c r="J7" s="22">
        <f t="shared" si="3"/>
        <v>4.5919521378762436E-2</v>
      </c>
      <c r="K7" s="8"/>
      <c r="L7" s="8">
        <v>1.319511550139941</v>
      </c>
      <c r="M7" s="8">
        <v>1.4466777807706588</v>
      </c>
      <c r="N7" s="8">
        <v>1.3543425053420735</v>
      </c>
      <c r="O7" s="8">
        <v>0.69070628096792563</v>
      </c>
      <c r="P7" s="8">
        <f t="shared" si="4"/>
        <v>1.3830946654553</v>
      </c>
      <c r="Q7" s="8">
        <f t="shared" si="5"/>
        <v>1.0225243931549994</v>
      </c>
      <c r="R7" s="8">
        <f t="shared" si="6"/>
        <v>0.7393018125902433</v>
      </c>
      <c r="S7" s="22">
        <f t="shared" si="7"/>
        <v>-0.43576464440434071</v>
      </c>
      <c r="T7" s="25"/>
      <c r="U7" s="1" t="s">
        <v>21</v>
      </c>
    </row>
    <row r="8" spans="1:21">
      <c r="A8" s="6" t="s">
        <v>22</v>
      </c>
      <c r="B8" s="6" t="s">
        <v>23</v>
      </c>
      <c r="C8" s="7">
        <v>1.3634050142394953</v>
      </c>
      <c r="D8" s="7">
        <v>1.25403999083517</v>
      </c>
      <c r="E8" s="7">
        <v>1.2139982141666801</v>
      </c>
      <c r="F8" s="8">
        <v>1.1283946024558553</v>
      </c>
      <c r="G8" s="8">
        <f t="shared" si="0"/>
        <v>1.3087225025373326</v>
      </c>
      <c r="H8" s="8">
        <f t="shared" si="1"/>
        <v>1.1711964083112676</v>
      </c>
      <c r="I8" s="8">
        <f t="shared" si="2"/>
        <v>0.89491577170910463</v>
      </c>
      <c r="J8" s="22">
        <f t="shared" si="3"/>
        <v>-0.16017619067342725</v>
      </c>
      <c r="K8" s="8"/>
      <c r="L8" s="8">
        <v>1.1465024855826205</v>
      </c>
      <c r="M8" s="8">
        <v>1.190630894629175</v>
      </c>
      <c r="N8" s="8">
        <v>1.3203639803588672</v>
      </c>
      <c r="O8" s="8">
        <v>1.2545472377069471</v>
      </c>
      <c r="P8" s="8">
        <f t="shared" si="4"/>
        <v>1.1685666901058978</v>
      </c>
      <c r="Q8" s="8">
        <f t="shared" si="5"/>
        <v>1.2874556090329072</v>
      </c>
      <c r="R8" s="8">
        <f t="shared" si="6"/>
        <v>1.1017390962224292</v>
      </c>
      <c r="S8" s="22">
        <f t="shared" si="7"/>
        <v>0.13978261850899895</v>
      </c>
      <c r="T8" s="25"/>
      <c r="U8" s="1" t="s">
        <v>24</v>
      </c>
    </row>
    <row r="9" spans="1:21" ht="14.5">
      <c r="A9" s="6" t="s">
        <v>25</v>
      </c>
      <c r="B9" s="6" t="s">
        <v>26</v>
      </c>
      <c r="C9" s="7">
        <v>0.77844424556653524</v>
      </c>
      <c r="D9" s="7">
        <v>0.92204757466851839</v>
      </c>
      <c r="E9" s="7">
        <v>1.0062130031746099</v>
      </c>
      <c r="F9" s="8">
        <v>0.99886970720114343</v>
      </c>
      <c r="G9" s="8">
        <f t="shared" si="0"/>
        <v>0.85024591011752682</v>
      </c>
      <c r="H9" s="8">
        <f t="shared" si="1"/>
        <v>1.0025413551878768</v>
      </c>
      <c r="I9" s="8">
        <f t="shared" si="2"/>
        <v>1.1791192915580138</v>
      </c>
      <c r="J9" s="22">
        <f t="shared" si="3"/>
        <v>0.23770968323126526</v>
      </c>
      <c r="K9" s="8"/>
      <c r="L9" s="8">
        <v>1.3277810838993613</v>
      </c>
      <c r="M9" s="8">
        <v>1.3314364513235581</v>
      </c>
      <c r="N9" s="8">
        <v>1.3397741046813347</v>
      </c>
      <c r="O9" s="8">
        <v>1.4524748869060278</v>
      </c>
      <c r="P9" s="8">
        <f t="shared" si="4"/>
        <v>1.3296087676114596</v>
      </c>
      <c r="Q9" s="8">
        <f t="shared" si="5"/>
        <v>1.3961244957936811</v>
      </c>
      <c r="R9" s="8">
        <f t="shared" si="6"/>
        <v>1.0500265414928873</v>
      </c>
      <c r="S9" s="22">
        <f t="shared" si="7"/>
        <v>7.0425795316367862E-2</v>
      </c>
      <c r="T9" s="25"/>
      <c r="U9" s="1" t="s">
        <v>27</v>
      </c>
    </row>
    <row r="10" spans="1:21">
      <c r="A10" s="6" t="s">
        <v>28</v>
      </c>
      <c r="B10" s="6" t="s">
        <v>29</v>
      </c>
      <c r="C10" s="7">
        <v>1.1274575403968021</v>
      </c>
      <c r="D10" s="7">
        <v>1.2370911918576106</v>
      </c>
      <c r="E10" s="7">
        <v>1.1818180141522943</v>
      </c>
      <c r="F10" s="8">
        <v>1.1179505361769122</v>
      </c>
      <c r="G10" s="8">
        <f t="shared" si="0"/>
        <v>1.1822743661272064</v>
      </c>
      <c r="H10" s="8">
        <f t="shared" si="1"/>
        <v>1.1498842751646032</v>
      </c>
      <c r="I10" s="8">
        <f t="shared" si="2"/>
        <v>0.97260357503249961</v>
      </c>
      <c r="J10" s="22">
        <f t="shared" si="3"/>
        <v>-4.00762003370944E-2</v>
      </c>
      <c r="K10" s="8"/>
      <c r="L10" s="8">
        <v>1.1642787274434214</v>
      </c>
      <c r="M10" s="8">
        <v>1.5288511385698365</v>
      </c>
      <c r="N10" s="8">
        <v>0.98948404369034182</v>
      </c>
      <c r="O10" s="8">
        <v>1.082214445878523</v>
      </c>
      <c r="P10" s="8">
        <f t="shared" si="4"/>
        <v>1.3465649330066289</v>
      </c>
      <c r="Q10" s="8">
        <f t="shared" si="5"/>
        <v>1.0358492447844325</v>
      </c>
      <c r="R10" s="8">
        <f t="shared" si="6"/>
        <v>0.76925309681990151</v>
      </c>
      <c r="S10" s="22">
        <f t="shared" si="7"/>
        <v>-0.37846974838870301</v>
      </c>
      <c r="T10" s="25"/>
      <c r="U10" s="1" t="s">
        <v>30</v>
      </c>
    </row>
    <row r="11" spans="1:21">
      <c r="A11" s="6" t="s">
        <v>31</v>
      </c>
      <c r="B11" s="6" t="s">
        <v>32</v>
      </c>
      <c r="C11" s="7">
        <v>1.1806661647407564</v>
      </c>
      <c r="D11" s="7">
        <v>1.1641093343573461</v>
      </c>
      <c r="E11" s="7">
        <v>1.1353857154939353</v>
      </c>
      <c r="F11" s="8">
        <v>1.223209306495457</v>
      </c>
      <c r="G11" s="8">
        <f t="shared" si="0"/>
        <v>1.1723877495490513</v>
      </c>
      <c r="H11" s="8">
        <f t="shared" si="1"/>
        <v>1.1792975109946962</v>
      </c>
      <c r="I11" s="8">
        <f t="shared" si="2"/>
        <v>1.0058937509781236</v>
      </c>
      <c r="J11" s="22">
        <f t="shared" si="3"/>
        <v>8.4779263838476535E-3</v>
      </c>
      <c r="K11" s="8"/>
      <c r="L11" s="8">
        <v>0.97127953009758095</v>
      </c>
      <c r="M11" s="8">
        <v>1.5541946674523939</v>
      </c>
      <c r="N11" s="8">
        <v>0.96812858396807222</v>
      </c>
      <c r="O11" s="8">
        <v>1.2700727144482467</v>
      </c>
      <c r="P11" s="8">
        <f t="shared" si="4"/>
        <v>1.2627370987749873</v>
      </c>
      <c r="Q11" s="8">
        <f t="shared" si="5"/>
        <v>1.1191006492081594</v>
      </c>
      <c r="R11" s="8">
        <f t="shared" si="6"/>
        <v>0.88624991717898116</v>
      </c>
      <c r="S11" s="22">
        <f t="shared" si="7"/>
        <v>-0.17421450735662325</v>
      </c>
      <c r="T11" s="25"/>
      <c r="U11" s="1" t="s">
        <v>33</v>
      </c>
    </row>
    <row r="12" spans="1:21">
      <c r="A12" s="6" t="s">
        <v>34</v>
      </c>
      <c r="B12" s="6" t="s">
        <v>35</v>
      </c>
      <c r="C12" s="7">
        <v>0.16925460939750844</v>
      </c>
      <c r="D12" s="7">
        <v>0.19262392313719665</v>
      </c>
      <c r="E12" s="7">
        <v>0.38246616256879662</v>
      </c>
      <c r="F12" s="8">
        <v>0.34015459579498641</v>
      </c>
      <c r="G12" s="8">
        <f t="shared" si="0"/>
        <v>0.18093926626735254</v>
      </c>
      <c r="H12" s="8">
        <f t="shared" si="1"/>
        <v>0.36131037918189152</v>
      </c>
      <c r="I12" s="8">
        <f t="shared" si="2"/>
        <v>1.9968599775795814</v>
      </c>
      <c r="J12" s="22">
        <f t="shared" si="3"/>
        <v>0.99773317267473716</v>
      </c>
      <c r="K12" s="8"/>
      <c r="L12" s="8">
        <v>1.664325062132147</v>
      </c>
      <c r="M12" s="8">
        <v>1.6026747415702614</v>
      </c>
      <c r="N12" s="8">
        <v>1.459866143362438</v>
      </c>
      <c r="O12" s="8">
        <v>1.7149441608439389</v>
      </c>
      <c r="P12" s="8">
        <f t="shared" si="4"/>
        <v>1.6334999018512042</v>
      </c>
      <c r="Q12" s="8">
        <f t="shared" si="5"/>
        <v>1.5874051521031884</v>
      </c>
      <c r="R12" s="8">
        <f t="shared" si="6"/>
        <v>0.97178160237672639</v>
      </c>
      <c r="S12" s="22">
        <f t="shared" si="7"/>
        <v>-4.1295975059356053E-2</v>
      </c>
      <c r="T12" s="25"/>
      <c r="U12" s="1" t="s">
        <v>36</v>
      </c>
    </row>
    <row r="13" spans="1:21">
      <c r="A13" s="6" t="s">
        <v>37</v>
      </c>
      <c r="B13" s="9" t="s">
        <v>38</v>
      </c>
      <c r="C13" s="10">
        <v>1.2130871424271641</v>
      </c>
      <c r="D13" s="10">
        <v>1.1560989699473694</v>
      </c>
      <c r="E13" s="10">
        <v>1.2079547307852319</v>
      </c>
      <c r="F13" s="8">
        <v>1.2242517338309422</v>
      </c>
      <c r="G13" s="8">
        <f t="shared" si="0"/>
        <v>1.1845930561872668</v>
      </c>
      <c r="H13" s="8">
        <f t="shared" si="1"/>
        <v>1.2161032323080869</v>
      </c>
      <c r="I13" s="8">
        <f t="shared" si="2"/>
        <v>1.0266000006974874</v>
      </c>
      <c r="J13" s="22">
        <f t="shared" si="3"/>
        <v>3.7874166641308708E-2</v>
      </c>
      <c r="K13" s="8"/>
      <c r="L13" s="8">
        <v>0.7906520761713457</v>
      </c>
      <c r="M13" s="8">
        <v>0.50286122402531597</v>
      </c>
      <c r="N13" s="8">
        <v>0.61014364072897387</v>
      </c>
      <c r="O13" s="8">
        <v>0.74695286527640481</v>
      </c>
      <c r="P13" s="8">
        <f t="shared" si="4"/>
        <v>0.64675665009833083</v>
      </c>
      <c r="Q13" s="8">
        <f t="shared" si="5"/>
        <v>0.67854825300268939</v>
      </c>
      <c r="R13" s="8">
        <f t="shared" si="6"/>
        <v>1.0491554325719343</v>
      </c>
      <c r="S13" s="22">
        <f t="shared" si="7"/>
        <v>6.9228429287125012E-2</v>
      </c>
      <c r="T13" s="25"/>
      <c r="U13" s="1" t="s">
        <v>39</v>
      </c>
    </row>
    <row r="14" spans="1:21">
      <c r="A14" s="6" t="s">
        <v>40</v>
      </c>
      <c r="B14" s="6" t="s">
        <v>41</v>
      </c>
      <c r="C14" s="7">
        <v>0.35861530326706992</v>
      </c>
      <c r="D14" s="7">
        <v>0.31096274131876706</v>
      </c>
      <c r="E14" s="7">
        <v>0.47406945252800275</v>
      </c>
      <c r="F14" s="8">
        <v>0.49958659935193983</v>
      </c>
      <c r="G14" s="8">
        <f t="shared" si="0"/>
        <v>0.33478902229291851</v>
      </c>
      <c r="H14" s="8">
        <f t="shared" si="1"/>
        <v>0.48682802593997132</v>
      </c>
      <c r="I14" s="8">
        <f t="shared" si="2"/>
        <v>1.4541337783591619</v>
      </c>
      <c r="J14" s="22">
        <f t="shared" si="3"/>
        <v>0.54016000137383124</v>
      </c>
      <c r="K14" s="8"/>
      <c r="L14" s="8">
        <v>1.2524436779178709</v>
      </c>
      <c r="M14" s="8">
        <v>1.2180710579766176</v>
      </c>
      <c r="N14" s="8">
        <v>1.508758906410792</v>
      </c>
      <c r="O14" s="8">
        <v>1.520343399517994</v>
      </c>
      <c r="P14" s="8">
        <f t="shared" si="4"/>
        <v>1.2352573679472443</v>
      </c>
      <c r="Q14" s="8">
        <f t="shared" si="5"/>
        <v>1.5145511529643931</v>
      </c>
      <c r="R14" s="8">
        <f t="shared" si="6"/>
        <v>1.2261016952938968</v>
      </c>
      <c r="S14" s="22">
        <f t="shared" si="7"/>
        <v>0.29407864396473876</v>
      </c>
      <c r="T14" s="25"/>
      <c r="U14" s="1" t="s">
        <v>42</v>
      </c>
    </row>
    <row r="15" spans="1:21">
      <c r="A15" s="6" t="s">
        <v>43</v>
      </c>
      <c r="B15" s="6" t="s">
        <v>44</v>
      </c>
      <c r="C15" s="7">
        <v>1.4466491486206309E-2</v>
      </c>
      <c r="D15" s="7">
        <v>1.2828430760102384E-2</v>
      </c>
      <c r="E15" s="7">
        <v>3.427788230415181E-2</v>
      </c>
      <c r="F15" s="8">
        <v>5.3467285612478807E-2</v>
      </c>
      <c r="G15" s="8">
        <f t="shared" si="0"/>
        <v>1.3647461123154347E-2</v>
      </c>
      <c r="H15" s="8">
        <f t="shared" si="1"/>
        <v>4.3872583958315309E-2</v>
      </c>
      <c r="I15" s="8">
        <f t="shared" si="2"/>
        <v>3.2147066448777695</v>
      </c>
      <c r="J15" s="22">
        <f t="shared" si="3"/>
        <v>1.6846870917398971</v>
      </c>
      <c r="K15" s="8"/>
      <c r="L15" s="8">
        <v>1.6539067518840583E-2</v>
      </c>
      <c r="M15" s="8">
        <v>6.5032451472222849E-2</v>
      </c>
      <c r="N15" s="8">
        <v>8.0580115227349258E-2</v>
      </c>
      <c r="O15" s="8">
        <v>1.8231345544783086E-2</v>
      </c>
      <c r="P15" s="8">
        <f t="shared" si="4"/>
        <v>4.0785759495531718E-2</v>
      </c>
      <c r="Q15" s="8">
        <f t="shared" si="5"/>
        <v>4.9405730386066174E-2</v>
      </c>
      <c r="R15" s="8">
        <f t="shared" si="6"/>
        <v>1.2113475633935129</v>
      </c>
      <c r="S15" s="22">
        <f t="shared" si="7"/>
        <v>0.2766128667182377</v>
      </c>
      <c r="T15" s="25"/>
      <c r="U15" s="1" t="s">
        <v>45</v>
      </c>
    </row>
    <row r="16" spans="1:21">
      <c r="A16" s="6" t="s">
        <v>46</v>
      </c>
      <c r="B16" s="6" t="s">
        <v>47</v>
      </c>
      <c r="C16" s="7">
        <v>1.2670575127431403</v>
      </c>
      <c r="D16" s="7">
        <v>1.1960191508401457</v>
      </c>
      <c r="E16" s="7">
        <v>1.2430082833894578</v>
      </c>
      <c r="F16" s="8">
        <v>1.3062076348524392</v>
      </c>
      <c r="G16" s="8">
        <f t="shared" si="0"/>
        <v>1.2315383317916431</v>
      </c>
      <c r="H16" s="8">
        <f t="shared" si="1"/>
        <v>1.2746079591209485</v>
      </c>
      <c r="I16" s="8">
        <f t="shared" si="2"/>
        <v>1.0349722182553975</v>
      </c>
      <c r="J16" s="22">
        <f t="shared" si="3"/>
        <v>4.9592042001796975E-2</v>
      </c>
      <c r="K16" s="8"/>
      <c r="L16" s="8">
        <v>0.63740524386586805</v>
      </c>
      <c r="M16" s="8">
        <v>0.63745044344661883</v>
      </c>
      <c r="N16" s="8">
        <v>0.57685679055458605</v>
      </c>
      <c r="O16" s="8">
        <v>0.78678680274408175</v>
      </c>
      <c r="P16" s="8">
        <f t="shared" si="4"/>
        <v>0.6374278436562435</v>
      </c>
      <c r="Q16" s="8">
        <f t="shared" si="5"/>
        <v>0.68182179664933384</v>
      </c>
      <c r="R16" s="8">
        <f t="shared" si="6"/>
        <v>1.069645456242466</v>
      </c>
      <c r="S16" s="22">
        <f t="shared" si="7"/>
        <v>9.7132681409752522E-2</v>
      </c>
      <c r="T16" s="25"/>
      <c r="U16" s="1" t="s">
        <v>48</v>
      </c>
    </row>
    <row r="17" spans="1:21">
      <c r="A17" s="6" t="s">
        <v>49</v>
      </c>
      <c r="B17" s="6" t="s">
        <v>50</v>
      </c>
      <c r="C17" s="7">
        <v>1.1726945599633687</v>
      </c>
      <c r="D17" s="7">
        <v>1.1004410887224203</v>
      </c>
      <c r="E17" s="7">
        <v>1.1036978974961185</v>
      </c>
      <c r="F17" s="8">
        <v>1.0405140194896387</v>
      </c>
      <c r="G17" s="8">
        <f t="shared" si="0"/>
        <v>1.1365678243428945</v>
      </c>
      <c r="H17" s="8">
        <f t="shared" si="1"/>
        <v>1.0721059584928785</v>
      </c>
      <c r="I17" s="8">
        <f t="shared" si="2"/>
        <v>0.94328374913544244</v>
      </c>
      <c r="J17" s="22">
        <f t="shared" si="3"/>
        <v>-8.4236281681494593E-2</v>
      </c>
      <c r="K17" s="8"/>
      <c r="L17" s="8">
        <v>1.2239886680527789</v>
      </c>
      <c r="M17" s="8">
        <v>1.2416122168805896</v>
      </c>
      <c r="N17" s="8">
        <v>1.351143509351288</v>
      </c>
      <c r="O17" s="8">
        <v>1.5553866184483556</v>
      </c>
      <c r="P17" s="8">
        <f t="shared" si="4"/>
        <v>1.2328004424666843</v>
      </c>
      <c r="Q17" s="8">
        <f t="shared" si="5"/>
        <v>1.4532650638998219</v>
      </c>
      <c r="R17" s="8">
        <f t="shared" si="6"/>
        <v>1.1788323672175316</v>
      </c>
      <c r="S17" s="22">
        <f t="shared" si="7"/>
        <v>0.23735857821719386</v>
      </c>
      <c r="T17" s="25"/>
      <c r="U17" s="1" t="s">
        <v>51</v>
      </c>
    </row>
    <row r="18" spans="1:21">
      <c r="A18" s="6" t="s">
        <v>52</v>
      </c>
      <c r="B18" s="6" t="s">
        <v>53</v>
      </c>
      <c r="C18" s="7">
        <v>1.0191359267788389</v>
      </c>
      <c r="D18" s="7">
        <v>1.0392476968411111</v>
      </c>
      <c r="E18" s="7">
        <v>0.97025562604681892</v>
      </c>
      <c r="F18" s="8">
        <v>1.0192234308085593</v>
      </c>
      <c r="G18" s="8">
        <f t="shared" si="0"/>
        <v>1.029191811809975</v>
      </c>
      <c r="H18" s="8">
        <f t="shared" si="1"/>
        <v>0.99473952842768909</v>
      </c>
      <c r="I18" s="8">
        <f t="shared" si="2"/>
        <v>0.96652491499937521</v>
      </c>
      <c r="J18" s="22">
        <f t="shared" si="3"/>
        <v>-4.9121172297982157E-2</v>
      </c>
      <c r="K18" s="8"/>
      <c r="L18" s="8">
        <v>0.80321916290810247</v>
      </c>
      <c r="M18" s="8">
        <v>0.78910700307330139</v>
      </c>
      <c r="N18" s="8">
        <v>0.76832102357064291</v>
      </c>
      <c r="O18" s="8">
        <v>0.89298106365457008</v>
      </c>
      <c r="P18" s="8">
        <f t="shared" si="4"/>
        <v>0.79616308299070193</v>
      </c>
      <c r="Q18" s="8">
        <f t="shared" si="5"/>
        <v>0.83065104361260644</v>
      </c>
      <c r="R18" s="8">
        <f t="shared" si="6"/>
        <v>1.0433177088447183</v>
      </c>
      <c r="S18" s="22">
        <f t="shared" si="7"/>
        <v>6.1178551125848274E-2</v>
      </c>
      <c r="T18" s="25"/>
      <c r="U18" s="1" t="s">
        <v>54</v>
      </c>
    </row>
    <row r="19" spans="1:21">
      <c r="A19" s="6" t="s">
        <v>55</v>
      </c>
      <c r="B19" s="6" t="s">
        <v>56</v>
      </c>
      <c r="C19" s="7">
        <v>1.1345003496468997</v>
      </c>
      <c r="D19" s="7">
        <v>1.1278553596900072</v>
      </c>
      <c r="E19" s="7">
        <v>1.0405043753970238</v>
      </c>
      <c r="F19" s="8">
        <v>1.0988305715045328</v>
      </c>
      <c r="G19" s="8">
        <f t="shared" si="0"/>
        <v>1.1311778546684534</v>
      </c>
      <c r="H19" s="8">
        <f t="shared" si="1"/>
        <v>1.0696674734507783</v>
      </c>
      <c r="I19" s="8">
        <f t="shared" si="2"/>
        <v>0.9456227144442253</v>
      </c>
      <c r="J19" s="22">
        <f t="shared" si="3"/>
        <v>-8.0663404525830679E-2</v>
      </c>
      <c r="K19" s="8"/>
      <c r="L19" s="8">
        <v>1.4696654465905175</v>
      </c>
      <c r="M19" s="8">
        <v>1.2783584946072586</v>
      </c>
      <c r="N19" s="8">
        <v>1.5565276978948162</v>
      </c>
      <c r="O19" s="8">
        <v>1.495857504771716</v>
      </c>
      <c r="P19" s="8">
        <f t="shared" si="4"/>
        <v>1.374011970598888</v>
      </c>
      <c r="Q19" s="8">
        <f t="shared" si="5"/>
        <v>1.5261926013332661</v>
      </c>
      <c r="R19" s="8">
        <f t="shared" si="6"/>
        <v>1.1107564082342365</v>
      </c>
      <c r="S19" s="22">
        <f t="shared" si="7"/>
        <v>0.15154246464396462</v>
      </c>
      <c r="T19" s="25"/>
      <c r="U19" s="1" t="s">
        <v>57</v>
      </c>
    </row>
    <row r="20" spans="1:21">
      <c r="A20" s="6" t="s">
        <v>58</v>
      </c>
      <c r="B20" s="6" t="s">
        <v>59</v>
      </c>
      <c r="C20" s="7">
        <v>1.0037339577831319</v>
      </c>
      <c r="D20" s="7">
        <v>1.0513652653528343</v>
      </c>
      <c r="E20" s="7">
        <v>1.0194533579489211</v>
      </c>
      <c r="F20" s="8">
        <v>0.97741417748596815</v>
      </c>
      <c r="G20" s="8">
        <f t="shared" si="0"/>
        <v>1.027549611567983</v>
      </c>
      <c r="H20" s="8">
        <f t="shared" si="1"/>
        <v>0.99843376771744463</v>
      </c>
      <c r="I20" s="8">
        <f t="shared" si="2"/>
        <v>0.97166478044197868</v>
      </c>
      <c r="J20" s="22">
        <f t="shared" si="3"/>
        <v>-4.1469417895361772E-2</v>
      </c>
      <c r="K20" s="8"/>
      <c r="L20" s="8">
        <v>1.5599140591145844</v>
      </c>
      <c r="M20" s="8">
        <v>1.6182339762833553</v>
      </c>
      <c r="N20" s="8">
        <v>1.3950648597112596</v>
      </c>
      <c r="O20" s="8">
        <v>2.0738044660928323</v>
      </c>
      <c r="P20" s="8">
        <f t="shared" si="4"/>
        <v>1.5890740176989699</v>
      </c>
      <c r="Q20" s="8">
        <f t="shared" si="5"/>
        <v>1.734434662902046</v>
      </c>
      <c r="R20" s="8">
        <f t="shared" si="6"/>
        <v>1.0914750625735878</v>
      </c>
      <c r="S20" s="22">
        <f t="shared" si="7"/>
        <v>0.12627916879649437</v>
      </c>
      <c r="T20" s="25"/>
      <c r="U20" s="1" t="s">
        <v>60</v>
      </c>
    </row>
    <row r="21" spans="1:21">
      <c r="A21" s="6" t="s">
        <v>61</v>
      </c>
      <c r="B21" s="6" t="s">
        <v>62</v>
      </c>
      <c r="C21" s="7">
        <v>1.1792495845120838</v>
      </c>
      <c r="D21" s="7">
        <v>1.1497407020590888</v>
      </c>
      <c r="E21" s="7">
        <v>1.0987605874121673</v>
      </c>
      <c r="F21" s="8">
        <v>1.2667405442140078</v>
      </c>
      <c r="G21" s="8">
        <f t="shared" si="0"/>
        <v>1.1644951432855863</v>
      </c>
      <c r="H21" s="8">
        <f t="shared" si="1"/>
        <v>1.1827505658130875</v>
      </c>
      <c r="I21" s="8">
        <f t="shared" si="2"/>
        <v>1.0156766841259586</v>
      </c>
      <c r="J21" s="22">
        <f t="shared" si="3"/>
        <v>2.2441228447554393E-2</v>
      </c>
      <c r="K21" s="8"/>
      <c r="L21" s="8">
        <v>1.8761748895831227</v>
      </c>
      <c r="M21" s="8">
        <v>1.6498674085605678</v>
      </c>
      <c r="N21" s="8">
        <v>1.6298452276295716</v>
      </c>
      <c r="O21" s="8">
        <v>2.1353740709983287</v>
      </c>
      <c r="P21" s="8">
        <f t="shared" si="4"/>
        <v>1.7630211490718453</v>
      </c>
      <c r="Q21" s="8">
        <f t="shared" si="5"/>
        <v>1.8826096493139501</v>
      </c>
      <c r="R21" s="8">
        <f t="shared" si="6"/>
        <v>1.0678315744000366</v>
      </c>
      <c r="S21" s="22">
        <f t="shared" si="7"/>
        <v>9.4684113374179035E-2</v>
      </c>
      <c r="T21" s="25"/>
      <c r="U21" s="1" t="s">
        <v>63</v>
      </c>
    </row>
    <row r="22" spans="1:21">
      <c r="A22" s="6" t="s">
        <v>64</v>
      </c>
      <c r="B22" s="6" t="s">
        <v>65</v>
      </c>
      <c r="C22" s="7">
        <v>1.2144769947269938</v>
      </c>
      <c r="D22" s="7">
        <v>1.2898200573369232</v>
      </c>
      <c r="E22" s="7">
        <v>1.0340561944677107</v>
      </c>
      <c r="F22" s="8">
        <v>1.2274581875337636</v>
      </c>
      <c r="G22" s="8">
        <f t="shared" si="0"/>
        <v>1.2521485260319585</v>
      </c>
      <c r="H22" s="8">
        <f t="shared" si="1"/>
        <v>1.130757191000737</v>
      </c>
      <c r="I22" s="8">
        <f t="shared" si="2"/>
        <v>0.90305356552556193</v>
      </c>
      <c r="J22" s="22">
        <f t="shared" si="3"/>
        <v>-0.14711652974367262</v>
      </c>
      <c r="K22" s="8"/>
      <c r="L22" s="8">
        <v>1.8441060283507251</v>
      </c>
      <c r="M22" s="8">
        <v>1.6749166729568257</v>
      </c>
      <c r="N22" s="8">
        <v>1.8782861730220481</v>
      </c>
      <c r="O22" s="8">
        <v>2.0837851297122389</v>
      </c>
      <c r="P22" s="8">
        <f t="shared" si="4"/>
        <v>1.7595113506537754</v>
      </c>
      <c r="Q22" s="8">
        <f t="shared" si="5"/>
        <v>1.9810356513671437</v>
      </c>
      <c r="R22" s="8">
        <f t="shared" si="6"/>
        <v>1.1259010353249823</v>
      </c>
      <c r="S22" s="22">
        <f t="shared" si="7"/>
        <v>0.17108002269295841</v>
      </c>
      <c r="T22" s="25"/>
      <c r="U22" s="1" t="s">
        <v>66</v>
      </c>
    </row>
    <row r="23" spans="1:21">
      <c r="A23" s="6" t="s">
        <v>67</v>
      </c>
      <c r="B23" s="6" t="s">
        <v>68</v>
      </c>
      <c r="C23" s="7">
        <v>0.17061105178628438</v>
      </c>
      <c r="D23" s="7">
        <v>0.18769396180352979</v>
      </c>
      <c r="E23" s="7">
        <v>0.35581682904189699</v>
      </c>
      <c r="F23" s="8">
        <v>0.30015309620608477</v>
      </c>
      <c r="G23" s="8">
        <f t="shared" si="0"/>
        <v>0.17915250679490707</v>
      </c>
      <c r="H23" s="8">
        <f t="shared" si="1"/>
        <v>0.32798496262399091</v>
      </c>
      <c r="I23" s="8">
        <f t="shared" si="2"/>
        <v>1.8307584330900071</v>
      </c>
      <c r="J23" s="22">
        <f t="shared" si="3"/>
        <v>0.87244144139483804</v>
      </c>
      <c r="K23" s="8"/>
      <c r="L23" s="8">
        <v>1.4371082270652407</v>
      </c>
      <c r="M23" s="8">
        <v>1.5309109899739339</v>
      </c>
      <c r="N23" s="8">
        <v>1.3364021899883449</v>
      </c>
      <c r="O23" s="8">
        <v>1.6915228702170644</v>
      </c>
      <c r="P23" s="8">
        <f t="shared" si="4"/>
        <v>1.4840096085195873</v>
      </c>
      <c r="Q23" s="8">
        <f t="shared" si="5"/>
        <v>1.5139625301027047</v>
      </c>
      <c r="R23" s="8">
        <f t="shared" si="6"/>
        <v>1.0201837787377925</v>
      </c>
      <c r="S23" s="22">
        <f t="shared" si="7"/>
        <v>2.8829066697723636E-2</v>
      </c>
      <c r="T23" s="25"/>
      <c r="U23" s="1" t="s">
        <v>69</v>
      </c>
    </row>
    <row r="24" spans="1:21">
      <c r="A24" s="6" t="s">
        <v>70</v>
      </c>
      <c r="B24" s="11" t="s">
        <v>71</v>
      </c>
      <c r="C24" s="12">
        <v>1.1316204153140801</v>
      </c>
      <c r="D24" s="12">
        <v>1.1077932473468608</v>
      </c>
      <c r="E24" s="12">
        <v>0.99403160698387827</v>
      </c>
      <c r="F24" s="8">
        <v>1.1516710811874478</v>
      </c>
      <c r="G24" s="8">
        <f t="shared" si="0"/>
        <v>1.1197068313304706</v>
      </c>
      <c r="H24" s="8">
        <f t="shared" si="1"/>
        <v>1.0728513440856631</v>
      </c>
      <c r="I24" s="8">
        <f t="shared" si="2"/>
        <v>0.95815378996202749</v>
      </c>
      <c r="J24" s="22">
        <f t="shared" si="3"/>
        <v>-6.167085833232995E-2</v>
      </c>
      <c r="K24" s="8"/>
      <c r="L24" s="8">
        <v>1.7826379978870026</v>
      </c>
      <c r="M24" s="8">
        <v>1.805680454056233</v>
      </c>
      <c r="N24" s="8">
        <v>1.463583895459837</v>
      </c>
      <c r="O24" s="8">
        <v>1.8782278176574343</v>
      </c>
      <c r="P24" s="8">
        <f t="shared" si="4"/>
        <v>1.7941592259716179</v>
      </c>
      <c r="Q24" s="8">
        <f t="shared" si="5"/>
        <v>1.6709058565586357</v>
      </c>
      <c r="R24" s="8">
        <f t="shared" si="6"/>
        <v>0.9313029927172517</v>
      </c>
      <c r="S24" s="22">
        <f t="shared" si="7"/>
        <v>-0.10267748029880348</v>
      </c>
      <c r="T24" s="25"/>
      <c r="U24" s="1" t="s">
        <v>72</v>
      </c>
    </row>
    <row r="25" spans="1:21">
      <c r="A25" s="6" t="s">
        <v>73</v>
      </c>
      <c r="B25" s="6" t="s">
        <v>74</v>
      </c>
      <c r="C25" s="7">
        <v>1.1795302277649342</v>
      </c>
      <c r="D25" s="7">
        <v>1.2476685588311789</v>
      </c>
      <c r="E25" s="7">
        <v>1.1044735677961925</v>
      </c>
      <c r="F25" s="8">
        <v>1.2976175057967325</v>
      </c>
      <c r="G25" s="8">
        <f t="shared" si="0"/>
        <v>1.2135993932980567</v>
      </c>
      <c r="H25" s="8">
        <f t="shared" si="1"/>
        <v>1.2010455367964625</v>
      </c>
      <c r="I25" s="8">
        <f t="shared" si="2"/>
        <v>0.98965568327495779</v>
      </c>
      <c r="J25" s="22">
        <f t="shared" si="3"/>
        <v>-1.5001418618560927E-2</v>
      </c>
      <c r="K25" s="8"/>
      <c r="L25" s="8">
        <v>1.9075600492054896</v>
      </c>
      <c r="M25" s="8">
        <v>1.8365046589961214</v>
      </c>
      <c r="N25" s="8">
        <v>1.8969613928601463</v>
      </c>
      <c r="O25" s="8">
        <v>2.1333779382744473</v>
      </c>
      <c r="P25" s="8">
        <f t="shared" si="4"/>
        <v>1.8720323541008055</v>
      </c>
      <c r="Q25" s="8">
        <f t="shared" si="5"/>
        <v>2.0151696655672966</v>
      </c>
      <c r="R25" s="8">
        <f t="shared" si="6"/>
        <v>1.0764609175439408</v>
      </c>
      <c r="S25" s="22">
        <f t="shared" si="7"/>
        <v>0.10629594134529335</v>
      </c>
      <c r="T25" s="25"/>
      <c r="U25" s="1" t="s">
        <v>75</v>
      </c>
    </row>
    <row r="26" spans="1:21">
      <c r="A26" s="6" t="s">
        <v>76</v>
      </c>
      <c r="B26" s="6" t="s">
        <v>77</v>
      </c>
      <c r="C26" s="7">
        <v>1.0258446369184007</v>
      </c>
      <c r="D26" s="7">
        <v>1.0598100455812649</v>
      </c>
      <c r="E26" s="7">
        <v>1.0846231530734223</v>
      </c>
      <c r="F26" s="8">
        <v>1.2486959950839325</v>
      </c>
      <c r="G26" s="8">
        <f t="shared" si="0"/>
        <v>1.0428273412498328</v>
      </c>
      <c r="H26" s="8">
        <f t="shared" si="1"/>
        <v>1.1666595740786774</v>
      </c>
      <c r="I26" s="8">
        <f t="shared" si="2"/>
        <v>1.1187466303678144</v>
      </c>
      <c r="J26" s="22">
        <f t="shared" si="3"/>
        <v>0.16188333702809865</v>
      </c>
      <c r="K26" s="8"/>
      <c r="L26" s="8">
        <v>1.6363909677794595</v>
      </c>
      <c r="M26" s="8">
        <v>1.8370564049079332</v>
      </c>
      <c r="N26" s="8">
        <v>1.9128266837874195</v>
      </c>
      <c r="O26" s="8">
        <v>1.9706709420256288</v>
      </c>
      <c r="P26" s="8">
        <f t="shared" si="4"/>
        <v>1.7367236863436963</v>
      </c>
      <c r="Q26" s="8">
        <f t="shared" si="5"/>
        <v>1.9417488129065241</v>
      </c>
      <c r="R26" s="8">
        <f t="shared" si="6"/>
        <v>1.1180528187500367</v>
      </c>
      <c r="S26" s="22">
        <f t="shared" si="7"/>
        <v>0.16098834520147315</v>
      </c>
      <c r="T26" s="25"/>
      <c r="U26" s="1" t="s">
        <v>78</v>
      </c>
    </row>
    <row r="27" spans="1:21">
      <c r="A27" s="6" t="s">
        <v>79</v>
      </c>
      <c r="B27" s="6" t="s">
        <v>80</v>
      </c>
      <c r="C27" s="7">
        <v>1.1671017408529971</v>
      </c>
      <c r="D27" s="7">
        <v>1.28677256454989</v>
      </c>
      <c r="E27" s="7">
        <v>1.0856416419022155</v>
      </c>
      <c r="F27" s="8">
        <v>1.4919906180165299</v>
      </c>
      <c r="G27" s="8">
        <f t="shared" si="0"/>
        <v>1.2269371527014434</v>
      </c>
      <c r="H27" s="8">
        <f t="shared" si="1"/>
        <v>1.2888161299593728</v>
      </c>
      <c r="I27" s="8">
        <f t="shared" si="2"/>
        <v>1.0504336975383666</v>
      </c>
      <c r="J27" s="22">
        <f t="shared" si="3"/>
        <v>7.098510322815095E-2</v>
      </c>
      <c r="K27" s="8"/>
      <c r="L27" s="8">
        <v>1.6109637793302185</v>
      </c>
      <c r="M27" s="8">
        <v>1.8014136190048882</v>
      </c>
      <c r="N27" s="8">
        <v>1.8041905091273718</v>
      </c>
      <c r="O27" s="8">
        <v>1.8999634850952534</v>
      </c>
      <c r="P27" s="8">
        <f t="shared" si="4"/>
        <v>1.7061886991675532</v>
      </c>
      <c r="Q27" s="8">
        <f t="shared" si="5"/>
        <v>1.8520769971113125</v>
      </c>
      <c r="R27" s="8">
        <f t="shared" si="6"/>
        <v>1.085505371132125</v>
      </c>
      <c r="S27" s="22">
        <f t="shared" si="7"/>
        <v>0.11836686449429148</v>
      </c>
      <c r="T27" s="25"/>
      <c r="U27" s="1">
        <v>0</v>
      </c>
    </row>
    <row r="28" spans="1:21">
      <c r="A28" s="6" t="s">
        <v>81</v>
      </c>
      <c r="B28" s="6" t="s">
        <v>80</v>
      </c>
      <c r="C28" s="7">
        <v>1.4765710649602299</v>
      </c>
      <c r="D28" s="7">
        <v>1.6880543037599476</v>
      </c>
      <c r="E28" s="7">
        <v>1.7719614683670639</v>
      </c>
      <c r="F28" s="8">
        <v>1.8147406358937326</v>
      </c>
      <c r="G28" s="8">
        <f t="shared" si="0"/>
        <v>1.5823126843600888</v>
      </c>
      <c r="H28" s="8">
        <f t="shared" si="1"/>
        <v>1.7933510521303981</v>
      </c>
      <c r="I28" s="8">
        <f t="shared" si="2"/>
        <v>1.1333733653634057</v>
      </c>
      <c r="J28" s="22">
        <f t="shared" si="3"/>
        <v>0.18062320416353994</v>
      </c>
      <c r="K28" s="8"/>
      <c r="L28" s="8">
        <v>1.4957437794302639</v>
      </c>
      <c r="M28" s="8">
        <v>1.5800531591859757</v>
      </c>
      <c r="N28" s="8">
        <v>1.7467382703198895</v>
      </c>
      <c r="O28" s="8">
        <v>2.0033188016873327</v>
      </c>
      <c r="P28" s="8">
        <f t="shared" si="4"/>
        <v>1.5378984693081197</v>
      </c>
      <c r="Q28" s="8">
        <f t="shared" si="5"/>
        <v>1.8750285360036112</v>
      </c>
      <c r="R28" s="8">
        <f t="shared" si="6"/>
        <v>1.2192147748525699</v>
      </c>
      <c r="S28" s="22">
        <f t="shared" si="7"/>
        <v>0.28595229111101267</v>
      </c>
      <c r="T28" s="25"/>
      <c r="U28" s="1">
        <v>0</v>
      </c>
    </row>
    <row r="29" spans="1:21">
      <c r="A29" s="6" t="s">
        <v>82</v>
      </c>
      <c r="B29" s="6" t="s">
        <v>83</v>
      </c>
      <c r="C29" s="7">
        <v>0.21022852431363642</v>
      </c>
      <c r="D29" s="7">
        <v>0.18904986572173457</v>
      </c>
      <c r="E29" s="7">
        <v>0.4827097451749171</v>
      </c>
      <c r="F29" s="8">
        <v>0.45730891349251679</v>
      </c>
      <c r="G29" s="8">
        <f t="shared" si="0"/>
        <v>0.19963919501768551</v>
      </c>
      <c r="H29" s="8">
        <f t="shared" si="1"/>
        <v>0.47000932933371697</v>
      </c>
      <c r="I29" s="8">
        <f t="shared" si="2"/>
        <v>2.3542938514257186</v>
      </c>
      <c r="J29" s="22">
        <f t="shared" si="3"/>
        <v>1.2352944017428014</v>
      </c>
      <c r="K29" s="8"/>
      <c r="L29" s="8">
        <v>0.94305242076916607</v>
      </c>
      <c r="M29" s="8">
        <v>1.0167205832260815</v>
      </c>
      <c r="N29" s="8">
        <v>0.9178092416265301</v>
      </c>
      <c r="O29" s="8">
        <v>0.87528202016948875</v>
      </c>
      <c r="P29" s="8">
        <f t="shared" si="4"/>
        <v>0.97988650199762373</v>
      </c>
      <c r="Q29" s="8">
        <f t="shared" si="5"/>
        <v>0.89654563089800943</v>
      </c>
      <c r="R29" s="8">
        <f t="shared" si="6"/>
        <v>0.91494844461096947</v>
      </c>
      <c r="S29" s="22">
        <f t="shared" si="7"/>
        <v>-0.12823764198203369</v>
      </c>
      <c r="T29" s="25"/>
      <c r="U29" s="1" t="s">
        <v>84</v>
      </c>
    </row>
    <row r="30" spans="1:21">
      <c r="A30" s="6" t="s">
        <v>85</v>
      </c>
      <c r="B30" s="6" t="s">
        <v>86</v>
      </c>
      <c r="C30" s="7">
        <v>1.1499758204469246</v>
      </c>
      <c r="D30" s="7">
        <v>1.0945633110575812</v>
      </c>
      <c r="E30" s="7">
        <v>1.0370104865671241</v>
      </c>
      <c r="F30" s="8">
        <v>1.0740762211074424</v>
      </c>
      <c r="G30" s="8">
        <f t="shared" si="0"/>
        <v>1.1222695657522528</v>
      </c>
      <c r="H30" s="8">
        <f t="shared" si="1"/>
        <v>1.0555433538372831</v>
      </c>
      <c r="I30" s="8">
        <f t="shared" si="2"/>
        <v>0.94054350759280969</v>
      </c>
      <c r="J30" s="22">
        <f t="shared" si="3"/>
        <v>-8.843341351358408E-2</v>
      </c>
      <c r="K30" s="8"/>
      <c r="L30" s="8">
        <v>0.8437203439975467</v>
      </c>
      <c r="M30" s="8">
        <v>0.80165002680182407</v>
      </c>
      <c r="N30" s="8">
        <v>0.94379027663277304</v>
      </c>
      <c r="O30" s="8">
        <v>0.79836437254259363</v>
      </c>
      <c r="P30" s="8">
        <f t="shared" si="4"/>
        <v>0.82268518539968538</v>
      </c>
      <c r="Q30" s="8">
        <f t="shared" si="5"/>
        <v>0.87107732458768328</v>
      </c>
      <c r="R30" s="8">
        <f t="shared" si="6"/>
        <v>1.0588221838035015</v>
      </c>
      <c r="S30" s="22">
        <f t="shared" si="7"/>
        <v>8.2460326738571149E-2</v>
      </c>
      <c r="T30" s="25"/>
      <c r="U30" s="1" t="s">
        <v>87</v>
      </c>
    </row>
    <row r="31" spans="1:21">
      <c r="A31" s="6" t="s">
        <v>88</v>
      </c>
      <c r="B31" s="6" t="s">
        <v>89</v>
      </c>
      <c r="C31" s="7">
        <v>1.1669213273333077</v>
      </c>
      <c r="D31" s="7">
        <v>1.0964918540092026</v>
      </c>
      <c r="E31" s="7">
        <v>1.0129040026326419</v>
      </c>
      <c r="F31" s="8">
        <v>1.1483326746573497</v>
      </c>
      <c r="G31" s="8">
        <f t="shared" si="0"/>
        <v>1.1317065906712551</v>
      </c>
      <c r="H31" s="8">
        <f t="shared" si="1"/>
        <v>1.0806183386449959</v>
      </c>
      <c r="I31" s="8">
        <f t="shared" si="2"/>
        <v>0.95485733453583854</v>
      </c>
      <c r="J31" s="22">
        <f t="shared" si="3"/>
        <v>-6.6642899050913196E-2</v>
      </c>
      <c r="K31" s="8"/>
      <c r="L31" s="8">
        <v>1.0540725393503598</v>
      </c>
      <c r="M31" s="8">
        <v>1.3110954187080948</v>
      </c>
      <c r="N31" s="8">
        <v>0.88581928171867685</v>
      </c>
      <c r="O31" s="8">
        <v>0.92021718570930688</v>
      </c>
      <c r="P31" s="8">
        <f t="shared" si="4"/>
        <v>1.1825839790292272</v>
      </c>
      <c r="Q31" s="8">
        <f t="shared" si="5"/>
        <v>0.90301823371399181</v>
      </c>
      <c r="R31" s="8">
        <f t="shared" si="6"/>
        <v>0.76359755393885143</v>
      </c>
      <c r="S31" s="22">
        <f t="shared" si="7"/>
        <v>-0.38911561357812163</v>
      </c>
      <c r="T31" s="25"/>
      <c r="U31" s="1" t="s">
        <v>90</v>
      </c>
    </row>
    <row r="32" spans="1:21">
      <c r="A32" s="6" t="s">
        <v>91</v>
      </c>
      <c r="B32" s="6" t="s">
        <v>92</v>
      </c>
      <c r="C32" s="7">
        <v>1.2297386420962755</v>
      </c>
      <c r="D32" s="7">
        <v>1.1799852579044816</v>
      </c>
      <c r="E32" s="7">
        <v>1.0518696315328948</v>
      </c>
      <c r="F32" s="8">
        <v>1.0794928846671468</v>
      </c>
      <c r="G32" s="8">
        <f t="shared" si="0"/>
        <v>1.2048619500003785</v>
      </c>
      <c r="H32" s="8">
        <f t="shared" si="1"/>
        <v>1.0656812581000208</v>
      </c>
      <c r="I32" s="8">
        <f t="shared" si="2"/>
        <v>0.88448411712203712</v>
      </c>
      <c r="J32" s="22">
        <f t="shared" si="3"/>
        <v>-0.17709185853466777</v>
      </c>
      <c r="K32" s="8"/>
      <c r="L32" s="8">
        <v>0.97534918253824054</v>
      </c>
      <c r="M32" s="8">
        <v>1.0468459100110081</v>
      </c>
      <c r="N32" s="8">
        <v>0.96030401269331345</v>
      </c>
      <c r="O32" s="8">
        <v>0.87341896296053279</v>
      </c>
      <c r="P32" s="8">
        <f t="shared" si="4"/>
        <v>1.0110975462746243</v>
      </c>
      <c r="Q32" s="8">
        <f t="shared" si="5"/>
        <v>0.91686148782692312</v>
      </c>
      <c r="R32" s="8">
        <f t="shared" si="6"/>
        <v>0.90679825226071142</v>
      </c>
      <c r="S32" s="22">
        <f t="shared" si="7"/>
        <v>-0.14114648441875868</v>
      </c>
      <c r="T32" s="25"/>
      <c r="U32" s="1" t="s">
        <v>93</v>
      </c>
    </row>
    <row r="33" spans="1:21">
      <c r="A33" s="6" t="s">
        <v>94</v>
      </c>
      <c r="B33" s="6" t="s">
        <v>95</v>
      </c>
      <c r="C33" s="7">
        <v>1.2312888619691624</v>
      </c>
      <c r="D33" s="7">
        <v>1.1342860302146967</v>
      </c>
      <c r="E33" s="7">
        <v>1.2548726665010288</v>
      </c>
      <c r="F33" s="8">
        <v>1.0859387802796088</v>
      </c>
      <c r="G33" s="8">
        <f t="shared" si="0"/>
        <v>1.1827874460919294</v>
      </c>
      <c r="H33" s="8">
        <f t="shared" si="1"/>
        <v>1.1704057233903189</v>
      </c>
      <c r="I33" s="8">
        <f t="shared" si="2"/>
        <v>0.9895317432202031</v>
      </c>
      <c r="J33" s="22">
        <f t="shared" si="3"/>
        <v>-1.518210661223161E-2</v>
      </c>
      <c r="K33" s="8"/>
      <c r="L33" s="8">
        <v>1.2774476225132834</v>
      </c>
      <c r="M33" s="8">
        <v>1.269125946349607</v>
      </c>
      <c r="N33" s="8">
        <v>0.97188956574102248</v>
      </c>
      <c r="O33" s="8">
        <v>1.0525829645551286</v>
      </c>
      <c r="P33" s="8">
        <f t="shared" si="4"/>
        <v>1.2732867844314453</v>
      </c>
      <c r="Q33" s="8">
        <f t="shared" si="5"/>
        <v>1.0122362651480756</v>
      </c>
      <c r="R33" s="8">
        <f t="shared" si="6"/>
        <v>0.79497900828371881</v>
      </c>
      <c r="S33" s="22">
        <f t="shared" si="7"/>
        <v>-0.33101132888636148</v>
      </c>
      <c r="T33" s="25"/>
      <c r="U33" s="1" t="s">
        <v>96</v>
      </c>
    </row>
    <row r="34" spans="1:21">
      <c r="A34" s="6" t="s">
        <v>97</v>
      </c>
      <c r="B34" s="6" t="s">
        <v>98</v>
      </c>
      <c r="C34" s="7">
        <v>1.2311151304316836</v>
      </c>
      <c r="D34" s="7">
        <v>1.1561187161209356</v>
      </c>
      <c r="E34" s="7">
        <v>1.0232440249805885</v>
      </c>
      <c r="F34" s="8">
        <v>1.1764386268672657</v>
      </c>
      <c r="G34" s="8">
        <f t="shared" si="0"/>
        <v>1.1936169232763096</v>
      </c>
      <c r="H34" s="8">
        <f t="shared" si="1"/>
        <v>1.099841325923927</v>
      </c>
      <c r="I34" s="8">
        <f t="shared" si="2"/>
        <v>0.92143576760374524</v>
      </c>
      <c r="J34" s="22">
        <f t="shared" si="3"/>
        <v>-0.11804449440235169</v>
      </c>
      <c r="K34" s="8"/>
      <c r="L34" s="8">
        <v>1.0160131497253113</v>
      </c>
      <c r="M34" s="8">
        <v>1.2413915185158648</v>
      </c>
      <c r="N34" s="8">
        <v>1.1133370641443951</v>
      </c>
      <c r="O34" s="8">
        <v>0.92913324520931029</v>
      </c>
      <c r="P34" s="8">
        <f t="shared" si="4"/>
        <v>1.1287023341205882</v>
      </c>
      <c r="Q34" s="8">
        <f t="shared" si="5"/>
        <v>1.0212351546768528</v>
      </c>
      <c r="R34" s="8">
        <f t="shared" si="6"/>
        <v>0.90478696092405364</v>
      </c>
      <c r="S34" s="22">
        <f t="shared" si="7"/>
        <v>-0.14434995639268877</v>
      </c>
      <c r="T34" s="25"/>
      <c r="U34" s="1" t="s">
        <v>99</v>
      </c>
    </row>
    <row r="35" spans="1:21">
      <c r="A35" s="6" t="s">
        <v>100</v>
      </c>
      <c r="B35" s="6" t="s">
        <v>101</v>
      </c>
      <c r="C35" s="7">
        <v>1.2086503062392469</v>
      </c>
      <c r="D35" s="7">
        <v>1.2891026130306886</v>
      </c>
      <c r="E35" s="7">
        <v>1.2735224784984667</v>
      </c>
      <c r="F35" s="8">
        <v>1.2231433300818186</v>
      </c>
      <c r="G35" s="8">
        <f t="shared" si="0"/>
        <v>1.2488764596349677</v>
      </c>
      <c r="H35" s="8">
        <f t="shared" si="1"/>
        <v>1.2483329042901428</v>
      </c>
      <c r="I35" s="8">
        <f t="shared" si="2"/>
        <v>0.9995647645204363</v>
      </c>
      <c r="J35" s="22">
        <f t="shared" si="3"/>
        <v>-6.2804875245188875E-4</v>
      </c>
      <c r="K35" s="8"/>
      <c r="L35" s="8">
        <v>0.90896501192620127</v>
      </c>
      <c r="M35" s="8">
        <v>0.82235889002516194</v>
      </c>
      <c r="N35" s="8">
        <v>0.83169572792863322</v>
      </c>
      <c r="O35" s="8">
        <v>0.76518421082118793</v>
      </c>
      <c r="P35" s="8">
        <f t="shared" si="4"/>
        <v>0.86566195097568155</v>
      </c>
      <c r="Q35" s="8">
        <f t="shared" si="5"/>
        <v>0.79843996937491057</v>
      </c>
      <c r="R35" s="8">
        <f t="shared" si="6"/>
        <v>0.92234615195342062</v>
      </c>
      <c r="S35" s="22">
        <f t="shared" si="7"/>
        <v>-0.11661980628779367</v>
      </c>
      <c r="T35" s="25"/>
      <c r="U35" s="1" t="s">
        <v>102</v>
      </c>
    </row>
    <row r="36" spans="1:21">
      <c r="A36" s="6" t="s">
        <v>103</v>
      </c>
      <c r="B36" s="6" t="s">
        <v>104</v>
      </c>
      <c r="C36" s="7">
        <v>1.2592262295921779</v>
      </c>
      <c r="D36" s="7">
        <v>1.1199239799742948</v>
      </c>
      <c r="E36" s="7">
        <v>1.1859189493039914</v>
      </c>
      <c r="F36" s="8">
        <v>1.1335077745128235</v>
      </c>
      <c r="G36" s="8">
        <f t="shared" si="0"/>
        <v>1.1895751047832364</v>
      </c>
      <c r="H36" s="8">
        <f t="shared" si="1"/>
        <v>1.1597133619084075</v>
      </c>
      <c r="I36" s="8">
        <f t="shared" si="2"/>
        <v>0.97489713532608746</v>
      </c>
      <c r="J36" s="22">
        <f t="shared" si="3"/>
        <v>-3.6678091598320778E-2</v>
      </c>
      <c r="K36" s="8"/>
      <c r="L36" s="8">
        <v>1.2033148336542283</v>
      </c>
      <c r="M36" s="8">
        <v>1.2690155971672445</v>
      </c>
      <c r="N36" s="8">
        <v>1.251412647854778</v>
      </c>
      <c r="O36" s="8">
        <v>0.98169807360485273</v>
      </c>
      <c r="P36" s="8">
        <f t="shared" si="4"/>
        <v>1.2361652154107365</v>
      </c>
      <c r="Q36" s="8">
        <f t="shared" si="5"/>
        <v>1.1165553607298153</v>
      </c>
      <c r="R36" s="8">
        <f t="shared" si="6"/>
        <v>0.90324120660426543</v>
      </c>
      <c r="S36" s="22">
        <f t="shared" si="7"/>
        <v>-0.146816790344696</v>
      </c>
      <c r="T36" s="25"/>
      <c r="U36" s="1" t="s">
        <v>105</v>
      </c>
    </row>
    <row r="37" spans="1:21">
      <c r="A37" s="6" t="s">
        <v>106</v>
      </c>
      <c r="B37" s="6" t="s">
        <v>107</v>
      </c>
      <c r="C37" s="7">
        <v>1.2146707722111045</v>
      </c>
      <c r="D37" s="7">
        <v>1.0773051553608197</v>
      </c>
      <c r="E37" s="7">
        <v>1.3515076959720211</v>
      </c>
      <c r="F37" s="8">
        <v>1.34717239008046</v>
      </c>
      <c r="G37" s="8">
        <f t="shared" si="0"/>
        <v>1.145987963785962</v>
      </c>
      <c r="H37" s="8">
        <f t="shared" si="1"/>
        <v>1.3493400430262406</v>
      </c>
      <c r="I37" s="8">
        <f t="shared" si="2"/>
        <v>1.1774469590138374</v>
      </c>
      <c r="J37" s="22">
        <f t="shared" si="3"/>
        <v>0.23566207156524782</v>
      </c>
      <c r="K37" s="8"/>
      <c r="L37" s="8">
        <v>1.1779202024245126</v>
      </c>
      <c r="M37" s="8">
        <v>1.0569244686667711</v>
      </c>
      <c r="N37" s="8">
        <v>0.87341236483549589</v>
      </c>
      <c r="O37" s="8">
        <v>0.87630226578391701</v>
      </c>
      <c r="P37" s="8">
        <f t="shared" si="4"/>
        <v>1.1174223355456419</v>
      </c>
      <c r="Q37" s="8">
        <f t="shared" si="5"/>
        <v>0.87485731530970645</v>
      </c>
      <c r="R37" s="8">
        <f t="shared" si="6"/>
        <v>0.78292449280827203</v>
      </c>
      <c r="S37" s="22">
        <f t="shared" si="7"/>
        <v>-0.35305491777183151</v>
      </c>
      <c r="T37" s="25"/>
      <c r="U37" s="1" t="s">
        <v>108</v>
      </c>
    </row>
    <row r="38" spans="1:21">
      <c r="A38" s="6" t="s">
        <v>109</v>
      </c>
      <c r="B38" s="6" t="s">
        <v>110</v>
      </c>
      <c r="C38" s="7">
        <v>1.1505437889348358</v>
      </c>
      <c r="D38" s="7">
        <v>1.2478396923354182</v>
      </c>
      <c r="E38" s="7">
        <v>1.0374421639515132</v>
      </c>
      <c r="F38" s="8">
        <v>1.0645690199021631</v>
      </c>
      <c r="G38" s="8">
        <f t="shared" si="0"/>
        <v>1.1991917406351269</v>
      </c>
      <c r="H38" s="8">
        <f t="shared" si="1"/>
        <v>1.0510055919268382</v>
      </c>
      <c r="I38" s="8">
        <f t="shared" si="2"/>
        <v>0.87642831109743546</v>
      </c>
      <c r="J38" s="22">
        <f t="shared" si="3"/>
        <v>-0.1902920067023435</v>
      </c>
      <c r="K38" s="8"/>
      <c r="L38" s="8">
        <v>1.2181609257577546</v>
      </c>
      <c r="M38" s="8">
        <v>0.97493502617153094</v>
      </c>
      <c r="N38" s="8">
        <v>0.96709107175484454</v>
      </c>
      <c r="O38" s="8">
        <v>1.0293391079481546</v>
      </c>
      <c r="P38" s="8">
        <f t="shared" si="4"/>
        <v>1.0965479759646428</v>
      </c>
      <c r="Q38" s="8">
        <f t="shared" si="5"/>
        <v>0.99821508985149965</v>
      </c>
      <c r="R38" s="8">
        <f t="shared" si="6"/>
        <v>0.91032504890938415</v>
      </c>
      <c r="S38" s="22">
        <f t="shared" si="7"/>
        <v>-0.13554631582161725</v>
      </c>
      <c r="T38" s="25"/>
      <c r="U38" s="1" t="s">
        <v>111</v>
      </c>
    </row>
    <row r="39" spans="1:21">
      <c r="A39" s="6" t="s">
        <v>112</v>
      </c>
      <c r="B39" s="6" t="s">
        <v>113</v>
      </c>
      <c r="C39" s="7">
        <v>1.2418463938620981</v>
      </c>
      <c r="D39" s="7">
        <v>1.1275196747393836</v>
      </c>
      <c r="E39" s="7">
        <v>1.1815819405827066</v>
      </c>
      <c r="F39" s="8">
        <v>1.0982235884990603</v>
      </c>
      <c r="G39" s="8">
        <f t="shared" si="0"/>
        <v>1.1846830343007408</v>
      </c>
      <c r="H39" s="8">
        <f t="shared" si="1"/>
        <v>1.1399027645408835</v>
      </c>
      <c r="I39" s="8">
        <f t="shared" si="2"/>
        <v>0.96220063218319918</v>
      </c>
      <c r="J39" s="22">
        <f t="shared" si="3"/>
        <v>-5.5590347590209616E-2</v>
      </c>
      <c r="K39" s="8"/>
      <c r="L39" s="8">
        <v>1.1970964047249004</v>
      </c>
      <c r="M39" s="8">
        <v>1.1496913479727362</v>
      </c>
      <c r="N39" s="8">
        <v>1.108452110807115</v>
      </c>
      <c r="O39" s="8">
        <v>1.001526325328741</v>
      </c>
      <c r="P39" s="8">
        <f t="shared" si="4"/>
        <v>1.1733938763488183</v>
      </c>
      <c r="Q39" s="8">
        <f t="shared" si="5"/>
        <v>1.0549892180679281</v>
      </c>
      <c r="R39" s="8">
        <f t="shared" si="6"/>
        <v>0.89909214572576168</v>
      </c>
      <c r="S39" s="22">
        <f t="shared" si="7"/>
        <v>-0.15345911333105422</v>
      </c>
      <c r="T39" s="25"/>
      <c r="U39" s="1" t="s">
        <v>114</v>
      </c>
    </row>
    <row r="40" spans="1:21">
      <c r="A40" s="6" t="s">
        <v>115</v>
      </c>
      <c r="B40" s="6" t="s">
        <v>116</v>
      </c>
      <c r="C40" s="7">
        <v>1.2024160168366462</v>
      </c>
      <c r="D40" s="7">
        <v>1.1547035736820326</v>
      </c>
      <c r="E40" s="7">
        <v>1.1840438506655508</v>
      </c>
      <c r="F40" s="8">
        <v>1.1914020774804324</v>
      </c>
      <c r="G40" s="8">
        <f t="shared" si="0"/>
        <v>1.1785597952593394</v>
      </c>
      <c r="H40" s="8">
        <f t="shared" si="1"/>
        <v>1.1877229640729916</v>
      </c>
      <c r="I40" s="8">
        <f t="shared" si="2"/>
        <v>1.0077748866459812</v>
      </c>
      <c r="J40" s="22">
        <f t="shared" si="3"/>
        <v>1.117341047494786E-2</v>
      </c>
      <c r="K40" s="8"/>
      <c r="L40" s="8">
        <v>1.0253570717290656</v>
      </c>
      <c r="M40" s="8">
        <v>1.2573921499584084</v>
      </c>
      <c r="N40" s="8">
        <v>1.1879082544701343</v>
      </c>
      <c r="O40" s="8">
        <v>1.1581118478909898</v>
      </c>
      <c r="P40" s="8">
        <f t="shared" si="4"/>
        <v>1.141374610843737</v>
      </c>
      <c r="Q40" s="8">
        <f t="shared" si="5"/>
        <v>1.1730100511805621</v>
      </c>
      <c r="R40" s="8">
        <f t="shared" si="6"/>
        <v>1.0277169651718809</v>
      </c>
      <c r="S40" s="22">
        <f t="shared" si="7"/>
        <v>3.9442998806572663E-2</v>
      </c>
      <c r="T40" s="25"/>
      <c r="U40" s="1" t="s">
        <v>117</v>
      </c>
    </row>
    <row r="41" spans="1:21">
      <c r="A41" s="6" t="s">
        <v>118</v>
      </c>
      <c r="B41" s="6" t="s">
        <v>119</v>
      </c>
      <c r="C41" s="7">
        <v>1.2924289991972397</v>
      </c>
      <c r="D41" s="7">
        <v>1.3244680098875536</v>
      </c>
      <c r="E41" s="7">
        <v>1.4998360922236154</v>
      </c>
      <c r="F41" s="8">
        <v>1.5701660705365523</v>
      </c>
      <c r="G41" s="8">
        <f t="shared" si="0"/>
        <v>1.3084485045423966</v>
      </c>
      <c r="H41" s="8">
        <f t="shared" si="1"/>
        <v>1.5350010813800838</v>
      </c>
      <c r="I41" s="8">
        <f t="shared" si="2"/>
        <v>1.1731459633689745</v>
      </c>
      <c r="J41" s="22">
        <f t="shared" si="3"/>
        <v>0.23038252532529394</v>
      </c>
      <c r="K41" s="8"/>
      <c r="L41" s="8">
        <v>0.41858817143648308</v>
      </c>
      <c r="M41" s="8">
        <v>0.51242481983005461</v>
      </c>
      <c r="N41" s="8">
        <v>0.51633524478297188</v>
      </c>
      <c r="O41" s="8">
        <v>0.5764387721519616</v>
      </c>
      <c r="P41" s="8">
        <f t="shared" si="4"/>
        <v>0.46550649563326885</v>
      </c>
      <c r="Q41" s="8">
        <f t="shared" si="5"/>
        <v>0.54638700846746668</v>
      </c>
      <c r="R41" s="8">
        <f t="shared" si="6"/>
        <v>1.1737473345547393</v>
      </c>
      <c r="S41" s="22">
        <f t="shared" si="7"/>
        <v>0.23112188168818673</v>
      </c>
      <c r="T41" s="25"/>
      <c r="U41" s="1" t="s">
        <v>120</v>
      </c>
    </row>
    <row r="42" spans="1:21">
      <c r="A42" s="6" t="s">
        <v>121</v>
      </c>
      <c r="B42" s="6" t="s">
        <v>122</v>
      </c>
      <c r="C42" s="7">
        <v>1.1895799290098552</v>
      </c>
      <c r="D42" s="7">
        <v>1.1541967552271697</v>
      </c>
      <c r="E42" s="7">
        <v>1.1547977078731853</v>
      </c>
      <c r="F42" s="8">
        <v>1.1989893650488368</v>
      </c>
      <c r="G42" s="8">
        <f t="shared" si="0"/>
        <v>1.1718883421185124</v>
      </c>
      <c r="H42" s="8">
        <f t="shared" si="1"/>
        <v>1.1768935364610109</v>
      </c>
      <c r="I42" s="8">
        <f t="shared" si="2"/>
        <v>1.0042710505451826</v>
      </c>
      <c r="J42" s="22">
        <f t="shared" si="3"/>
        <v>6.1487020593594937E-3</v>
      </c>
      <c r="K42" s="8"/>
      <c r="L42" s="8">
        <v>1.2312163707873904</v>
      </c>
      <c r="M42" s="8">
        <v>1.1736739036061576</v>
      </c>
      <c r="N42" s="8">
        <v>0.96337331965744533</v>
      </c>
      <c r="O42" s="8">
        <v>0.96870103164713639</v>
      </c>
      <c r="P42" s="8">
        <f t="shared" si="4"/>
        <v>1.2024451371967739</v>
      </c>
      <c r="Q42" s="8">
        <f t="shared" si="5"/>
        <v>0.96603717565229086</v>
      </c>
      <c r="R42" s="8">
        <f t="shared" si="6"/>
        <v>0.80339397263844048</v>
      </c>
      <c r="S42" s="22">
        <f t="shared" si="7"/>
        <v>-0.31582045710026158</v>
      </c>
      <c r="T42" s="25"/>
      <c r="U42" s="1" t="s">
        <v>123</v>
      </c>
    </row>
    <row r="43" spans="1:21">
      <c r="A43" s="6" t="s">
        <v>124</v>
      </c>
      <c r="B43" s="6" t="s">
        <v>125</v>
      </c>
      <c r="C43" s="7">
        <v>1.1626649046650797</v>
      </c>
      <c r="D43" s="7">
        <v>1.1649452557049773</v>
      </c>
      <c r="E43" s="7">
        <v>1.0508376527858394</v>
      </c>
      <c r="F43" s="8">
        <v>1.1714046265066633</v>
      </c>
      <c r="G43" s="8">
        <f t="shared" si="0"/>
        <v>1.1638050801850284</v>
      </c>
      <c r="H43" s="8">
        <f t="shared" si="1"/>
        <v>1.1111211396462513</v>
      </c>
      <c r="I43" s="8">
        <f t="shared" si="2"/>
        <v>0.95473130214348167</v>
      </c>
      <c r="J43" s="22">
        <f t="shared" si="3"/>
        <v>-6.6833334105056402E-2</v>
      </c>
      <c r="K43" s="8"/>
      <c r="L43" s="8">
        <v>1.4878974895246724</v>
      </c>
      <c r="M43" s="8">
        <v>1.271700760604729</v>
      </c>
      <c r="N43" s="8">
        <v>1.5660382265160697</v>
      </c>
      <c r="O43" s="8">
        <v>1.6303081333513694</v>
      </c>
      <c r="P43" s="8">
        <f t="shared" si="4"/>
        <v>1.3797991250647006</v>
      </c>
      <c r="Q43" s="8">
        <f t="shared" si="5"/>
        <v>1.5981731799337195</v>
      </c>
      <c r="R43" s="8">
        <f t="shared" si="6"/>
        <v>1.1582651060593905</v>
      </c>
      <c r="S43" s="22">
        <f t="shared" si="7"/>
        <v>0.21196549808010273</v>
      </c>
      <c r="T43" s="25"/>
      <c r="U43" s="1" t="s">
        <v>126</v>
      </c>
    </row>
    <row r="44" spans="1:21">
      <c r="A44" s="6" t="s">
        <v>127</v>
      </c>
      <c r="B44" s="6" t="s">
        <v>128</v>
      </c>
      <c r="C44" s="7">
        <v>1.1578806054022051</v>
      </c>
      <c r="D44" s="7">
        <v>1.1625428045877697</v>
      </c>
      <c r="E44" s="7">
        <v>1.1484641912491005</v>
      </c>
      <c r="F44" s="8">
        <v>1.1489264623800943</v>
      </c>
      <c r="G44" s="8">
        <f t="shared" si="0"/>
        <v>1.1602117049949874</v>
      </c>
      <c r="H44" s="8">
        <f t="shared" si="1"/>
        <v>1.1486953268145974</v>
      </c>
      <c r="I44" s="8">
        <f t="shared" si="2"/>
        <v>0.99007389933163992</v>
      </c>
      <c r="J44" s="22">
        <f t="shared" si="3"/>
        <v>-1.4391882603873276E-2</v>
      </c>
      <c r="K44" s="8"/>
      <c r="L44" s="8">
        <v>1.1068803494203587</v>
      </c>
      <c r="M44" s="8">
        <v>0.9860435105293428</v>
      </c>
      <c r="N44" s="8">
        <v>1.0462878373645568</v>
      </c>
      <c r="O44" s="8">
        <v>1.305337725903484</v>
      </c>
      <c r="P44" s="8">
        <f t="shared" si="4"/>
        <v>1.0464619299748508</v>
      </c>
      <c r="Q44" s="8">
        <f t="shared" si="5"/>
        <v>1.1758127816340203</v>
      </c>
      <c r="R44" s="8">
        <f t="shared" si="6"/>
        <v>1.1236077949460408</v>
      </c>
      <c r="S44" s="22">
        <f t="shared" si="7"/>
        <v>0.16813853820189448</v>
      </c>
      <c r="T44" s="25"/>
      <c r="U44" s="1" t="s">
        <v>129</v>
      </c>
    </row>
    <row r="45" spans="1:21">
      <c r="A45" s="6" t="s">
        <v>130</v>
      </c>
      <c r="B45" s="6" t="s">
        <v>131</v>
      </c>
      <c r="C45" s="7">
        <v>1.1524548358471014</v>
      </c>
      <c r="D45" s="7">
        <v>1.2185100425319209</v>
      </c>
      <c r="E45" s="7">
        <v>1.2285201111758968</v>
      </c>
      <c r="F45" s="8">
        <v>1.0951754781889709</v>
      </c>
      <c r="G45" s="8">
        <f t="shared" si="0"/>
        <v>1.1854824391895111</v>
      </c>
      <c r="H45" s="8">
        <f t="shared" si="1"/>
        <v>1.1618477946824339</v>
      </c>
      <c r="I45" s="8">
        <f t="shared" si="2"/>
        <v>0.98006326899010354</v>
      </c>
      <c r="J45" s="22">
        <f t="shared" si="3"/>
        <v>-2.9053207994278598E-2</v>
      </c>
      <c r="K45" s="8"/>
      <c r="L45" s="8">
        <v>1.3132931212106131</v>
      </c>
      <c r="M45" s="8">
        <v>1.041585932318402</v>
      </c>
      <c r="N45" s="8">
        <v>1.3450048954230243</v>
      </c>
      <c r="O45" s="8">
        <v>1.3049828578636828</v>
      </c>
      <c r="P45" s="8">
        <f t="shared" si="4"/>
        <v>1.1774395267645077</v>
      </c>
      <c r="Q45" s="8">
        <f t="shared" si="5"/>
        <v>1.3249938766433536</v>
      </c>
      <c r="R45" s="8">
        <f t="shared" si="6"/>
        <v>1.1253179857859124</v>
      </c>
      <c r="S45" s="22">
        <f t="shared" si="7"/>
        <v>0.17033272739247596</v>
      </c>
      <c r="T45" s="25"/>
      <c r="U45" s="1" t="s">
        <v>132</v>
      </c>
    </row>
    <row r="46" spans="1:21">
      <c r="A46" s="6" t="s">
        <v>133</v>
      </c>
      <c r="B46" s="6" t="s">
        <v>134</v>
      </c>
      <c r="C46" s="7">
        <v>1.249624221155375</v>
      </c>
      <c r="D46" s="7">
        <v>1.2004357116610942</v>
      </c>
      <c r="E46" s="7">
        <v>1.1666958157804115</v>
      </c>
      <c r="F46" s="8">
        <v>1.2490456700762156</v>
      </c>
      <c r="G46" s="8">
        <f t="shared" si="0"/>
        <v>1.2250299664082345</v>
      </c>
      <c r="H46" s="8">
        <f t="shared" si="1"/>
        <v>1.2078707429283135</v>
      </c>
      <c r="I46" s="8">
        <f t="shared" si="2"/>
        <v>0.98599281327767718</v>
      </c>
      <c r="J46" s="22">
        <f t="shared" si="3"/>
        <v>-2.03509637876658E-2</v>
      </c>
      <c r="K46" s="8"/>
      <c r="L46" s="8">
        <v>1.1201636949866716</v>
      </c>
      <c r="M46" s="8">
        <v>1.5505899274952231</v>
      </c>
      <c r="N46" s="8">
        <v>1.1803430612486825</v>
      </c>
      <c r="O46" s="8">
        <v>1.322282674803988</v>
      </c>
      <c r="P46" s="8">
        <f t="shared" si="4"/>
        <v>1.3353768112409474</v>
      </c>
      <c r="Q46" s="8">
        <f t="shared" si="5"/>
        <v>1.2513128680263352</v>
      </c>
      <c r="R46" s="8">
        <f t="shared" si="6"/>
        <v>0.93704852255410009</v>
      </c>
      <c r="S46" s="22">
        <f t="shared" si="7"/>
        <v>-9.3804338960558051E-2</v>
      </c>
      <c r="T46" s="25"/>
      <c r="U46" s="1" t="s">
        <v>135</v>
      </c>
    </row>
    <row r="47" spans="1:21">
      <c r="A47" s="6" t="s">
        <v>136</v>
      </c>
      <c r="B47" s="6" t="s">
        <v>137</v>
      </c>
      <c r="C47" s="7">
        <v>1.1451848392018393</v>
      </c>
      <c r="D47" s="7">
        <v>1.141381488582778</v>
      </c>
      <c r="E47" s="7">
        <v>1.1458943618201589</v>
      </c>
      <c r="F47" s="8">
        <v>1.0733372852746934</v>
      </c>
      <c r="G47" s="8">
        <f t="shared" si="0"/>
        <v>1.1432831638923087</v>
      </c>
      <c r="H47" s="8">
        <f t="shared" si="1"/>
        <v>1.1096158235474261</v>
      </c>
      <c r="I47" s="8">
        <f t="shared" si="2"/>
        <v>0.97055205446193915</v>
      </c>
      <c r="J47" s="22">
        <f t="shared" si="3"/>
        <v>-4.3122502556210605E-2</v>
      </c>
      <c r="K47" s="8"/>
      <c r="L47" s="8">
        <v>1.0577189479371907</v>
      </c>
      <c r="M47" s="8">
        <v>1.2455480043848475</v>
      </c>
      <c r="N47" s="8">
        <v>0.9922939726011667</v>
      </c>
      <c r="O47" s="8">
        <v>1.1916468776521967</v>
      </c>
      <c r="P47" s="8">
        <f t="shared" si="4"/>
        <v>1.151633476161019</v>
      </c>
      <c r="Q47" s="8">
        <f t="shared" si="5"/>
        <v>1.0919704251266817</v>
      </c>
      <c r="R47" s="8">
        <f t="shared" si="6"/>
        <v>0.94819267391112616</v>
      </c>
      <c r="S47" s="22">
        <f t="shared" si="7"/>
        <v>-7.6747848577872091E-2</v>
      </c>
      <c r="T47" s="25"/>
      <c r="U47" s="1" t="s">
        <v>138</v>
      </c>
    </row>
    <row r="48" spans="1:21">
      <c r="A48" s="6" t="s">
        <v>139</v>
      </c>
      <c r="B48" s="13" t="s">
        <v>140</v>
      </c>
      <c r="C48" s="14">
        <v>4.7655897126846834E-2</v>
      </c>
      <c r="D48" s="14">
        <v>5.442045434814085E-2</v>
      </c>
      <c r="E48" s="14">
        <v>0.59504703950306514</v>
      </c>
      <c r="F48" s="8">
        <v>0.57995246880475382</v>
      </c>
      <c r="G48" s="8">
        <f t="shared" si="0"/>
        <v>5.1038175737493842E-2</v>
      </c>
      <c r="H48" s="8">
        <f t="shared" si="1"/>
        <v>0.58749975415390954</v>
      </c>
      <c r="I48" s="8">
        <f t="shared" si="2"/>
        <v>11.510986544182424</v>
      </c>
      <c r="J48" s="22">
        <f t="shared" si="3"/>
        <v>3.5249395792182314</v>
      </c>
      <c r="K48" s="8"/>
      <c r="L48" s="8">
        <v>0.41826259924123027</v>
      </c>
      <c r="M48" s="8">
        <v>0.41300020652156005</v>
      </c>
      <c r="N48" s="8">
        <v>0.67658765205109617</v>
      </c>
      <c r="O48" s="8">
        <v>0.44123404898773083</v>
      </c>
      <c r="P48" s="8">
        <f t="shared" si="4"/>
        <v>0.41563140288139516</v>
      </c>
      <c r="Q48" s="8">
        <f t="shared" si="5"/>
        <v>0.55891085051941347</v>
      </c>
      <c r="R48" s="8">
        <f t="shared" si="6"/>
        <v>1.3447271949249335</v>
      </c>
      <c r="S48" s="22">
        <f t="shared" si="7"/>
        <v>0.42731352263431577</v>
      </c>
      <c r="T48" s="25"/>
      <c r="U48" s="1" t="s">
        <v>141</v>
      </c>
    </row>
    <row r="49" spans="1:21">
      <c r="A49" s="6" t="s">
        <v>142</v>
      </c>
      <c r="B49" s="6" t="s">
        <v>143</v>
      </c>
      <c r="C49" s="7">
        <v>1.119853444641004</v>
      </c>
      <c r="D49" s="7">
        <v>1.1973158162376523</v>
      </c>
      <c r="E49" s="7">
        <v>1.2285808158080764</v>
      </c>
      <c r="F49" s="8">
        <v>1.1514863472292605</v>
      </c>
      <c r="G49" s="8">
        <f t="shared" si="0"/>
        <v>1.1585846304393281</v>
      </c>
      <c r="H49" s="8">
        <f t="shared" si="1"/>
        <v>1.1900335815186684</v>
      </c>
      <c r="I49" s="8">
        <f t="shared" si="2"/>
        <v>1.0271442847186874</v>
      </c>
      <c r="J49" s="22">
        <f t="shared" si="3"/>
        <v>3.8638853737146539E-2</v>
      </c>
      <c r="K49" s="8"/>
      <c r="L49" s="8">
        <v>0.81301888598521077</v>
      </c>
      <c r="M49" s="8">
        <v>0.83556400884785875</v>
      </c>
      <c r="N49" s="8">
        <v>0.82421699405828375</v>
      </c>
      <c r="O49" s="8">
        <v>0.82085413456499035</v>
      </c>
      <c r="P49" s="8">
        <f t="shared" si="4"/>
        <v>0.82429144741653482</v>
      </c>
      <c r="Q49" s="8">
        <f t="shared" si="5"/>
        <v>0.82253556431163699</v>
      </c>
      <c r="R49" s="8">
        <f t="shared" si="6"/>
        <v>0.99786982734031626</v>
      </c>
      <c r="S49" s="22">
        <f t="shared" si="7"/>
        <v>-3.0764674002999501E-3</v>
      </c>
      <c r="T49" s="25"/>
      <c r="U49" s="1" t="s">
        <v>144</v>
      </c>
    </row>
    <row r="50" spans="1:21">
      <c r="A50" s="6" t="s">
        <v>145</v>
      </c>
      <c r="B50" s="6" t="s">
        <v>146</v>
      </c>
      <c r="C50" s="7">
        <v>1.1211965230653587</v>
      </c>
      <c r="D50" s="7">
        <v>1.0493511556490931</v>
      </c>
      <c r="E50" s="7">
        <v>1.0556198288097756</v>
      </c>
      <c r="F50" s="8">
        <v>1.0906494962133835</v>
      </c>
      <c r="G50" s="8">
        <f t="shared" si="0"/>
        <v>1.0852738393572259</v>
      </c>
      <c r="H50" s="8">
        <f t="shared" si="1"/>
        <v>1.0731346625115794</v>
      </c>
      <c r="I50" s="8">
        <f t="shared" si="2"/>
        <v>0.98881464160894528</v>
      </c>
      <c r="J50" s="22">
        <f t="shared" si="3"/>
        <v>-1.6227989165072974E-2</v>
      </c>
      <c r="K50" s="8"/>
      <c r="L50" s="8">
        <v>1.3265113523378755</v>
      </c>
      <c r="M50" s="8">
        <v>1.4160374911347078</v>
      </c>
      <c r="N50" s="8">
        <v>1.1616246117350331</v>
      </c>
      <c r="O50" s="8">
        <v>1.2321461926945008</v>
      </c>
      <c r="P50" s="8">
        <f t="shared" si="4"/>
        <v>1.3712744217362918</v>
      </c>
      <c r="Q50" s="8">
        <f t="shared" si="5"/>
        <v>1.1968854022147668</v>
      </c>
      <c r="R50" s="8">
        <f t="shared" si="6"/>
        <v>0.87282704558820867</v>
      </c>
      <c r="S50" s="22">
        <f t="shared" si="7"/>
        <v>-0.19623228890473499</v>
      </c>
      <c r="T50" s="25"/>
      <c r="U50" s="1" t="s">
        <v>147</v>
      </c>
    </row>
    <row r="51" spans="1:21">
      <c r="A51" s="6" t="s">
        <v>148</v>
      </c>
      <c r="B51" s="6" t="s">
        <v>80</v>
      </c>
      <c r="C51" s="7">
        <v>1.1140133921888358</v>
      </c>
      <c r="D51" s="7">
        <v>1.0887579360291513</v>
      </c>
      <c r="E51" s="7">
        <v>0.98333410180198433</v>
      </c>
      <c r="F51" s="8">
        <v>0.94529685932684338</v>
      </c>
      <c r="G51" s="8">
        <f t="shared" si="0"/>
        <v>1.1013856641089936</v>
      </c>
      <c r="H51" s="8">
        <f t="shared" si="1"/>
        <v>0.96431548056441385</v>
      </c>
      <c r="I51" s="8">
        <f t="shared" si="2"/>
        <v>0.87554751436185818</v>
      </c>
      <c r="J51" s="22">
        <f t="shared" si="3"/>
        <v>-0.19174262168348877</v>
      </c>
      <c r="K51" s="8"/>
      <c r="L51" s="8">
        <v>1.6279260907028876</v>
      </c>
      <c r="M51" s="8">
        <v>1.1979875067866663</v>
      </c>
      <c r="N51" s="8">
        <v>1.3111128297909203</v>
      </c>
      <c r="O51" s="8">
        <v>1.3476557396497688</v>
      </c>
      <c r="P51" s="8">
        <f t="shared" si="4"/>
        <v>1.4129567987447769</v>
      </c>
      <c r="Q51" s="8">
        <f t="shared" si="5"/>
        <v>1.3293842847203445</v>
      </c>
      <c r="R51" s="8">
        <f t="shared" si="6"/>
        <v>0.94085274645433226</v>
      </c>
      <c r="S51" s="22">
        <f t="shared" si="7"/>
        <v>-8.7959151512661385E-2</v>
      </c>
      <c r="T51" s="25"/>
      <c r="U51" s="1">
        <v>0</v>
      </c>
    </row>
    <row r="52" spans="1:21">
      <c r="A52" s="6" t="s">
        <v>149</v>
      </c>
      <c r="B52" s="6" t="s">
        <v>80</v>
      </c>
      <c r="C52" s="7">
        <v>1.1466081014127223</v>
      </c>
      <c r="D52" s="7">
        <v>1.3255935417808207</v>
      </c>
      <c r="E52" s="7">
        <v>1.0750318211890257</v>
      </c>
      <c r="F52" s="8">
        <v>1.5331928883336485</v>
      </c>
      <c r="G52" s="8">
        <f t="shared" si="0"/>
        <v>1.2361008215967715</v>
      </c>
      <c r="H52" s="8">
        <f t="shared" si="1"/>
        <v>1.3041123547613371</v>
      </c>
      <c r="I52" s="8">
        <f t="shared" si="2"/>
        <v>1.0550210241561928</v>
      </c>
      <c r="J52" s="22">
        <f t="shared" si="3"/>
        <v>7.7271748831662393E-2</v>
      </c>
      <c r="K52" s="8"/>
      <c r="L52" s="8">
        <v>1.6716504365253342</v>
      </c>
      <c r="M52" s="8">
        <v>1.6821629359319545</v>
      </c>
      <c r="N52" s="8">
        <v>1.488397729226199</v>
      </c>
      <c r="O52" s="8">
        <v>1.9033790899783394</v>
      </c>
      <c r="P52" s="8">
        <f t="shared" si="4"/>
        <v>1.6769066862286444</v>
      </c>
      <c r="Q52" s="8">
        <f t="shared" si="5"/>
        <v>1.6958884096022691</v>
      </c>
      <c r="R52" s="8">
        <f t="shared" si="6"/>
        <v>1.0113194869634128</v>
      </c>
      <c r="S52" s="22">
        <f t="shared" si="7"/>
        <v>1.623883249796795E-2</v>
      </c>
      <c r="T52" s="25"/>
      <c r="U52" s="1">
        <v>0</v>
      </c>
    </row>
    <row r="53" spans="1:21">
      <c r="A53" s="6" t="s">
        <v>150</v>
      </c>
      <c r="B53" s="6" t="s">
        <v>151</v>
      </c>
      <c r="C53" s="7">
        <v>0.93362660042826973</v>
      </c>
      <c r="D53" s="7">
        <v>0.87067461310741068</v>
      </c>
      <c r="E53" s="7">
        <v>0.73205064937357511</v>
      </c>
      <c r="F53" s="8">
        <v>0.53968706356129892</v>
      </c>
      <c r="G53" s="8">
        <f t="shared" si="0"/>
        <v>0.9021506067678402</v>
      </c>
      <c r="H53" s="8">
        <f t="shared" si="1"/>
        <v>0.63586885646743707</v>
      </c>
      <c r="I53" s="8">
        <f t="shared" si="2"/>
        <v>0.70483669987828523</v>
      </c>
      <c r="J53" s="22">
        <f t="shared" si="3"/>
        <v>-0.50463904952525085</v>
      </c>
      <c r="K53" s="8"/>
      <c r="L53" s="8">
        <v>0.85023178790260212</v>
      </c>
      <c r="M53" s="8">
        <v>1.347473865826889</v>
      </c>
      <c r="N53" s="8">
        <v>1.3160842424793029</v>
      </c>
      <c r="O53" s="8">
        <v>0.74158548617441278</v>
      </c>
      <c r="P53" s="8">
        <f t="shared" si="4"/>
        <v>1.0988528268647455</v>
      </c>
      <c r="Q53" s="8">
        <f t="shared" si="5"/>
        <v>1.0288348643268579</v>
      </c>
      <c r="R53" s="8">
        <f t="shared" si="6"/>
        <v>0.93628085506440084</v>
      </c>
      <c r="S53" s="22">
        <f t="shared" si="7"/>
        <v>-9.4986736627157384E-2</v>
      </c>
      <c r="T53" s="25"/>
      <c r="U53" s="1" t="s">
        <v>152</v>
      </c>
    </row>
    <row r="54" spans="1:21">
      <c r="A54" s="6" t="s">
        <v>153</v>
      </c>
      <c r="B54" s="6" t="s">
        <v>154</v>
      </c>
      <c r="C54" s="7">
        <v>1.1061620630912412</v>
      </c>
      <c r="D54" s="7">
        <v>1.122504146653597</v>
      </c>
      <c r="E54" s="7">
        <v>1.0431686342538007</v>
      </c>
      <c r="F54" s="8">
        <v>1.1050785378760797</v>
      </c>
      <c r="G54" s="8">
        <f t="shared" si="0"/>
        <v>1.114333104872419</v>
      </c>
      <c r="H54" s="8">
        <f t="shared" si="1"/>
        <v>1.0741235860649403</v>
      </c>
      <c r="I54" s="8">
        <f t="shared" si="2"/>
        <v>0.96391606905362259</v>
      </c>
      <c r="J54" s="22">
        <f t="shared" si="3"/>
        <v>-5.3020562572840317E-2</v>
      </c>
      <c r="K54" s="8"/>
      <c r="L54" s="8">
        <v>1.1291494875756478</v>
      </c>
      <c r="M54" s="8">
        <v>1.1080161401005482</v>
      </c>
      <c r="N54" s="8">
        <v>1.1467103736698854</v>
      </c>
      <c r="O54" s="8">
        <v>1.3604309890826094</v>
      </c>
      <c r="P54" s="8">
        <f t="shared" si="4"/>
        <v>1.118582813838098</v>
      </c>
      <c r="Q54" s="8">
        <f t="shared" si="5"/>
        <v>1.2535706813762473</v>
      </c>
      <c r="R54" s="8">
        <f t="shared" si="6"/>
        <v>1.1206775804779057</v>
      </c>
      <c r="S54" s="22">
        <f t="shared" si="7"/>
        <v>0.16437127372622845</v>
      </c>
      <c r="T54" s="25"/>
      <c r="U54" s="1" t="s">
        <v>155</v>
      </c>
    </row>
    <row r="55" spans="1:21">
      <c r="A55" s="6" t="s">
        <v>156</v>
      </c>
      <c r="B55" s="6" t="s">
        <v>157</v>
      </c>
      <c r="C55" s="7">
        <v>1.2292775853237359</v>
      </c>
      <c r="D55" s="7">
        <v>1.1864422566605928</v>
      </c>
      <c r="E55" s="7">
        <v>1.1786209035241622</v>
      </c>
      <c r="F55" s="8">
        <v>1.1083773585579948</v>
      </c>
      <c r="G55" s="8">
        <f t="shared" si="0"/>
        <v>1.2078599209921643</v>
      </c>
      <c r="H55" s="8">
        <f t="shared" si="1"/>
        <v>1.1434991310410785</v>
      </c>
      <c r="I55" s="8">
        <f t="shared" si="2"/>
        <v>0.94671502147515718</v>
      </c>
      <c r="J55" s="22">
        <f t="shared" si="3"/>
        <v>-7.8997881419925919E-2</v>
      </c>
      <c r="K55" s="8"/>
      <c r="L55" s="8">
        <v>0.90310471241165147</v>
      </c>
      <c r="M55" s="8">
        <v>0.84472299098393544</v>
      </c>
      <c r="N55" s="8">
        <v>1.0724417910730044</v>
      </c>
      <c r="O55" s="8">
        <v>1.1201853261372441</v>
      </c>
      <c r="P55" s="8">
        <f t="shared" si="4"/>
        <v>0.87391385169779345</v>
      </c>
      <c r="Q55" s="8">
        <f t="shared" si="5"/>
        <v>1.0963135586051242</v>
      </c>
      <c r="R55" s="8">
        <f t="shared" si="6"/>
        <v>1.2544869914526064</v>
      </c>
      <c r="S55" s="22">
        <f t="shared" si="7"/>
        <v>0.32709751063220416</v>
      </c>
      <c r="T55" s="25"/>
      <c r="U55" s="1" t="s">
        <v>158</v>
      </c>
    </row>
    <row r="56" spans="1:21">
      <c r="A56" s="6" t="s">
        <v>159</v>
      </c>
      <c r="B56" s="6" t="s">
        <v>160</v>
      </c>
      <c r="C56" s="7">
        <v>8.7012772347980855E-2</v>
      </c>
      <c r="D56" s="7">
        <v>8.8745886063858609E-2</v>
      </c>
      <c r="E56" s="7">
        <v>8.1411656712143329E-2</v>
      </c>
      <c r="F56" s="8">
        <v>8.7992742869401522E-2</v>
      </c>
      <c r="G56" s="8">
        <f t="shared" si="0"/>
        <v>8.7879329205919732E-2</v>
      </c>
      <c r="H56" s="8">
        <f t="shared" si="1"/>
        <v>8.4702199790772426E-2</v>
      </c>
      <c r="I56" s="8">
        <f t="shared" si="2"/>
        <v>0.96384668108125149</v>
      </c>
      <c r="J56" s="22">
        <f t="shared" si="3"/>
        <v>-5.3124419423143457E-2</v>
      </c>
      <c r="K56" s="8"/>
      <c r="L56" s="8">
        <v>0.26345302039853941</v>
      </c>
      <c r="M56" s="8">
        <v>0.26145399607723985</v>
      </c>
      <c r="N56" s="8">
        <v>0.31012969240397187</v>
      </c>
      <c r="O56" s="8">
        <v>0.35034347229366625</v>
      </c>
      <c r="P56" s="8">
        <f t="shared" si="4"/>
        <v>0.2624535082378896</v>
      </c>
      <c r="Q56" s="8">
        <f t="shared" si="5"/>
        <v>0.33023658234881903</v>
      </c>
      <c r="R56" s="8">
        <f t="shared" si="6"/>
        <v>1.2582669767534234</v>
      </c>
      <c r="S56" s="22">
        <f t="shared" si="7"/>
        <v>0.3314380630545618</v>
      </c>
      <c r="T56" s="25"/>
      <c r="U56" s="1" t="s">
        <v>161</v>
      </c>
    </row>
    <row r="57" spans="1:21">
      <c r="A57" s="6" t="s">
        <v>162</v>
      </c>
      <c r="B57" s="9" t="s">
        <v>163</v>
      </c>
      <c r="C57" s="10">
        <v>1.33453885108919</v>
      </c>
      <c r="D57" s="10">
        <v>1.3785791075164924</v>
      </c>
      <c r="E57" s="10">
        <v>1.3437577379304093</v>
      </c>
      <c r="F57" s="8">
        <v>1.3397500435461511</v>
      </c>
      <c r="G57" s="8">
        <f t="shared" si="0"/>
        <v>1.3565589793028412</v>
      </c>
      <c r="H57" s="8">
        <f t="shared" si="1"/>
        <v>1.3417538907382802</v>
      </c>
      <c r="I57" s="8">
        <f t="shared" si="2"/>
        <v>0.98908629201498521</v>
      </c>
      <c r="J57" s="22">
        <f t="shared" si="3"/>
        <v>-1.583170167721035E-2</v>
      </c>
      <c r="K57" s="8"/>
      <c r="L57" s="8">
        <v>1.2244770263456581</v>
      </c>
      <c r="M57" s="8">
        <v>1.2714800622400042</v>
      </c>
      <c r="N57" s="8">
        <v>1.0778022708413475</v>
      </c>
      <c r="O57" s="8">
        <v>1.4699077793612583</v>
      </c>
      <c r="P57" s="8">
        <f t="shared" si="4"/>
        <v>1.2479785442928311</v>
      </c>
      <c r="Q57" s="8">
        <f t="shared" si="5"/>
        <v>1.273855025101303</v>
      </c>
      <c r="R57" s="8">
        <f t="shared" si="6"/>
        <v>1.0207347160949269</v>
      </c>
      <c r="S57" s="22">
        <f t="shared" si="7"/>
        <v>2.9607965624160341E-2</v>
      </c>
      <c r="T57" s="25"/>
      <c r="U57" s="1" t="s">
        <v>164</v>
      </c>
    </row>
    <row r="58" spans="1:21">
      <c r="A58" s="6" t="s">
        <v>165</v>
      </c>
      <c r="B58" s="6" t="s">
        <v>166</v>
      </c>
      <c r="C58" s="7">
        <v>0.29782931109616056</v>
      </c>
      <c r="D58" s="7">
        <v>0.31071262312026326</v>
      </c>
      <c r="E58" s="7">
        <v>0.40223563778199395</v>
      </c>
      <c r="F58" s="8">
        <v>0.49021135097393731</v>
      </c>
      <c r="G58" s="8">
        <f t="shared" si="0"/>
        <v>0.30427096710821189</v>
      </c>
      <c r="H58" s="8">
        <f t="shared" si="1"/>
        <v>0.4462234943779656</v>
      </c>
      <c r="I58" s="8">
        <f t="shared" si="2"/>
        <v>1.4665332634883606</v>
      </c>
      <c r="J58" s="22">
        <f t="shared" si="3"/>
        <v>0.55240979426258718</v>
      </c>
      <c r="K58" s="8"/>
      <c r="L58" s="8">
        <v>1.2863683006632094</v>
      </c>
      <c r="M58" s="8">
        <v>1.3287512878860737</v>
      </c>
      <c r="N58" s="8">
        <v>1.5035713453446538</v>
      </c>
      <c r="O58" s="8">
        <v>1.6312396619558474</v>
      </c>
      <c r="P58" s="8">
        <f t="shared" si="4"/>
        <v>1.3075597942746415</v>
      </c>
      <c r="Q58" s="8">
        <f t="shared" si="5"/>
        <v>1.5674055036502506</v>
      </c>
      <c r="R58" s="8">
        <f t="shared" si="6"/>
        <v>1.198725680090031</v>
      </c>
      <c r="S58" s="22">
        <f t="shared" si="7"/>
        <v>0.26150154594670399</v>
      </c>
      <c r="T58" s="25"/>
      <c r="U58" s="1" t="s">
        <v>167</v>
      </c>
    </row>
    <row r="59" spans="1:21">
      <c r="A59" s="6" t="s">
        <v>168</v>
      </c>
      <c r="B59" s="6" t="s">
        <v>169</v>
      </c>
      <c r="C59" s="7">
        <v>1.1883838541941367</v>
      </c>
      <c r="D59" s="7">
        <v>1.1099258340919984</v>
      </c>
      <c r="E59" s="7">
        <v>1.1390752081386364</v>
      </c>
      <c r="F59" s="8">
        <v>1.0742741503483573</v>
      </c>
      <c r="G59" s="8">
        <f t="shared" si="0"/>
        <v>1.1491548441430677</v>
      </c>
      <c r="H59" s="8">
        <f t="shared" si="1"/>
        <v>1.1066746792434969</v>
      </c>
      <c r="I59" s="8">
        <f t="shared" si="2"/>
        <v>0.96303355886625663</v>
      </c>
      <c r="J59" s="22">
        <f t="shared" si="3"/>
        <v>-5.4342022294896486E-2</v>
      </c>
      <c r="K59" s="8"/>
      <c r="L59" s="8">
        <v>0.80693068593398398</v>
      </c>
      <c r="M59" s="8">
        <v>1.3073435465077741</v>
      </c>
      <c r="N59" s="8">
        <v>0.85201367543767514</v>
      </c>
      <c r="O59" s="8">
        <v>0.85984526043813958</v>
      </c>
      <c r="P59" s="8">
        <f t="shared" si="4"/>
        <v>1.0571371162208791</v>
      </c>
      <c r="Q59" s="8">
        <f t="shared" si="5"/>
        <v>0.85592946793790736</v>
      </c>
      <c r="R59" s="8">
        <f t="shared" si="6"/>
        <v>0.80966740719287045</v>
      </c>
      <c r="S59" s="22">
        <f t="shared" si="7"/>
        <v>-0.3045986912500625</v>
      </c>
      <c r="T59" s="25"/>
      <c r="U59" s="1" t="s">
        <v>170</v>
      </c>
    </row>
    <row r="60" spans="1:21">
      <c r="A60" s="6" t="s">
        <v>171</v>
      </c>
      <c r="B60" s="6" t="s">
        <v>172</v>
      </c>
      <c r="C60" s="7">
        <v>1.174639016786688</v>
      </c>
      <c r="D60" s="7">
        <v>1.0928322298416209</v>
      </c>
      <c r="E60" s="7">
        <v>1.1877535781876454</v>
      </c>
      <c r="F60" s="8">
        <v>1.1194416031251377</v>
      </c>
      <c r="G60" s="8">
        <f t="shared" si="0"/>
        <v>1.1337356233141545</v>
      </c>
      <c r="H60" s="8">
        <f t="shared" si="1"/>
        <v>1.1535975906563916</v>
      </c>
      <c r="I60" s="8">
        <f t="shared" si="2"/>
        <v>1.0175190467105339</v>
      </c>
      <c r="J60" s="22">
        <f t="shared" si="3"/>
        <v>2.5055800228768677E-2</v>
      </c>
      <c r="K60" s="8"/>
      <c r="L60" s="8">
        <v>1.2062449834115032</v>
      </c>
      <c r="M60" s="8">
        <v>1.0568876856059837</v>
      </c>
      <c r="N60" s="8">
        <v>0.75055362691911898</v>
      </c>
      <c r="O60" s="8">
        <v>0.79286391792567612</v>
      </c>
      <c r="P60" s="8">
        <f t="shared" si="4"/>
        <v>1.1315663345087434</v>
      </c>
      <c r="Q60" s="8">
        <f t="shared" si="5"/>
        <v>0.77170877242239755</v>
      </c>
      <c r="R60" s="8">
        <f t="shared" si="6"/>
        <v>0.68198279578317966</v>
      </c>
      <c r="S60" s="22">
        <f t="shared" si="7"/>
        <v>-0.55219274970148657</v>
      </c>
      <c r="T60" s="25"/>
      <c r="U60" s="1" t="s">
        <v>173</v>
      </c>
    </row>
    <row r="61" spans="1:21">
      <c r="A61" s="6" t="s">
        <v>174</v>
      </c>
      <c r="B61" s="6" t="s">
        <v>175</v>
      </c>
      <c r="C61" s="7">
        <v>1.0531538982136086</v>
      </c>
      <c r="D61" s="7">
        <v>1.1459296905608338</v>
      </c>
      <c r="E61" s="7">
        <v>0.99511754540398223</v>
      </c>
      <c r="F61" s="8">
        <v>1.0755474951315764</v>
      </c>
      <c r="G61" s="8">
        <f t="shared" si="0"/>
        <v>1.0995417943872212</v>
      </c>
      <c r="H61" s="8">
        <f t="shared" si="1"/>
        <v>1.0353325202677794</v>
      </c>
      <c r="I61" s="8">
        <f t="shared" si="2"/>
        <v>0.94160360756889117</v>
      </c>
      <c r="J61" s="22">
        <f t="shared" si="3"/>
        <v>-8.6808247098326033E-2</v>
      </c>
      <c r="K61" s="8"/>
      <c r="L61" s="8">
        <v>1.3428550765395644</v>
      </c>
      <c r="M61" s="8">
        <v>1.2932556342261783</v>
      </c>
      <c r="N61" s="8">
        <v>1.2442797513888377</v>
      </c>
      <c r="O61" s="8">
        <v>1.4584632850776718</v>
      </c>
      <c r="P61" s="8">
        <f t="shared" si="4"/>
        <v>1.3180553553828713</v>
      </c>
      <c r="Q61" s="8">
        <f t="shared" si="5"/>
        <v>1.3513715182332549</v>
      </c>
      <c r="R61" s="8">
        <f t="shared" si="6"/>
        <v>1.0252767554217825</v>
      </c>
      <c r="S61" s="22">
        <f t="shared" si="7"/>
        <v>3.6013392444129655E-2</v>
      </c>
      <c r="T61" s="25"/>
      <c r="U61" s="1" t="s">
        <v>176</v>
      </c>
    </row>
    <row r="62" spans="1:21">
      <c r="A62" s="6" t="s">
        <v>177</v>
      </c>
      <c r="B62" s="6" t="s">
        <v>178</v>
      </c>
      <c r="C62" s="7">
        <v>1.0644464481497233</v>
      </c>
      <c r="D62" s="7">
        <v>1.0309082295383662</v>
      </c>
      <c r="E62" s="7">
        <v>1.0714435029312908</v>
      </c>
      <c r="F62" s="8">
        <v>1.061553897798893</v>
      </c>
      <c r="G62" s="8">
        <f t="shared" si="0"/>
        <v>1.0476773388440448</v>
      </c>
      <c r="H62" s="8">
        <f t="shared" si="1"/>
        <v>1.0664987003650919</v>
      </c>
      <c r="I62" s="8">
        <f t="shared" si="2"/>
        <v>1.0179648454950965</v>
      </c>
      <c r="J62" s="22">
        <f t="shared" si="3"/>
        <v>2.5687740091784855E-2</v>
      </c>
      <c r="K62" s="8"/>
      <c r="L62" s="8">
        <v>1.1352051304073494</v>
      </c>
      <c r="M62" s="8">
        <v>1.2669557457631471</v>
      </c>
      <c r="N62" s="8">
        <v>1.4162906304068756</v>
      </c>
      <c r="O62" s="8">
        <v>0.91276495687348314</v>
      </c>
      <c r="P62" s="8">
        <f t="shared" si="4"/>
        <v>1.2010804380852482</v>
      </c>
      <c r="Q62" s="8">
        <f t="shared" si="5"/>
        <v>1.1645277936401794</v>
      </c>
      <c r="R62" s="8">
        <f t="shared" si="6"/>
        <v>0.96956686389519364</v>
      </c>
      <c r="S62" s="22">
        <f t="shared" si="7"/>
        <v>-4.4587701058935246E-2</v>
      </c>
      <c r="T62" s="25"/>
      <c r="U62" s="1" t="s">
        <v>179</v>
      </c>
    </row>
    <row r="63" spans="1:21">
      <c r="A63" s="6" t="s">
        <v>180</v>
      </c>
      <c r="B63" s="6" t="s">
        <v>181</v>
      </c>
      <c r="C63" s="7">
        <v>0.27706171038524635</v>
      </c>
      <c r="D63" s="7">
        <v>0.27056865226040466</v>
      </c>
      <c r="E63" s="7">
        <v>0.53313505963887597</v>
      </c>
      <c r="F63" s="8">
        <v>0.53494995706206894</v>
      </c>
      <c r="G63" s="8">
        <f t="shared" si="0"/>
        <v>0.27381518132282551</v>
      </c>
      <c r="H63" s="8">
        <f t="shared" si="1"/>
        <v>0.53404250835047251</v>
      </c>
      <c r="I63" s="8">
        <f t="shared" si="2"/>
        <v>1.9503758183547955</v>
      </c>
      <c r="J63" s="22">
        <f t="shared" si="3"/>
        <v>0.963752143993298</v>
      </c>
      <c r="K63" s="8"/>
      <c r="L63" s="8">
        <v>0.61301988644143579</v>
      </c>
      <c r="M63" s="8">
        <v>0.80025227049190073</v>
      </c>
      <c r="N63" s="8">
        <v>0.56280714600046133</v>
      </c>
      <c r="O63" s="8">
        <v>0.5989728926793334</v>
      </c>
      <c r="P63" s="8">
        <f t="shared" si="4"/>
        <v>0.70663607846666832</v>
      </c>
      <c r="Q63" s="8">
        <f t="shared" si="5"/>
        <v>0.58089001933989737</v>
      </c>
      <c r="R63" s="8">
        <f t="shared" si="6"/>
        <v>0.82204976089017745</v>
      </c>
      <c r="S63" s="22">
        <f t="shared" si="7"/>
        <v>-0.282702368113457</v>
      </c>
      <c r="T63" s="25"/>
      <c r="U63" s="1" t="s">
        <v>182</v>
      </c>
    </row>
    <row r="64" spans="1:21">
      <c r="A64" s="6" t="s">
        <v>183</v>
      </c>
      <c r="B64" s="6" t="s">
        <v>184</v>
      </c>
      <c r="C64" s="7">
        <v>1.2246536536339185</v>
      </c>
      <c r="D64" s="7">
        <v>1.1500368946625803</v>
      </c>
      <c r="E64" s="7">
        <v>1.2561069940220164</v>
      </c>
      <c r="F64" s="8">
        <v>1.2625312490238842</v>
      </c>
      <c r="G64" s="8">
        <f t="shared" si="0"/>
        <v>1.1873452741482495</v>
      </c>
      <c r="H64" s="8">
        <f t="shared" si="1"/>
        <v>1.2593191215229504</v>
      </c>
      <c r="I64" s="8">
        <f t="shared" si="2"/>
        <v>1.0606174538626365</v>
      </c>
      <c r="J64" s="22">
        <f t="shared" si="3"/>
        <v>8.4904395241191713E-2</v>
      </c>
      <c r="K64" s="8"/>
      <c r="L64" s="8">
        <v>0.72840267243901646</v>
      </c>
      <c r="M64" s="8">
        <v>1.1428496986662693</v>
      </c>
      <c r="N64" s="8">
        <v>1.1614949227083797</v>
      </c>
      <c r="O64" s="8">
        <v>0.68720195907488946</v>
      </c>
      <c r="P64" s="8">
        <f t="shared" si="4"/>
        <v>0.93562618555264288</v>
      </c>
      <c r="Q64" s="8">
        <f t="shared" si="5"/>
        <v>0.92434844089163459</v>
      </c>
      <c r="R64" s="8">
        <f t="shared" si="6"/>
        <v>0.98794631356501972</v>
      </c>
      <c r="S64" s="22">
        <f t="shared" si="7"/>
        <v>-1.7495449087459258E-2</v>
      </c>
      <c r="T64" s="25"/>
      <c r="U64" s="1" t="s">
        <v>185</v>
      </c>
    </row>
    <row r="65" spans="1:21">
      <c r="A65" s="6" t="s">
        <v>186</v>
      </c>
      <c r="B65" s="6" t="s">
        <v>187</v>
      </c>
      <c r="C65" s="7">
        <v>1.1052332675639513</v>
      </c>
      <c r="D65" s="7">
        <v>1.1371689715553457</v>
      </c>
      <c r="E65" s="7">
        <v>1.0933915999438271</v>
      </c>
      <c r="F65" s="8">
        <v>1.1508661689410604</v>
      </c>
      <c r="G65" s="8">
        <f t="shared" si="0"/>
        <v>1.1212011195596485</v>
      </c>
      <c r="H65" s="8">
        <f t="shared" si="1"/>
        <v>1.1221288844424437</v>
      </c>
      <c r="I65" s="8">
        <f t="shared" si="2"/>
        <v>1.0008274740959584</v>
      </c>
      <c r="J65" s="22">
        <f t="shared" si="3"/>
        <v>1.1932991307044057E-3</v>
      </c>
      <c r="K65" s="8"/>
      <c r="L65" s="8">
        <v>1.0945086060007534</v>
      </c>
      <c r="M65" s="8">
        <v>1.0618533988122905</v>
      </c>
      <c r="N65" s="8">
        <v>1.0890852161601983</v>
      </c>
      <c r="O65" s="8">
        <v>1.0030345144978958</v>
      </c>
      <c r="P65" s="8">
        <f t="shared" si="4"/>
        <v>1.0781810024065219</v>
      </c>
      <c r="Q65" s="8">
        <f t="shared" si="5"/>
        <v>1.0460598653290472</v>
      </c>
      <c r="R65" s="8">
        <f t="shared" si="6"/>
        <v>0.97020802907324488</v>
      </c>
      <c r="S65" s="22">
        <f t="shared" si="7"/>
        <v>-4.3633976108885475E-2</v>
      </c>
      <c r="T65" s="25"/>
      <c r="U65" s="1" t="s">
        <v>188</v>
      </c>
    </row>
    <row r="66" spans="1:21">
      <c r="A66" s="6" t="s">
        <v>189</v>
      </c>
      <c r="B66" s="6" t="s">
        <v>190</v>
      </c>
      <c r="C66" s="7">
        <v>1.3838117879110308</v>
      </c>
      <c r="D66" s="7">
        <v>1.3500195584820727</v>
      </c>
      <c r="E66" s="7">
        <v>1.2661569831273267</v>
      </c>
      <c r="F66" s="8">
        <v>1.3489801438141495</v>
      </c>
      <c r="G66" s="8">
        <f t="shared" si="0"/>
        <v>1.3669156731965517</v>
      </c>
      <c r="H66" s="8">
        <f t="shared" si="1"/>
        <v>1.3075685634707381</v>
      </c>
      <c r="I66" s="8">
        <f t="shared" si="2"/>
        <v>0.95658319610380238</v>
      </c>
      <c r="J66" s="22">
        <f t="shared" si="3"/>
        <v>-6.4037646559843758E-2</v>
      </c>
      <c r="K66" s="8"/>
      <c r="L66" s="8">
        <v>0.80334939178620357</v>
      </c>
      <c r="M66" s="8">
        <v>1.1971414963885549</v>
      </c>
      <c r="N66" s="8">
        <v>0.67719286750881225</v>
      </c>
      <c r="O66" s="8">
        <v>0.54179477976637624</v>
      </c>
      <c r="P66" s="8">
        <f t="shared" si="4"/>
        <v>1.0002454440873794</v>
      </c>
      <c r="Q66" s="8">
        <f t="shared" si="5"/>
        <v>0.60949382363759419</v>
      </c>
      <c r="R66" s="8">
        <f t="shared" si="6"/>
        <v>0.60934426369089267</v>
      </c>
      <c r="S66" s="22">
        <f t="shared" si="7"/>
        <v>-0.71467055117110534</v>
      </c>
      <c r="T66" s="25"/>
      <c r="U66" s="1" t="s">
        <v>191</v>
      </c>
    </row>
    <row r="67" spans="1:21">
      <c r="A67" s="6" t="s">
        <v>192</v>
      </c>
      <c r="B67" s="6" t="s">
        <v>193</v>
      </c>
      <c r="C67" s="7">
        <v>1.1504903330771501</v>
      </c>
      <c r="D67" s="7">
        <v>1.0776145120800218</v>
      </c>
      <c r="E67" s="7">
        <v>0.94977118516572712</v>
      </c>
      <c r="F67" s="8">
        <v>1.1593969192244926</v>
      </c>
      <c r="G67" s="8">
        <f t="shared" si="0"/>
        <v>1.1140524225785859</v>
      </c>
      <c r="H67" s="8">
        <f t="shared" si="1"/>
        <v>1.0545840521951098</v>
      </c>
      <c r="I67" s="8">
        <f t="shared" si="2"/>
        <v>0.94661977373934458</v>
      </c>
      <c r="J67" s="22">
        <f t="shared" si="3"/>
        <v>-7.914303634611855E-2</v>
      </c>
      <c r="K67" s="8"/>
      <c r="L67" s="8">
        <v>0.61158736878232356</v>
      </c>
      <c r="M67" s="8">
        <v>0.6371193958995317</v>
      </c>
      <c r="N67" s="8">
        <v>0.70386557732387367</v>
      </c>
      <c r="O67" s="8">
        <v>0.69948926495300368</v>
      </c>
      <c r="P67" s="8">
        <f t="shared" si="4"/>
        <v>0.62435338234092763</v>
      </c>
      <c r="Q67" s="8">
        <f t="shared" si="5"/>
        <v>0.70167742113843867</v>
      </c>
      <c r="R67" s="8">
        <f t="shared" si="6"/>
        <v>1.123846592305779</v>
      </c>
      <c r="S67" s="22">
        <f t="shared" si="7"/>
        <v>0.16844511774355039</v>
      </c>
      <c r="T67" s="25"/>
      <c r="U67" s="1" t="s">
        <v>194</v>
      </c>
    </row>
    <row r="68" spans="1:21">
      <c r="A68" s="6" t="s">
        <v>195</v>
      </c>
      <c r="B68" s="6" t="s">
        <v>196</v>
      </c>
      <c r="C68" s="7">
        <v>1.0849534515544195</v>
      </c>
      <c r="D68" s="7">
        <v>1.0423741743224084</v>
      </c>
      <c r="E68" s="7">
        <v>1.0851155350899913</v>
      </c>
      <c r="F68" s="8">
        <v>0.99794603741020727</v>
      </c>
      <c r="G68" s="8">
        <f t="shared" si="0"/>
        <v>1.0636638129384139</v>
      </c>
      <c r="H68" s="8">
        <f t="shared" si="1"/>
        <v>1.0415307862500993</v>
      </c>
      <c r="I68" s="8">
        <f t="shared" si="2"/>
        <v>0.97919170848994919</v>
      </c>
      <c r="J68" s="22">
        <f t="shared" si="3"/>
        <v>-3.0336753126280383E-2</v>
      </c>
      <c r="K68" s="8"/>
      <c r="L68" s="8">
        <v>1.0292639380720989</v>
      </c>
      <c r="M68" s="8">
        <v>0.9359081986760398</v>
      </c>
      <c r="N68" s="8">
        <v>0.94703250229910951</v>
      </c>
      <c r="O68" s="8">
        <v>1.2071723543934962</v>
      </c>
      <c r="P68" s="8">
        <f t="shared" si="4"/>
        <v>0.98258606837406937</v>
      </c>
      <c r="Q68" s="8">
        <f t="shared" si="5"/>
        <v>1.0771024283463029</v>
      </c>
      <c r="R68" s="8">
        <f t="shared" si="6"/>
        <v>1.0961914309742189</v>
      </c>
      <c r="S68" s="22">
        <f t="shared" si="7"/>
        <v>0.13249976216799775</v>
      </c>
      <c r="T68" s="25"/>
      <c r="U68" s="1" t="s">
        <v>197</v>
      </c>
    </row>
    <row r="69" spans="1:21">
      <c r="A69" s="6" t="s">
        <v>198</v>
      </c>
      <c r="B69" s="13" t="s">
        <v>199</v>
      </c>
      <c r="C69" s="14">
        <v>1.1560831521875217</v>
      </c>
      <c r="D69" s="14">
        <v>1.2035819353159578</v>
      </c>
      <c r="E69" s="14">
        <v>1.1377936659037311</v>
      </c>
      <c r="F69" s="8">
        <v>1.2424018452228387</v>
      </c>
      <c r="G69" s="8">
        <f t="shared" si="0"/>
        <v>1.1798325437517398</v>
      </c>
      <c r="H69" s="8">
        <f t="shared" si="1"/>
        <v>1.190097755563285</v>
      </c>
      <c r="I69" s="8">
        <f t="shared" si="2"/>
        <v>1.0087005667591631</v>
      </c>
      <c r="J69" s="22">
        <f t="shared" si="3"/>
        <v>1.2497973291015917E-2</v>
      </c>
      <c r="K69" s="8"/>
      <c r="L69" s="8">
        <v>0.58026732359900735</v>
      </c>
      <c r="M69" s="8">
        <v>1.0615591343259907</v>
      </c>
      <c r="N69" s="8">
        <v>0.64649979786749356</v>
      </c>
      <c r="O69" s="8">
        <v>0.81925722838588522</v>
      </c>
      <c r="P69" s="8">
        <f t="shared" si="4"/>
        <v>0.82091322896249896</v>
      </c>
      <c r="Q69" s="8">
        <f t="shared" si="5"/>
        <v>0.73287851312668939</v>
      </c>
      <c r="R69" s="8">
        <f t="shared" si="6"/>
        <v>0.89276002294777101</v>
      </c>
      <c r="S69" s="22">
        <f t="shared" si="7"/>
        <v>-0.16365566895938963</v>
      </c>
      <c r="T69" s="25"/>
      <c r="U69" s="1" t="s">
        <v>200</v>
      </c>
    </row>
    <row r="70" spans="1:21">
      <c r="A70" s="6" t="s">
        <v>201</v>
      </c>
      <c r="B70" s="6" t="s">
        <v>202</v>
      </c>
      <c r="C70" s="7">
        <v>0.60580855317040305</v>
      </c>
      <c r="D70" s="7">
        <v>0.64678591515724004</v>
      </c>
      <c r="E70" s="7">
        <v>0.87515170229858197</v>
      </c>
      <c r="F70" s="8">
        <v>0.83558468108771333</v>
      </c>
      <c r="G70" s="8">
        <f t="shared" ref="G70:G133" si="8">AVERAGE(C70:D70)</f>
        <v>0.62629723416382155</v>
      </c>
      <c r="H70" s="8">
        <f t="shared" ref="H70:H133" si="9">AVERAGE(E70:F70)</f>
        <v>0.85536819169314771</v>
      </c>
      <c r="I70" s="8">
        <f t="shared" ref="I70:I133" si="10">H70/G70</f>
        <v>1.3657543815200814</v>
      </c>
      <c r="J70" s="22">
        <f t="shared" ref="J70:J133" si="11">LOG(I70,2)</f>
        <v>0.44969805139919017</v>
      </c>
      <c r="K70" s="8"/>
      <c r="L70" s="8">
        <v>0.38863552947322844</v>
      </c>
      <c r="M70" s="8">
        <v>0.39847089751051479</v>
      </c>
      <c r="N70" s="8">
        <v>0.39170409016899765</v>
      </c>
      <c r="O70" s="8">
        <v>0.45188009018176473</v>
      </c>
      <c r="P70" s="8">
        <f t="shared" ref="P70:P133" si="12">AVERAGE(L70:M70)</f>
        <v>0.39355321349187161</v>
      </c>
      <c r="Q70" s="8">
        <f t="shared" ref="Q70:Q133" si="13">AVERAGE(N70:O70)</f>
        <v>0.42179209017538122</v>
      </c>
      <c r="R70" s="8">
        <f t="shared" ref="R70:R133" si="14">Q70/P70</f>
        <v>1.071753642748728</v>
      </c>
      <c r="S70" s="22">
        <f t="shared" ref="S70:S133" si="15">LOG(R70,2)</f>
        <v>9.9973320692645237E-2</v>
      </c>
      <c r="T70" s="25"/>
      <c r="U70" s="1" t="s">
        <v>203</v>
      </c>
    </row>
    <row r="71" spans="1:21">
      <c r="A71" s="6" t="s">
        <v>204</v>
      </c>
      <c r="B71" s="6" t="s">
        <v>205</v>
      </c>
      <c r="C71" s="7">
        <v>1.0858622011350774</v>
      </c>
      <c r="D71" s="7">
        <v>1.0737574261767791</v>
      </c>
      <c r="E71" s="7">
        <v>0.92229896662483557</v>
      </c>
      <c r="F71" s="8">
        <v>0.95163719267748403</v>
      </c>
      <c r="G71" s="8">
        <f t="shared" si="8"/>
        <v>1.0798098136559282</v>
      </c>
      <c r="H71" s="8">
        <f t="shared" si="9"/>
        <v>0.9369680796511598</v>
      </c>
      <c r="I71" s="8">
        <f t="shared" si="10"/>
        <v>0.86771584014304615</v>
      </c>
      <c r="J71" s="22">
        <f t="shared" si="11"/>
        <v>-0.20470542910169012</v>
      </c>
      <c r="K71" s="8"/>
      <c r="L71" s="8">
        <v>0.88689121708806373</v>
      </c>
      <c r="M71" s="8">
        <v>1.2280392674500182</v>
      </c>
      <c r="N71" s="8">
        <v>1.0017612715468693</v>
      </c>
      <c r="O71" s="8">
        <v>0.99154566170933411</v>
      </c>
      <c r="P71" s="8">
        <f t="shared" si="12"/>
        <v>1.0574652422690409</v>
      </c>
      <c r="Q71" s="8">
        <f t="shared" si="13"/>
        <v>0.99665346662810173</v>
      </c>
      <c r="R71" s="8">
        <f t="shared" si="14"/>
        <v>0.94249288467349224</v>
      </c>
      <c r="S71" s="22">
        <f t="shared" si="15"/>
        <v>-8.5446368055148561E-2</v>
      </c>
      <c r="T71" s="25"/>
      <c r="U71" s="1" t="s">
        <v>206</v>
      </c>
    </row>
    <row r="72" spans="1:21">
      <c r="A72" s="6" t="s">
        <v>207</v>
      </c>
      <c r="B72" s="6" t="s">
        <v>208</v>
      </c>
      <c r="C72" s="7">
        <v>1.1391710552121923</v>
      </c>
      <c r="D72" s="7">
        <v>1.064108129360817</v>
      </c>
      <c r="E72" s="7">
        <v>0.96758462223091102</v>
      </c>
      <c r="F72" s="8">
        <v>1.018372335072625</v>
      </c>
      <c r="G72" s="8">
        <f t="shared" si="8"/>
        <v>1.1016395922865048</v>
      </c>
      <c r="H72" s="8">
        <f t="shared" si="9"/>
        <v>0.99297847865176803</v>
      </c>
      <c r="I72" s="8">
        <f t="shared" si="10"/>
        <v>0.90136418988972111</v>
      </c>
      <c r="J72" s="22">
        <f t="shared" si="11"/>
        <v>-0.1498179602265412</v>
      </c>
      <c r="K72" s="8"/>
      <c r="L72" s="8">
        <v>0.86660806932381629</v>
      </c>
      <c r="M72" s="8">
        <v>0.81860701782484147</v>
      </c>
      <c r="N72" s="8">
        <v>0.84660996599378102</v>
      </c>
      <c r="O72" s="8">
        <v>0.93299243514214758</v>
      </c>
      <c r="P72" s="8">
        <f t="shared" si="12"/>
        <v>0.84260754357432888</v>
      </c>
      <c r="Q72" s="8">
        <f t="shared" si="13"/>
        <v>0.8898012005679643</v>
      </c>
      <c r="R72" s="8">
        <f t="shared" si="14"/>
        <v>1.0560090606279653</v>
      </c>
      <c r="S72" s="22">
        <f t="shared" si="15"/>
        <v>7.8622213168861269E-2</v>
      </c>
      <c r="T72" s="25"/>
      <c r="U72" s="1" t="s">
        <v>209</v>
      </c>
    </row>
    <row r="73" spans="1:21">
      <c r="A73" s="6" t="s">
        <v>210</v>
      </c>
      <c r="B73" s="6" t="s">
        <v>211</v>
      </c>
      <c r="C73" s="7">
        <v>0.79929203006397798</v>
      </c>
      <c r="D73" s="7">
        <v>0.83264348281912348</v>
      </c>
      <c r="E73" s="7">
        <v>0.85142293607544028</v>
      </c>
      <c r="F73" s="8">
        <v>0.91587797648552516</v>
      </c>
      <c r="G73" s="8">
        <f t="shared" si="8"/>
        <v>0.81596775644155073</v>
      </c>
      <c r="H73" s="8">
        <f t="shared" si="9"/>
        <v>0.88365045628048278</v>
      </c>
      <c r="I73" s="8">
        <f t="shared" si="10"/>
        <v>1.0829477627082931</v>
      </c>
      <c r="J73" s="22">
        <f t="shared" si="11"/>
        <v>0.11496365448893085</v>
      </c>
      <c r="K73" s="8"/>
      <c r="L73" s="8">
        <v>0.48367005326751128</v>
      </c>
      <c r="M73" s="8">
        <v>0.56016923273217301</v>
      </c>
      <c r="N73" s="8">
        <v>0.38850509417821233</v>
      </c>
      <c r="O73" s="8">
        <v>0.45502954403499979</v>
      </c>
      <c r="P73" s="8">
        <f t="shared" si="12"/>
        <v>0.52191964299984217</v>
      </c>
      <c r="Q73" s="8">
        <f t="shared" si="13"/>
        <v>0.42176731910660603</v>
      </c>
      <c r="R73" s="8">
        <f t="shared" si="14"/>
        <v>0.80810777054186012</v>
      </c>
      <c r="S73" s="22">
        <f t="shared" si="15"/>
        <v>-0.30738038896684877</v>
      </c>
      <c r="T73" s="25"/>
      <c r="U73" s="1" t="s">
        <v>212</v>
      </c>
    </row>
    <row r="74" spans="1:21">
      <c r="A74" s="6" t="s">
        <v>213</v>
      </c>
      <c r="B74" s="6" t="s">
        <v>214</v>
      </c>
      <c r="C74" s="7">
        <v>0.2540021897760556</v>
      </c>
      <c r="D74" s="7">
        <v>0.25264570872025138</v>
      </c>
      <c r="E74" s="7">
        <v>0.27080336415375661</v>
      </c>
      <c r="F74" s="8">
        <v>0.32609502204866458</v>
      </c>
      <c r="G74" s="8">
        <f t="shared" si="8"/>
        <v>0.25332394924815349</v>
      </c>
      <c r="H74" s="8">
        <f t="shared" si="9"/>
        <v>0.2984491931012106</v>
      </c>
      <c r="I74" s="8">
        <f t="shared" si="10"/>
        <v>1.1781325610428286</v>
      </c>
      <c r="J74" s="22">
        <f t="shared" si="11"/>
        <v>0.23650187736824221</v>
      </c>
      <c r="K74" s="8"/>
      <c r="L74" s="8">
        <v>1.1783108890588159</v>
      </c>
      <c r="M74" s="8">
        <v>1.0983789781742346</v>
      </c>
      <c r="N74" s="8">
        <v>1.2378817594072671</v>
      </c>
      <c r="O74" s="8">
        <v>1.100756300958132</v>
      </c>
      <c r="P74" s="8">
        <f t="shared" si="12"/>
        <v>1.1383449336165252</v>
      </c>
      <c r="Q74" s="8">
        <f t="shared" si="13"/>
        <v>1.1693190301826997</v>
      </c>
      <c r="R74" s="8">
        <f t="shared" si="14"/>
        <v>1.0272097636239041</v>
      </c>
      <c r="S74" s="22">
        <f t="shared" si="15"/>
        <v>3.8730820447507218E-2</v>
      </c>
      <c r="T74" s="25"/>
      <c r="U74" s="1" t="s">
        <v>215</v>
      </c>
    </row>
    <row r="75" spans="1:21">
      <c r="A75" s="6" t="s">
        <v>216</v>
      </c>
      <c r="B75" s="6" t="s">
        <v>80</v>
      </c>
      <c r="C75" s="7">
        <v>1.0965600546544383</v>
      </c>
      <c r="D75" s="7">
        <v>1.0471527483254019</v>
      </c>
      <c r="E75" s="7">
        <v>0.97489615792900242</v>
      </c>
      <c r="F75" s="8">
        <v>1.0792553695780489</v>
      </c>
      <c r="G75" s="8">
        <f t="shared" si="8"/>
        <v>1.0718564014899201</v>
      </c>
      <c r="H75" s="8">
        <f t="shared" si="9"/>
        <v>1.0270757637535257</v>
      </c>
      <c r="I75" s="8">
        <f t="shared" si="10"/>
        <v>0.95822142063605942</v>
      </c>
      <c r="J75" s="22">
        <f t="shared" si="11"/>
        <v>-6.1569030216897483E-2</v>
      </c>
      <c r="K75" s="8"/>
      <c r="L75" s="8">
        <v>1.3921467069008335</v>
      </c>
      <c r="M75" s="8">
        <v>1.4617956187543035</v>
      </c>
      <c r="N75" s="8">
        <v>1.1824613153506889</v>
      </c>
      <c r="O75" s="8">
        <v>1.5614637336299499</v>
      </c>
      <c r="P75" s="8">
        <f t="shared" si="12"/>
        <v>1.4269711628275685</v>
      </c>
      <c r="Q75" s="8">
        <f t="shared" si="13"/>
        <v>1.3719625244903195</v>
      </c>
      <c r="R75" s="8">
        <f t="shared" si="14"/>
        <v>0.96145077085633013</v>
      </c>
      <c r="S75" s="22">
        <f t="shared" si="15"/>
        <v>-5.671510571500743E-2</v>
      </c>
      <c r="T75" s="25"/>
      <c r="U75" s="1">
        <v>0</v>
      </c>
    </row>
    <row r="76" spans="1:21">
      <c r="A76" s="6" t="s">
        <v>217</v>
      </c>
      <c r="B76" s="6" t="s">
        <v>80</v>
      </c>
      <c r="C76" s="7">
        <v>1.1357164704092506</v>
      </c>
      <c r="D76" s="7">
        <v>1.2702910916800612</v>
      </c>
      <c r="E76" s="7">
        <v>1.1290589438289815</v>
      </c>
      <c r="F76" s="8">
        <v>1.5110841921234541</v>
      </c>
      <c r="G76" s="8">
        <f t="shared" si="8"/>
        <v>1.2030037810446559</v>
      </c>
      <c r="H76" s="8">
        <f t="shared" si="9"/>
        <v>1.3200715679762178</v>
      </c>
      <c r="I76" s="8">
        <f t="shared" si="10"/>
        <v>1.097312900238687</v>
      </c>
      <c r="J76" s="22">
        <f t="shared" si="11"/>
        <v>0.13397497082321538</v>
      </c>
      <c r="K76" s="8"/>
      <c r="L76" s="8">
        <v>1.6659203658888855</v>
      </c>
      <c r="M76" s="8">
        <v>1.6903287754267697</v>
      </c>
      <c r="N76" s="8">
        <v>1.466393824370662</v>
      </c>
      <c r="O76" s="8">
        <v>1.8522780922469766</v>
      </c>
      <c r="P76" s="8">
        <f t="shared" si="12"/>
        <v>1.6781245706578276</v>
      </c>
      <c r="Q76" s="8">
        <f t="shared" si="13"/>
        <v>1.6593359583088194</v>
      </c>
      <c r="R76" s="8">
        <f t="shared" si="14"/>
        <v>0.98880380355694153</v>
      </c>
      <c r="S76" s="22">
        <f t="shared" si="15"/>
        <v>-1.6243802128303654E-2</v>
      </c>
      <c r="T76" s="25"/>
      <c r="U76" s="1">
        <v>0</v>
      </c>
    </row>
    <row r="77" spans="1:21">
      <c r="A77" s="6" t="s">
        <v>218</v>
      </c>
      <c r="B77" s="6" t="s">
        <v>219</v>
      </c>
      <c r="C77" s="7">
        <v>1.2863216674566429</v>
      </c>
      <c r="D77" s="7">
        <v>1.3314713194456598</v>
      </c>
      <c r="E77" s="7">
        <v>1.3180054839679436</v>
      </c>
      <c r="F77" s="8">
        <v>1.3243511486029718</v>
      </c>
      <c r="G77" s="8">
        <f t="shared" si="8"/>
        <v>1.3088964934511513</v>
      </c>
      <c r="H77" s="8">
        <f t="shared" si="9"/>
        <v>1.3211783162854576</v>
      </c>
      <c r="I77" s="8">
        <f t="shared" si="10"/>
        <v>1.0093833415367497</v>
      </c>
      <c r="J77" s="22">
        <f t="shared" si="11"/>
        <v>1.3474182277375062E-2</v>
      </c>
      <c r="K77" s="8"/>
      <c r="L77" s="8">
        <v>1.1999288828235994</v>
      </c>
      <c r="M77" s="8">
        <v>1.1592181607166874</v>
      </c>
      <c r="N77" s="8">
        <v>1.2862989960245585</v>
      </c>
      <c r="O77" s="8">
        <v>1.2759280371049653</v>
      </c>
      <c r="P77" s="8">
        <f t="shared" si="12"/>
        <v>1.1795735217701435</v>
      </c>
      <c r="Q77" s="8">
        <f t="shared" si="13"/>
        <v>1.281113516564762</v>
      </c>
      <c r="R77" s="8">
        <f t="shared" si="14"/>
        <v>1.0860819549783052</v>
      </c>
      <c r="S77" s="22">
        <f t="shared" si="15"/>
        <v>0.11913297200015729</v>
      </c>
      <c r="T77" s="25"/>
      <c r="U77" s="1" t="s">
        <v>220</v>
      </c>
    </row>
    <row r="78" spans="1:21">
      <c r="A78" s="6" t="s">
        <v>221</v>
      </c>
      <c r="B78" s="6" t="s">
        <v>222</v>
      </c>
      <c r="C78" s="7">
        <v>1.0931121518337072</v>
      </c>
      <c r="D78" s="7">
        <v>1.0585067981259031</v>
      </c>
      <c r="E78" s="7">
        <v>0.88700934045102175</v>
      </c>
      <c r="F78" s="8">
        <v>1.0705200924123379</v>
      </c>
      <c r="G78" s="8">
        <f t="shared" si="8"/>
        <v>1.0758094749798053</v>
      </c>
      <c r="H78" s="8">
        <f t="shared" si="9"/>
        <v>0.97876471643167984</v>
      </c>
      <c r="I78" s="8">
        <f t="shared" si="10"/>
        <v>0.9097937313203649</v>
      </c>
      <c r="J78" s="22">
        <f t="shared" si="11"/>
        <v>-0.13638860071083894</v>
      </c>
      <c r="K78" s="8"/>
      <c r="L78" s="8">
        <v>0.75991806093948444</v>
      </c>
      <c r="M78" s="8">
        <v>0.67956704804825641</v>
      </c>
      <c r="N78" s="8">
        <v>0.79296193863480013</v>
      </c>
      <c r="O78" s="8">
        <v>0.76864417420924902</v>
      </c>
      <c r="P78" s="8">
        <f t="shared" si="12"/>
        <v>0.71974255449387048</v>
      </c>
      <c r="Q78" s="8">
        <f t="shared" si="13"/>
        <v>0.78080305642202452</v>
      </c>
      <c r="R78" s="8">
        <f t="shared" si="14"/>
        <v>1.0848365871198102</v>
      </c>
      <c r="S78" s="22">
        <f t="shared" si="15"/>
        <v>0.11747774063538732</v>
      </c>
      <c r="T78" s="25"/>
      <c r="U78" s="1" t="s">
        <v>223</v>
      </c>
    </row>
    <row r="79" spans="1:21">
      <c r="A79" s="6" t="s">
        <v>224</v>
      </c>
      <c r="B79" s="6" t="s">
        <v>225</v>
      </c>
      <c r="C79" s="7">
        <v>1.146902108629994</v>
      </c>
      <c r="D79" s="7">
        <v>1.048278280218669</v>
      </c>
      <c r="E79" s="7">
        <v>1.0077306189791031</v>
      </c>
      <c r="F79" s="8">
        <v>1.0099471470510142</v>
      </c>
      <c r="G79" s="8">
        <f t="shared" si="8"/>
        <v>1.0975901944243316</v>
      </c>
      <c r="H79" s="8">
        <f t="shared" si="9"/>
        <v>1.0088388830150588</v>
      </c>
      <c r="I79" s="8">
        <f t="shared" si="10"/>
        <v>0.91913984667490445</v>
      </c>
      <c r="J79" s="22">
        <f t="shared" si="11"/>
        <v>-0.1216437113327424</v>
      </c>
      <c r="K79" s="8"/>
      <c r="L79" s="8">
        <v>0.98540936337155116</v>
      </c>
      <c r="M79" s="8">
        <v>0.80558581430608189</v>
      </c>
      <c r="N79" s="8">
        <v>0.88607865977198375</v>
      </c>
      <c r="O79" s="8">
        <v>0.87026950910729772</v>
      </c>
      <c r="P79" s="8">
        <f t="shared" si="12"/>
        <v>0.89549758883881658</v>
      </c>
      <c r="Q79" s="8">
        <f t="shared" si="13"/>
        <v>0.87817408443964073</v>
      </c>
      <c r="R79" s="8">
        <f t="shared" si="14"/>
        <v>0.98065488437368209</v>
      </c>
      <c r="S79" s="22">
        <f t="shared" si="15"/>
        <v>-2.818258759996993E-2</v>
      </c>
      <c r="T79" s="25"/>
      <c r="U79" s="1" t="s">
        <v>226</v>
      </c>
    </row>
    <row r="80" spans="1:21">
      <c r="A80" s="6" t="s">
        <v>227</v>
      </c>
      <c r="B80" s="6" t="s">
        <v>228</v>
      </c>
      <c r="C80" s="7">
        <v>1.1215840780335802</v>
      </c>
      <c r="D80" s="7">
        <v>1.05826984404311</v>
      </c>
      <c r="E80" s="7">
        <v>1.0755511830421189</v>
      </c>
      <c r="F80" s="8">
        <v>1.0350049889508408</v>
      </c>
      <c r="G80" s="8">
        <f t="shared" si="8"/>
        <v>1.0899269610383451</v>
      </c>
      <c r="H80" s="8">
        <f t="shared" si="9"/>
        <v>1.0552780859964799</v>
      </c>
      <c r="I80" s="8">
        <f t="shared" si="10"/>
        <v>0.96820991104866683</v>
      </c>
      <c r="J80" s="22">
        <f t="shared" si="11"/>
        <v>-4.6608232513033108E-2</v>
      </c>
      <c r="K80" s="8"/>
      <c r="L80" s="8">
        <v>0.93859208169420316</v>
      </c>
      <c r="M80" s="8">
        <v>0.926896348783113</v>
      </c>
      <c r="N80" s="8">
        <v>0.86861387084931785</v>
      </c>
      <c r="O80" s="8">
        <v>0.83220991183862647</v>
      </c>
      <c r="P80" s="8">
        <f t="shared" si="12"/>
        <v>0.93274421523865803</v>
      </c>
      <c r="Q80" s="8">
        <f t="shared" si="13"/>
        <v>0.85041189134397221</v>
      </c>
      <c r="R80" s="8">
        <f t="shared" si="14"/>
        <v>0.91173108066543229</v>
      </c>
      <c r="S80" s="22">
        <f t="shared" si="15"/>
        <v>-0.13331973738476641</v>
      </c>
      <c r="T80" s="25"/>
      <c r="U80" s="1" t="s">
        <v>229</v>
      </c>
    </row>
    <row r="81" spans="1:21">
      <c r="A81" s="6" t="s">
        <v>230</v>
      </c>
      <c r="B81" s="6" t="s">
        <v>231</v>
      </c>
      <c r="C81" s="7">
        <v>1.046418460145204</v>
      </c>
      <c r="D81" s="7">
        <v>1.0717301523573273</v>
      </c>
      <c r="E81" s="7">
        <v>1.0014105922732806</v>
      </c>
      <c r="F81" s="8">
        <v>1.0629657930507526</v>
      </c>
      <c r="G81" s="8">
        <f t="shared" si="8"/>
        <v>1.0590743062512655</v>
      </c>
      <c r="H81" s="8">
        <f t="shared" si="9"/>
        <v>1.0321881926620167</v>
      </c>
      <c r="I81" s="8">
        <f t="shared" si="10"/>
        <v>0.97461357203120536</v>
      </c>
      <c r="J81" s="22">
        <f t="shared" si="11"/>
        <v>-3.7097781893578652E-2</v>
      </c>
      <c r="K81" s="8"/>
      <c r="L81" s="8">
        <v>0.57294194920582009</v>
      </c>
      <c r="M81" s="8">
        <v>0.57422036195298132</v>
      </c>
      <c r="N81" s="8">
        <v>0.61701715914160726</v>
      </c>
      <c r="O81" s="8">
        <v>0.48115670346535799</v>
      </c>
      <c r="P81" s="8">
        <f t="shared" si="12"/>
        <v>0.5735811555794007</v>
      </c>
      <c r="Q81" s="8">
        <f t="shared" si="13"/>
        <v>0.54908693130348263</v>
      </c>
      <c r="R81" s="8">
        <f t="shared" si="14"/>
        <v>0.95729597453184223</v>
      </c>
      <c r="S81" s="22">
        <f t="shared" si="15"/>
        <v>-6.2963052127022454E-2</v>
      </c>
      <c r="T81" s="25"/>
      <c r="U81" s="1" t="s">
        <v>232</v>
      </c>
    </row>
    <row r="82" spans="1:21">
      <c r="A82" s="6" t="s">
        <v>233</v>
      </c>
      <c r="B82" s="6" t="s">
        <v>234</v>
      </c>
      <c r="C82" s="7">
        <v>1.0059390119126692</v>
      </c>
      <c r="D82" s="7">
        <v>1.0752515533099465</v>
      </c>
      <c r="E82" s="7">
        <v>0.99452398900044714</v>
      </c>
      <c r="F82" s="8">
        <v>0.98775268150308981</v>
      </c>
      <c r="G82" s="8">
        <f t="shared" si="8"/>
        <v>1.0405952826113078</v>
      </c>
      <c r="H82" s="8">
        <f t="shared" si="9"/>
        <v>0.99113833525176842</v>
      </c>
      <c r="I82" s="8">
        <f t="shared" si="10"/>
        <v>0.95247244708295198</v>
      </c>
      <c r="J82" s="22">
        <f t="shared" si="11"/>
        <v>-7.0250735648046209E-2</v>
      </c>
      <c r="K82" s="8"/>
      <c r="L82" s="8">
        <v>1.0326173316832024</v>
      </c>
      <c r="M82" s="8">
        <v>0.85031401622362879</v>
      </c>
      <c r="N82" s="8">
        <v>1.0412731950006231</v>
      </c>
      <c r="O82" s="8">
        <v>1.0573293245874686</v>
      </c>
      <c r="P82" s="8">
        <f t="shared" si="12"/>
        <v>0.94146567395341552</v>
      </c>
      <c r="Q82" s="8">
        <f t="shared" si="13"/>
        <v>1.0493012597940459</v>
      </c>
      <c r="R82" s="8">
        <f t="shared" si="14"/>
        <v>1.1145401142325304</v>
      </c>
      <c r="S82" s="22">
        <f t="shared" si="15"/>
        <v>0.15644854262984165</v>
      </c>
      <c r="T82" s="25"/>
      <c r="U82" s="1" t="s">
        <v>235</v>
      </c>
    </row>
    <row r="83" spans="1:21">
      <c r="A83" s="6" t="s">
        <v>236</v>
      </c>
      <c r="B83" s="6" t="s">
        <v>237</v>
      </c>
      <c r="C83" s="7">
        <v>1.0047563010613718</v>
      </c>
      <c r="D83" s="7">
        <v>1.1330683495114546</v>
      </c>
      <c r="E83" s="7">
        <v>1.0714502478904218</v>
      </c>
      <c r="F83" s="8">
        <v>1.0591523563424587</v>
      </c>
      <c r="G83" s="8">
        <f t="shared" si="8"/>
        <v>1.0689123252864132</v>
      </c>
      <c r="H83" s="8">
        <f t="shared" si="9"/>
        <v>1.0653013021164401</v>
      </c>
      <c r="I83" s="8">
        <f t="shared" si="10"/>
        <v>0.99662177796574147</v>
      </c>
      <c r="J83" s="22">
        <f t="shared" si="11"/>
        <v>-4.8819950582779303E-3</v>
      </c>
      <c r="K83" s="8"/>
      <c r="L83" s="8">
        <v>1.1340656277239647</v>
      </c>
      <c r="M83" s="8">
        <v>1.0323166009999629</v>
      </c>
      <c r="N83" s="8">
        <v>1.0027987837600969</v>
      </c>
      <c r="O83" s="8">
        <v>0.66976906661965896</v>
      </c>
      <c r="P83" s="8">
        <f t="shared" si="12"/>
        <v>1.0831911143619637</v>
      </c>
      <c r="Q83" s="8">
        <f t="shared" si="13"/>
        <v>0.83628392518987793</v>
      </c>
      <c r="R83" s="8">
        <f t="shared" si="14"/>
        <v>0.77205574722838965</v>
      </c>
      <c r="S83" s="22">
        <f t="shared" si="15"/>
        <v>-0.37322307207505157</v>
      </c>
      <c r="T83" s="25"/>
      <c r="U83" s="1" t="s">
        <v>238</v>
      </c>
    </row>
    <row r="84" spans="1:21">
      <c r="A84" s="6" t="s">
        <v>239</v>
      </c>
      <c r="B84" s="6" t="s">
        <v>240</v>
      </c>
      <c r="C84" s="7">
        <v>1.1682978156687158</v>
      </c>
      <c r="D84" s="7">
        <v>1.0083515172680375</v>
      </c>
      <c r="E84" s="7">
        <v>1.1071243367347072</v>
      </c>
      <c r="F84" s="8">
        <v>1.0961189409039986</v>
      </c>
      <c r="G84" s="8">
        <f t="shared" si="8"/>
        <v>1.0883246664683766</v>
      </c>
      <c r="H84" s="8">
        <f t="shared" si="9"/>
        <v>1.1016216388193529</v>
      </c>
      <c r="I84" s="8">
        <f t="shared" si="10"/>
        <v>1.0122178360563352</v>
      </c>
      <c r="J84" s="22">
        <f t="shared" si="11"/>
        <v>1.7519801078827692E-2</v>
      </c>
      <c r="K84" s="8"/>
      <c r="L84" s="8">
        <v>1.2797266278800528</v>
      </c>
      <c r="M84" s="8">
        <v>1.1907780268723249</v>
      </c>
      <c r="N84" s="8">
        <v>0.83895831342122695</v>
      </c>
      <c r="O84" s="8">
        <v>0.86760799880878925</v>
      </c>
      <c r="P84" s="8">
        <f t="shared" si="12"/>
        <v>1.2352523273761888</v>
      </c>
      <c r="Q84" s="8">
        <f t="shared" si="13"/>
        <v>0.85328315611500805</v>
      </c>
      <c r="R84" s="8">
        <f t="shared" si="14"/>
        <v>0.69077640025781195</v>
      </c>
      <c r="S84" s="22">
        <f t="shared" si="15"/>
        <v>-0.53370929953154211</v>
      </c>
      <c r="T84" s="25"/>
      <c r="U84" s="1" t="s">
        <v>241</v>
      </c>
    </row>
    <row r="85" spans="1:21">
      <c r="A85" s="6" t="s">
        <v>242</v>
      </c>
      <c r="B85" s="6" t="s">
        <v>243</v>
      </c>
      <c r="C85" s="7">
        <v>1.06897015010638</v>
      </c>
      <c r="D85" s="7">
        <v>1.017013505405695</v>
      </c>
      <c r="E85" s="7">
        <v>1.1423734931537348</v>
      </c>
      <c r="F85" s="8">
        <v>1.1097628632443992</v>
      </c>
      <c r="G85" s="8">
        <f t="shared" si="8"/>
        <v>1.0429918277560375</v>
      </c>
      <c r="H85" s="8">
        <f t="shared" si="9"/>
        <v>1.1260681781990671</v>
      </c>
      <c r="I85" s="8">
        <f t="shared" si="10"/>
        <v>1.0796519668056899</v>
      </c>
      <c r="J85" s="22">
        <f t="shared" si="11"/>
        <v>0.11056632471891555</v>
      </c>
      <c r="K85" s="8"/>
      <c r="L85" s="8">
        <v>1.2238909963942033</v>
      </c>
      <c r="M85" s="8">
        <v>1.0519587554604646</v>
      </c>
      <c r="N85" s="8">
        <v>0.80454749168250905</v>
      </c>
      <c r="O85" s="8">
        <v>0.7827501787913439</v>
      </c>
      <c r="P85" s="8">
        <f t="shared" si="12"/>
        <v>1.1379248759273339</v>
      </c>
      <c r="Q85" s="8">
        <f t="shared" si="13"/>
        <v>0.79364883523692642</v>
      </c>
      <c r="R85" s="8">
        <f t="shared" si="14"/>
        <v>0.69745275107915605</v>
      </c>
      <c r="S85" s="22">
        <f t="shared" si="15"/>
        <v>-0.51983260997805547</v>
      </c>
      <c r="T85" s="25"/>
      <c r="U85" s="1" t="s">
        <v>244</v>
      </c>
    </row>
    <row r="86" spans="1:21">
      <c r="A86" s="6" t="s">
        <v>245</v>
      </c>
      <c r="B86" s="6" t="s">
        <v>246</v>
      </c>
      <c r="C86" s="7">
        <v>1.0968139699784456</v>
      </c>
      <c r="D86" s="7">
        <v>1.0856775329528414</v>
      </c>
      <c r="E86" s="7">
        <v>1.0724012871279043</v>
      </c>
      <c r="F86" s="8">
        <v>1.0307033267816235</v>
      </c>
      <c r="G86" s="8">
        <f t="shared" si="8"/>
        <v>1.0912457514656435</v>
      </c>
      <c r="H86" s="8">
        <f t="shared" si="9"/>
        <v>1.0515523069547639</v>
      </c>
      <c r="I86" s="8">
        <f t="shared" si="10"/>
        <v>0.9636255678818747</v>
      </c>
      <c r="J86" s="22">
        <f t="shared" si="11"/>
        <v>-5.3455421768611129E-2</v>
      </c>
      <c r="K86" s="8"/>
      <c r="L86" s="8">
        <v>1.0499052152511243</v>
      </c>
      <c r="M86" s="8">
        <v>0.87786452875343368</v>
      </c>
      <c r="N86" s="8">
        <v>1.093797250795274</v>
      </c>
      <c r="O86" s="8">
        <v>0.961381878326238</v>
      </c>
      <c r="P86" s="8">
        <f t="shared" si="12"/>
        <v>0.96388487200227901</v>
      </c>
      <c r="Q86" s="8">
        <f t="shared" si="13"/>
        <v>1.027589564560756</v>
      </c>
      <c r="R86" s="8">
        <f t="shared" si="14"/>
        <v>1.06609159912028</v>
      </c>
      <c r="S86" s="22">
        <f t="shared" si="15"/>
        <v>9.233140049787264E-2</v>
      </c>
      <c r="T86" s="25"/>
      <c r="U86" s="1" t="s">
        <v>247</v>
      </c>
    </row>
    <row r="87" spans="1:21">
      <c r="A87" s="6" t="s">
        <v>248</v>
      </c>
      <c r="B87" s="6" t="s">
        <v>249</v>
      </c>
      <c r="C87" s="7">
        <v>1.0821670649725499</v>
      </c>
      <c r="D87" s="7">
        <v>1.1224054157857666</v>
      </c>
      <c r="E87" s="7">
        <v>1.1115760097612206</v>
      </c>
      <c r="F87" s="8">
        <v>1.1656250926719482</v>
      </c>
      <c r="G87" s="8">
        <f t="shared" si="8"/>
        <v>1.1022862403791582</v>
      </c>
      <c r="H87" s="8">
        <f t="shared" si="9"/>
        <v>1.1386005512165844</v>
      </c>
      <c r="I87" s="8">
        <f t="shared" si="10"/>
        <v>1.0329445379132511</v>
      </c>
      <c r="J87" s="22">
        <f t="shared" si="11"/>
        <v>4.6762793384387297E-2</v>
      </c>
      <c r="K87" s="8"/>
      <c r="L87" s="8">
        <v>0.87735195176715763</v>
      </c>
      <c r="M87" s="8">
        <v>1.1471165337176141</v>
      </c>
      <c r="N87" s="8">
        <v>0.98304282203322002</v>
      </c>
      <c r="O87" s="8">
        <v>0.9524658188262346</v>
      </c>
      <c r="P87" s="8">
        <f t="shared" si="12"/>
        <v>1.0122342427423858</v>
      </c>
      <c r="Q87" s="8">
        <f t="shared" si="13"/>
        <v>0.96775432042972731</v>
      </c>
      <c r="R87" s="8">
        <f t="shared" si="14"/>
        <v>0.95605767871263503</v>
      </c>
      <c r="S87" s="22">
        <f t="shared" si="15"/>
        <v>-6.4830436636851244E-2</v>
      </c>
      <c r="T87" s="25"/>
      <c r="U87" s="1" t="s">
        <v>250</v>
      </c>
    </row>
    <row r="88" spans="1:21">
      <c r="A88" s="6" t="s">
        <v>251</v>
      </c>
      <c r="B88" s="6" t="s">
        <v>252</v>
      </c>
      <c r="C88" s="7">
        <v>6.6786412196134903E-2</v>
      </c>
      <c r="D88" s="7">
        <v>7.3712465922209647E-2</v>
      </c>
      <c r="E88" s="7">
        <v>0.2011346812888247</v>
      </c>
      <c r="F88" s="8">
        <v>0.22920865862082013</v>
      </c>
      <c r="G88" s="8">
        <f t="shared" si="8"/>
        <v>7.0249439059172275E-2</v>
      </c>
      <c r="H88" s="8">
        <f t="shared" si="9"/>
        <v>0.2151716699548224</v>
      </c>
      <c r="I88" s="8">
        <f t="shared" si="10"/>
        <v>3.0629663786152044</v>
      </c>
      <c r="J88" s="22">
        <f t="shared" si="11"/>
        <v>1.6149295309357845</v>
      </c>
      <c r="K88" s="8"/>
      <c r="L88" s="8">
        <v>0.41718821099689618</v>
      </c>
      <c r="M88" s="8">
        <v>0.34042722758790867</v>
      </c>
      <c r="N88" s="8">
        <v>0.50704086453947395</v>
      </c>
      <c r="O88" s="8">
        <v>0.48696766761710153</v>
      </c>
      <c r="P88" s="8">
        <f t="shared" si="12"/>
        <v>0.37880771929240242</v>
      </c>
      <c r="Q88" s="8">
        <f t="shared" si="13"/>
        <v>0.49700426607828774</v>
      </c>
      <c r="R88" s="8">
        <f t="shared" si="14"/>
        <v>1.3120225401073444</v>
      </c>
      <c r="S88" s="22">
        <f t="shared" si="15"/>
        <v>0.39179250518599429</v>
      </c>
      <c r="T88" s="25"/>
      <c r="U88" s="1" t="s">
        <v>253</v>
      </c>
    </row>
    <row r="89" spans="1:21">
      <c r="A89" s="6" t="s">
        <v>254</v>
      </c>
      <c r="B89" s="6" t="s">
        <v>255</v>
      </c>
      <c r="C89" s="7">
        <v>1.1352888235477647</v>
      </c>
      <c r="D89" s="7">
        <v>1.0974001779932427</v>
      </c>
      <c r="E89" s="7">
        <v>1.1270219661713952</v>
      </c>
      <c r="F89" s="8">
        <v>1.1736610198530932</v>
      </c>
      <c r="G89" s="8">
        <f t="shared" si="8"/>
        <v>1.1163445007705037</v>
      </c>
      <c r="H89" s="8">
        <f t="shared" si="9"/>
        <v>1.1503414930122442</v>
      </c>
      <c r="I89" s="8">
        <f t="shared" si="10"/>
        <v>1.0304538538222525</v>
      </c>
      <c r="J89" s="22">
        <f t="shared" si="11"/>
        <v>4.3279899003845192E-2</v>
      </c>
      <c r="K89" s="8"/>
      <c r="L89" s="8">
        <v>0.97310273439099648</v>
      </c>
      <c r="M89" s="8">
        <v>0.88374981847942669</v>
      </c>
      <c r="N89" s="8">
        <v>1.0464175263912103</v>
      </c>
      <c r="O89" s="8">
        <v>0.93875904078891592</v>
      </c>
      <c r="P89" s="8">
        <f t="shared" si="12"/>
        <v>0.92842627643521158</v>
      </c>
      <c r="Q89" s="8">
        <f t="shared" si="13"/>
        <v>0.99258828359006313</v>
      </c>
      <c r="R89" s="8">
        <f t="shared" si="14"/>
        <v>1.0691083490239077</v>
      </c>
      <c r="S89" s="22">
        <f t="shared" si="15"/>
        <v>9.6408070718216721E-2</v>
      </c>
      <c r="T89" s="25"/>
      <c r="U89" s="1" t="s">
        <v>256</v>
      </c>
    </row>
    <row r="90" spans="1:21">
      <c r="A90" s="6" t="s">
        <v>257</v>
      </c>
      <c r="B90" s="6" t="s">
        <v>258</v>
      </c>
      <c r="C90" s="7">
        <v>1.1621370280704331</v>
      </c>
      <c r="D90" s="7">
        <v>1.2376111744281841</v>
      </c>
      <c r="E90" s="7">
        <v>1.1646993078776116</v>
      </c>
      <c r="F90" s="8">
        <v>1.2036538974930646</v>
      </c>
      <c r="G90" s="8">
        <f t="shared" si="8"/>
        <v>1.1998741012493086</v>
      </c>
      <c r="H90" s="8">
        <f t="shared" si="9"/>
        <v>1.184176602685338</v>
      </c>
      <c r="I90" s="8">
        <f t="shared" si="10"/>
        <v>0.98691737862528539</v>
      </c>
      <c r="J90" s="22">
        <f t="shared" si="11"/>
        <v>-1.8998782684753142E-2</v>
      </c>
      <c r="K90" s="8"/>
      <c r="L90" s="8">
        <v>0.83623218350673312</v>
      </c>
      <c r="M90" s="8">
        <v>0.87503223307279954</v>
      </c>
      <c r="N90" s="8">
        <v>0.74117278732451874</v>
      </c>
      <c r="O90" s="8">
        <v>0.82861687293564001</v>
      </c>
      <c r="P90" s="8">
        <f t="shared" si="12"/>
        <v>0.85563220828976627</v>
      </c>
      <c r="Q90" s="8">
        <f t="shared" si="13"/>
        <v>0.78489483013007932</v>
      </c>
      <c r="R90" s="8">
        <f t="shared" si="14"/>
        <v>0.91732735458722792</v>
      </c>
      <c r="S90" s="22">
        <f t="shared" si="15"/>
        <v>-0.12449143351777207</v>
      </c>
      <c r="T90" s="25"/>
      <c r="U90" s="1" t="s">
        <v>259</v>
      </c>
    </row>
    <row r="91" spans="1:21">
      <c r="A91" s="6" t="s">
        <v>260</v>
      </c>
      <c r="B91" s="6" t="s">
        <v>261</v>
      </c>
      <c r="C91" s="7">
        <v>1.1141804417441037</v>
      </c>
      <c r="D91" s="7">
        <v>1.0616727679543327</v>
      </c>
      <c r="E91" s="7">
        <v>1.0695481694154572</v>
      </c>
      <c r="F91" s="8">
        <v>1.1380865376193217</v>
      </c>
      <c r="G91" s="8">
        <f t="shared" si="8"/>
        <v>1.0879266048492182</v>
      </c>
      <c r="H91" s="8">
        <f t="shared" si="9"/>
        <v>1.1038173535173894</v>
      </c>
      <c r="I91" s="8">
        <f t="shared" si="10"/>
        <v>1.0146064528593577</v>
      </c>
      <c r="J91" s="22">
        <f t="shared" si="11"/>
        <v>2.092024109774638E-2</v>
      </c>
      <c r="K91" s="8"/>
      <c r="L91" s="8">
        <v>0.8961374674332423</v>
      </c>
      <c r="M91" s="8">
        <v>0.83273171316722472</v>
      </c>
      <c r="N91" s="8">
        <v>1.0458987702845965</v>
      </c>
      <c r="O91" s="8">
        <v>1.0722337822591161</v>
      </c>
      <c r="P91" s="8">
        <f t="shared" si="12"/>
        <v>0.86443459030023351</v>
      </c>
      <c r="Q91" s="8">
        <f t="shared" si="13"/>
        <v>1.0590662762718563</v>
      </c>
      <c r="R91" s="8">
        <f t="shared" si="14"/>
        <v>1.2251549025866999</v>
      </c>
      <c r="S91" s="22">
        <f t="shared" si="15"/>
        <v>0.29296416805672448</v>
      </c>
      <c r="T91" s="25"/>
      <c r="U91" s="1" t="s">
        <v>262</v>
      </c>
    </row>
    <row r="92" spans="1:21">
      <c r="A92" s="6" t="s">
        <v>263</v>
      </c>
      <c r="B92" s="6" t="s">
        <v>264</v>
      </c>
      <c r="C92" s="7">
        <v>1.1732625284512799</v>
      </c>
      <c r="D92" s="7">
        <v>1.1915038591513667</v>
      </c>
      <c r="E92" s="7">
        <v>1.1478976146820898</v>
      </c>
      <c r="F92" s="8">
        <v>1.1010077931545967</v>
      </c>
      <c r="G92" s="8">
        <f t="shared" si="8"/>
        <v>1.1823831938013232</v>
      </c>
      <c r="H92" s="8">
        <f t="shared" si="9"/>
        <v>1.1244527039183434</v>
      </c>
      <c r="I92" s="8">
        <f t="shared" si="10"/>
        <v>0.95100531690006929</v>
      </c>
      <c r="J92" s="22">
        <f t="shared" si="11"/>
        <v>-7.2474687929893575E-2</v>
      </c>
      <c r="K92" s="8"/>
      <c r="L92" s="8">
        <v>1.0579794056933929</v>
      </c>
      <c r="M92" s="8">
        <v>0.90000793134748236</v>
      </c>
      <c r="N92" s="8">
        <v>0.93285316871833135</v>
      </c>
      <c r="O92" s="8">
        <v>0.8937795167441227</v>
      </c>
      <c r="P92" s="8">
        <f t="shared" si="12"/>
        <v>0.97899366852043768</v>
      </c>
      <c r="Q92" s="8">
        <f t="shared" si="13"/>
        <v>0.91331634273122697</v>
      </c>
      <c r="R92" s="8">
        <f t="shared" si="14"/>
        <v>0.93291343151537487</v>
      </c>
      <c r="S92" s="22">
        <f t="shared" si="15"/>
        <v>-0.10018488060333826</v>
      </c>
      <c r="T92" s="25"/>
      <c r="U92" s="1" t="s">
        <v>265</v>
      </c>
    </row>
    <row r="93" spans="1:21">
      <c r="A93" s="6" t="s">
        <v>266</v>
      </c>
      <c r="B93" s="6" t="s">
        <v>267</v>
      </c>
      <c r="C93" s="7">
        <v>1.0911342850993344</v>
      </c>
      <c r="D93" s="7">
        <v>1.1415065476820299</v>
      </c>
      <c r="E93" s="7">
        <v>1.1478031852542547</v>
      </c>
      <c r="F93" s="8">
        <v>1.0978409252999581</v>
      </c>
      <c r="G93" s="8">
        <f t="shared" si="8"/>
        <v>1.1163204163906821</v>
      </c>
      <c r="H93" s="8">
        <f t="shared" si="9"/>
        <v>1.1228220552771064</v>
      </c>
      <c r="I93" s="8">
        <f t="shared" si="10"/>
        <v>1.0058241691103758</v>
      </c>
      <c r="J93" s="22">
        <f t="shared" si="11"/>
        <v>8.3781256965114858E-3</v>
      </c>
      <c r="K93" s="8"/>
      <c r="L93" s="8">
        <v>1.3620963932790029</v>
      </c>
      <c r="M93" s="8">
        <v>1.2584956417820321</v>
      </c>
      <c r="N93" s="8">
        <v>1.0979040699726337</v>
      </c>
      <c r="O93" s="8">
        <v>1.0761816892019038</v>
      </c>
      <c r="P93" s="8">
        <f t="shared" si="12"/>
        <v>1.3102960175305176</v>
      </c>
      <c r="Q93" s="8">
        <f t="shared" si="13"/>
        <v>1.0870428795872686</v>
      </c>
      <c r="R93" s="8">
        <f t="shared" si="14"/>
        <v>0.82961625849706189</v>
      </c>
      <c r="S93" s="22">
        <f t="shared" si="15"/>
        <v>-0.26948392708236563</v>
      </c>
      <c r="T93" s="25"/>
      <c r="U93" s="1" t="s">
        <v>268</v>
      </c>
    </row>
    <row r="94" spans="1:21">
      <c r="A94" s="6" t="s">
        <v>269</v>
      </c>
      <c r="B94" s="6" t="s">
        <v>270</v>
      </c>
      <c r="C94" s="7">
        <v>1.0699991753668308</v>
      </c>
      <c r="D94" s="7">
        <v>1.1976712473618418</v>
      </c>
      <c r="E94" s="7">
        <v>1.1341783678094717</v>
      </c>
      <c r="F94" s="8">
        <v>1.2052835149099308</v>
      </c>
      <c r="G94" s="8">
        <f t="shared" si="8"/>
        <v>1.1338352113643362</v>
      </c>
      <c r="H94" s="8">
        <f t="shared" si="9"/>
        <v>1.1697309413597012</v>
      </c>
      <c r="I94" s="8">
        <f t="shared" si="10"/>
        <v>1.0316586834097099</v>
      </c>
      <c r="J94" s="22">
        <f t="shared" si="11"/>
        <v>4.4965744792906576E-2</v>
      </c>
      <c r="K94" s="8"/>
      <c r="L94" s="8">
        <v>0.73494667356359711</v>
      </c>
      <c r="M94" s="8">
        <v>0.75254464065056981</v>
      </c>
      <c r="N94" s="8">
        <v>0.72863618141468434</v>
      </c>
      <c r="O94" s="8">
        <v>0.92465303620682104</v>
      </c>
      <c r="P94" s="8">
        <f t="shared" si="12"/>
        <v>0.74374565710708351</v>
      </c>
      <c r="Q94" s="8">
        <f t="shared" si="13"/>
        <v>0.82664460881075263</v>
      </c>
      <c r="R94" s="8">
        <f t="shared" si="14"/>
        <v>1.1114614262436404</v>
      </c>
      <c r="S94" s="22">
        <f t="shared" si="15"/>
        <v>0.1524578798694653</v>
      </c>
      <c r="T94" s="25"/>
      <c r="U94" s="1" t="s">
        <v>271</v>
      </c>
    </row>
    <row r="95" spans="1:21">
      <c r="A95" s="6" t="s">
        <v>272</v>
      </c>
      <c r="B95" s="6" t="s">
        <v>273</v>
      </c>
      <c r="C95" s="7">
        <v>1.1248983412100968</v>
      </c>
      <c r="D95" s="7">
        <v>1.1573561429977437</v>
      </c>
      <c r="E95" s="7">
        <v>1.0839149323646589</v>
      </c>
      <c r="F95" s="8">
        <v>1.102195368600086</v>
      </c>
      <c r="G95" s="8">
        <f t="shared" si="8"/>
        <v>1.1411272421039202</v>
      </c>
      <c r="H95" s="8">
        <f t="shared" si="9"/>
        <v>1.0930551504823725</v>
      </c>
      <c r="I95" s="8">
        <f t="shared" si="10"/>
        <v>0.95787315397631179</v>
      </c>
      <c r="J95" s="22">
        <f t="shared" si="11"/>
        <v>-6.2093474672943655E-2</v>
      </c>
      <c r="K95" s="8"/>
      <c r="L95" s="8">
        <v>0.83681821345818808</v>
      </c>
      <c r="M95" s="8">
        <v>0.88441191357360083</v>
      </c>
      <c r="N95" s="8">
        <v>0.80532562584242984</v>
      </c>
      <c r="O95" s="8">
        <v>0.80754658307244787</v>
      </c>
      <c r="P95" s="8">
        <f t="shared" si="12"/>
        <v>0.86061506351589445</v>
      </c>
      <c r="Q95" s="8">
        <f t="shared" si="13"/>
        <v>0.80643610445743885</v>
      </c>
      <c r="R95" s="8">
        <f t="shared" si="14"/>
        <v>0.93704623430931266</v>
      </c>
      <c r="S95" s="22">
        <f t="shared" si="15"/>
        <v>-9.3807861983494945E-2</v>
      </c>
      <c r="T95" s="25"/>
      <c r="U95" s="1" t="s">
        <v>274</v>
      </c>
    </row>
    <row r="96" spans="1:21">
      <c r="A96" s="6" t="s">
        <v>275</v>
      </c>
      <c r="B96" s="6" t="s">
        <v>276</v>
      </c>
      <c r="C96" s="7">
        <v>0.1858994270844091</v>
      </c>
      <c r="D96" s="7">
        <v>0.18656184785240737</v>
      </c>
      <c r="E96" s="7">
        <v>0.13193140060393732</v>
      </c>
      <c r="F96" s="8">
        <v>0.13886055778453127</v>
      </c>
      <c r="G96" s="8">
        <f t="shared" si="8"/>
        <v>0.18623063746840823</v>
      </c>
      <c r="H96" s="8">
        <f t="shared" si="9"/>
        <v>0.13539597919423429</v>
      </c>
      <c r="I96" s="8">
        <f t="shared" si="10"/>
        <v>0.72703385992115599</v>
      </c>
      <c r="J96" s="22">
        <f t="shared" si="11"/>
        <v>-0.45990553899174752</v>
      </c>
      <c r="K96" s="8"/>
      <c r="L96" s="8">
        <v>0.53862663982617842</v>
      </c>
      <c r="M96" s="8">
        <v>0.57502958929030534</v>
      </c>
      <c r="N96" s="8">
        <v>0.60106540886323179</v>
      </c>
      <c r="O96" s="8">
        <v>0.6342822626395459</v>
      </c>
      <c r="P96" s="8">
        <f t="shared" si="12"/>
        <v>0.55682811455824188</v>
      </c>
      <c r="Q96" s="8">
        <f t="shared" si="13"/>
        <v>0.6176738357513889</v>
      </c>
      <c r="R96" s="8">
        <f t="shared" si="14"/>
        <v>1.1092719990286748</v>
      </c>
      <c r="S96" s="22">
        <f t="shared" si="15"/>
        <v>0.14961316490017812</v>
      </c>
      <c r="T96" s="25"/>
      <c r="U96" s="1" t="s">
        <v>277</v>
      </c>
    </row>
    <row r="97" spans="1:21">
      <c r="A97" s="6" t="s">
        <v>278</v>
      </c>
      <c r="B97" s="6" t="s">
        <v>279</v>
      </c>
      <c r="C97" s="7">
        <v>0.18957451730030447</v>
      </c>
      <c r="D97" s="7">
        <v>0.20022619996014085</v>
      </c>
      <c r="E97" s="7">
        <v>0.60092189890623637</v>
      </c>
      <c r="F97" s="8">
        <v>0.58172063669026031</v>
      </c>
      <c r="G97" s="8">
        <f t="shared" si="8"/>
        <v>0.19490035863022265</v>
      </c>
      <c r="H97" s="8">
        <f t="shared" si="9"/>
        <v>0.59132126779824834</v>
      </c>
      <c r="I97" s="8">
        <f t="shared" si="10"/>
        <v>3.0339670586247647</v>
      </c>
      <c r="J97" s="22">
        <f t="shared" si="11"/>
        <v>1.6012054215715352</v>
      </c>
      <c r="K97" s="8"/>
      <c r="L97" s="8">
        <v>1.0330405755370309</v>
      </c>
      <c r="M97" s="8">
        <v>1.0890360807342205</v>
      </c>
      <c r="N97" s="8">
        <v>1.109316704318138</v>
      </c>
      <c r="O97" s="8">
        <v>1.0453525282441807</v>
      </c>
      <c r="P97" s="8">
        <f t="shared" si="12"/>
        <v>1.0610383281356257</v>
      </c>
      <c r="Q97" s="8">
        <f t="shared" si="13"/>
        <v>1.0773346162811595</v>
      </c>
      <c r="R97" s="8">
        <f t="shared" si="14"/>
        <v>1.0153588119424191</v>
      </c>
      <c r="S97" s="22">
        <f t="shared" si="15"/>
        <v>2.1989643403904413E-2</v>
      </c>
      <c r="T97" s="25"/>
      <c r="U97" s="1" t="s">
        <v>280</v>
      </c>
    </row>
    <row r="98" spans="1:21">
      <c r="A98" s="6" t="s">
        <v>281</v>
      </c>
      <c r="B98" s="6" t="s">
        <v>282</v>
      </c>
      <c r="C98" s="7">
        <v>1.1391977831410351</v>
      </c>
      <c r="D98" s="7">
        <v>1.103896669096486</v>
      </c>
      <c r="E98" s="7">
        <v>1.0267783835652748</v>
      </c>
      <c r="F98" s="8">
        <v>1.0701176362891442</v>
      </c>
      <c r="G98" s="8">
        <f t="shared" si="8"/>
        <v>1.1215472261187607</v>
      </c>
      <c r="H98" s="8">
        <f t="shared" si="9"/>
        <v>1.0484480099272095</v>
      </c>
      <c r="I98" s="8">
        <f t="shared" si="10"/>
        <v>0.93482288173943495</v>
      </c>
      <c r="J98" s="22">
        <f t="shared" si="11"/>
        <v>-9.7235047364831836E-2</v>
      </c>
      <c r="K98" s="8"/>
      <c r="L98" s="8">
        <v>0.98889298586075569</v>
      </c>
      <c r="M98" s="8">
        <v>1.0278290675838933</v>
      </c>
      <c r="N98" s="8">
        <v>1.1245335501121438</v>
      </c>
      <c r="O98" s="8">
        <v>1.1254196297243106</v>
      </c>
      <c r="P98" s="8">
        <f t="shared" si="12"/>
        <v>1.0083610267223244</v>
      </c>
      <c r="Q98" s="8">
        <f t="shared" si="13"/>
        <v>1.1249765899182274</v>
      </c>
      <c r="R98" s="8">
        <f t="shared" si="14"/>
        <v>1.115648621977152</v>
      </c>
      <c r="S98" s="22">
        <f t="shared" si="15"/>
        <v>0.1578827160983802</v>
      </c>
      <c r="T98" s="25"/>
      <c r="U98" s="1" t="s">
        <v>283</v>
      </c>
    </row>
    <row r="99" spans="1:21">
      <c r="A99" s="6" t="s">
        <v>284</v>
      </c>
      <c r="B99" s="6" t="s">
        <v>80</v>
      </c>
      <c r="C99" s="7">
        <v>1.0102622544030042</v>
      </c>
      <c r="D99" s="7">
        <v>1.1181073320062145</v>
      </c>
      <c r="E99" s="7">
        <v>1.0064220969076734</v>
      </c>
      <c r="F99" s="8">
        <v>1.0576283011874139</v>
      </c>
      <c r="G99" s="8">
        <f t="shared" si="8"/>
        <v>1.0641847932046093</v>
      </c>
      <c r="H99" s="8">
        <f t="shared" si="9"/>
        <v>1.0320251990475438</v>
      </c>
      <c r="I99" s="8">
        <f t="shared" si="10"/>
        <v>0.96978006605392042</v>
      </c>
      <c r="J99" s="22">
        <f t="shared" si="11"/>
        <v>-4.4270495618700632E-2</v>
      </c>
      <c r="K99" s="8"/>
      <c r="L99" s="8">
        <v>1.3734263056737992</v>
      </c>
      <c r="M99" s="8">
        <v>1.2700823059300808</v>
      </c>
      <c r="N99" s="8">
        <v>1.2004016307044174</v>
      </c>
      <c r="O99" s="8">
        <v>1.1078980202591298</v>
      </c>
      <c r="P99" s="8">
        <f t="shared" si="12"/>
        <v>1.3217543058019401</v>
      </c>
      <c r="Q99" s="8">
        <f t="shared" si="13"/>
        <v>1.1541498254817735</v>
      </c>
      <c r="R99" s="8">
        <f t="shared" si="14"/>
        <v>0.87319543459442184</v>
      </c>
      <c r="S99" s="22">
        <f t="shared" si="15"/>
        <v>-0.19562350751010771</v>
      </c>
      <c r="T99" s="25"/>
      <c r="U99" s="1">
        <v>0</v>
      </c>
    </row>
    <row r="100" spans="1:21">
      <c r="A100" s="6" t="s">
        <v>285</v>
      </c>
      <c r="B100" s="6" t="s">
        <v>80</v>
      </c>
      <c r="C100" s="7">
        <v>1.5759321404336191</v>
      </c>
      <c r="D100" s="7">
        <v>1.5602833966716421</v>
      </c>
      <c r="E100" s="7">
        <v>1.2285808158080764</v>
      </c>
      <c r="F100" s="8">
        <v>1.8786189995783351</v>
      </c>
      <c r="G100" s="8">
        <f t="shared" si="8"/>
        <v>1.5681077685526306</v>
      </c>
      <c r="H100" s="8">
        <f t="shared" si="9"/>
        <v>1.5535999076932057</v>
      </c>
      <c r="I100" s="8">
        <f t="shared" si="10"/>
        <v>0.99074817359471679</v>
      </c>
      <c r="J100" s="22">
        <f t="shared" si="11"/>
        <v>-1.3409692243205883E-2</v>
      </c>
      <c r="K100" s="8"/>
      <c r="L100" s="8">
        <v>1.6707388343786265</v>
      </c>
      <c r="M100" s="8">
        <v>1.7846037602250204</v>
      </c>
      <c r="N100" s="8">
        <v>1.6472667868766864</v>
      </c>
      <c r="O100" s="8">
        <v>1.5366229708438708</v>
      </c>
      <c r="P100" s="8">
        <f t="shared" si="12"/>
        <v>1.7276712973018236</v>
      </c>
      <c r="Q100" s="8">
        <f t="shared" si="13"/>
        <v>1.5919448788602786</v>
      </c>
      <c r="R100" s="8">
        <f t="shared" si="14"/>
        <v>0.92143967509704272</v>
      </c>
      <c r="S100" s="22">
        <f t="shared" si="15"/>
        <v>-0.11803837644009341</v>
      </c>
      <c r="T100" s="25"/>
      <c r="U100" s="1">
        <v>0</v>
      </c>
    </row>
    <row r="101" spans="1:21">
      <c r="A101" s="6" t="s">
        <v>286</v>
      </c>
      <c r="B101" s="6" t="s">
        <v>287</v>
      </c>
      <c r="C101" s="7">
        <v>1.000052185585026</v>
      </c>
      <c r="D101" s="7">
        <v>1.0003148246266393</v>
      </c>
      <c r="E101" s="7">
        <v>0.91119001893594576</v>
      </c>
      <c r="F101" s="8">
        <v>0.89629617691767749</v>
      </c>
      <c r="G101" s="8">
        <f t="shared" si="8"/>
        <v>1.0001835051058325</v>
      </c>
      <c r="H101" s="8">
        <f t="shared" si="9"/>
        <v>0.90374309792681162</v>
      </c>
      <c r="I101" s="8">
        <f t="shared" si="10"/>
        <v>0.90357728688115457</v>
      </c>
      <c r="J101" s="22">
        <f t="shared" si="11"/>
        <v>-0.14628008856070546</v>
      </c>
      <c r="K101" s="8"/>
      <c r="L101" s="8">
        <v>0.70450567330746339</v>
      </c>
      <c r="M101" s="8">
        <v>0.67923600050116928</v>
      </c>
      <c r="N101" s="8">
        <v>0.67053549747393471</v>
      </c>
      <c r="O101" s="8">
        <v>0.72175723445052453</v>
      </c>
      <c r="P101" s="8">
        <f t="shared" si="12"/>
        <v>0.69187083690431628</v>
      </c>
      <c r="Q101" s="8">
        <f t="shared" si="13"/>
        <v>0.69614636596222956</v>
      </c>
      <c r="R101" s="8">
        <f t="shared" si="14"/>
        <v>1.0061796636450866</v>
      </c>
      <c r="S101" s="22">
        <f t="shared" si="15"/>
        <v>8.8879360649391122E-3</v>
      </c>
      <c r="T101" s="25"/>
      <c r="U101" s="1" t="s">
        <v>288</v>
      </c>
    </row>
    <row r="102" spans="1:21">
      <c r="A102" s="6" t="s">
        <v>289</v>
      </c>
      <c r="B102" s="6" t="s">
        <v>290</v>
      </c>
      <c r="C102" s="7">
        <v>1.1172474715788236</v>
      </c>
      <c r="D102" s="7">
        <v>1.1471473712640758</v>
      </c>
      <c r="E102" s="7">
        <v>1.0096934020862476</v>
      </c>
      <c r="F102" s="8">
        <v>0.89547147174719877</v>
      </c>
      <c r="G102" s="8">
        <f t="shared" si="8"/>
        <v>1.1321974214214499</v>
      </c>
      <c r="H102" s="8">
        <f t="shared" si="9"/>
        <v>0.95258243691672317</v>
      </c>
      <c r="I102" s="8">
        <f t="shared" si="10"/>
        <v>0.84135718638254464</v>
      </c>
      <c r="J102" s="22">
        <f t="shared" si="11"/>
        <v>-0.24920968843398517</v>
      </c>
      <c r="K102" s="8"/>
      <c r="L102" s="8">
        <v>0.90242101080162074</v>
      </c>
      <c r="M102" s="8">
        <v>0.97401544965184461</v>
      </c>
      <c r="N102" s="8">
        <v>0.9304323068874667</v>
      </c>
      <c r="O102" s="8">
        <v>1.1323395565004328</v>
      </c>
      <c r="P102" s="8">
        <f t="shared" si="12"/>
        <v>0.93821823022673267</v>
      </c>
      <c r="Q102" s="8">
        <f t="shared" si="13"/>
        <v>1.0313859316939498</v>
      </c>
      <c r="R102" s="8">
        <f t="shared" si="14"/>
        <v>1.0993028044708766</v>
      </c>
      <c r="S102" s="22">
        <f t="shared" si="15"/>
        <v>0.13658883336346775</v>
      </c>
      <c r="T102" s="25"/>
      <c r="U102" s="1" t="s">
        <v>291</v>
      </c>
    </row>
    <row r="103" spans="1:21">
      <c r="A103" s="6" t="s">
        <v>292</v>
      </c>
      <c r="B103" s="13" t="s">
        <v>293</v>
      </c>
      <c r="C103" s="14">
        <v>1.1062556108421913</v>
      </c>
      <c r="D103" s="14">
        <v>1.0904692710715456</v>
      </c>
      <c r="E103" s="14">
        <v>1.01726124623132</v>
      </c>
      <c r="F103" s="8">
        <v>1.1167101796005121</v>
      </c>
      <c r="G103" s="8">
        <f t="shared" si="8"/>
        <v>1.0983624409568684</v>
      </c>
      <c r="H103" s="8">
        <f t="shared" si="9"/>
        <v>1.0669857129159159</v>
      </c>
      <c r="I103" s="8">
        <f t="shared" si="10"/>
        <v>0.97143317463257595</v>
      </c>
      <c r="J103" s="22">
        <f t="shared" si="11"/>
        <v>-4.1813339367129228E-2</v>
      </c>
      <c r="K103" s="8"/>
      <c r="L103" s="8">
        <v>1.1141731665940207</v>
      </c>
      <c r="M103" s="8">
        <v>0.98795622969029051</v>
      </c>
      <c r="N103" s="8">
        <v>1.3132743135684779</v>
      </c>
      <c r="O103" s="8">
        <v>0.76908775925900041</v>
      </c>
      <c r="P103" s="8">
        <f t="shared" si="12"/>
        <v>1.0510646981421556</v>
      </c>
      <c r="Q103" s="8">
        <f t="shared" si="13"/>
        <v>1.041181036413739</v>
      </c>
      <c r="R103" s="8">
        <f t="shared" si="14"/>
        <v>0.99059652393816788</v>
      </c>
      <c r="S103" s="22">
        <f t="shared" si="15"/>
        <v>-1.3630536408438986E-2</v>
      </c>
      <c r="T103" s="25"/>
      <c r="U103" s="1" t="s">
        <v>294</v>
      </c>
    </row>
    <row r="104" spans="1:21">
      <c r="A104" s="6" t="s">
        <v>295</v>
      </c>
      <c r="B104" s="6" t="s">
        <v>296</v>
      </c>
      <c r="C104" s="7">
        <v>1.0471067043129081</v>
      </c>
      <c r="D104" s="7">
        <v>1.0668331013129373</v>
      </c>
      <c r="E104" s="7">
        <v>1.032403679480596</v>
      </c>
      <c r="F104" s="8">
        <v>0.98162347267609174</v>
      </c>
      <c r="G104" s="8">
        <f t="shared" si="8"/>
        <v>1.0569699028129227</v>
      </c>
      <c r="H104" s="8">
        <f t="shared" si="9"/>
        <v>1.0070135760783439</v>
      </c>
      <c r="I104" s="8">
        <f t="shared" si="10"/>
        <v>0.95273628264945898</v>
      </c>
      <c r="J104" s="22">
        <f t="shared" si="11"/>
        <v>-6.9851163401811134E-2</v>
      </c>
      <c r="K104" s="8"/>
      <c r="L104" s="8">
        <v>0.82763707755206006</v>
      </c>
      <c r="M104" s="8">
        <v>0.99479787899675742</v>
      </c>
      <c r="N104" s="8">
        <v>1.011055651790367</v>
      </c>
      <c r="O104" s="8">
        <v>0.95273196985608544</v>
      </c>
      <c r="P104" s="8">
        <f t="shared" si="12"/>
        <v>0.91121747827440869</v>
      </c>
      <c r="Q104" s="8">
        <f t="shared" si="13"/>
        <v>0.98189381082322624</v>
      </c>
      <c r="R104" s="8">
        <f t="shared" si="14"/>
        <v>1.0775625295101436</v>
      </c>
      <c r="S104" s="22">
        <f t="shared" si="15"/>
        <v>0.10777158940414668</v>
      </c>
      <c r="T104" s="25"/>
      <c r="U104" s="1" t="s">
        <v>297</v>
      </c>
    </row>
    <row r="105" spans="1:21">
      <c r="A105" s="6" t="s">
        <v>298</v>
      </c>
      <c r="B105" s="6" t="s">
        <v>299</v>
      </c>
      <c r="C105" s="7">
        <v>1.0593948695984199</v>
      </c>
      <c r="D105" s="7">
        <v>1.0907720457328922</v>
      </c>
      <c r="E105" s="7">
        <v>0.93441965818338757</v>
      </c>
      <c r="F105" s="8">
        <v>1.0209190246390636</v>
      </c>
      <c r="G105" s="8">
        <f t="shared" si="8"/>
        <v>1.0750834576656561</v>
      </c>
      <c r="H105" s="8">
        <f t="shared" si="9"/>
        <v>0.97766934141122563</v>
      </c>
      <c r="I105" s="8">
        <f t="shared" si="10"/>
        <v>0.90938925200658649</v>
      </c>
      <c r="J105" s="22">
        <f t="shared" si="11"/>
        <v>-0.13703014179284598</v>
      </c>
      <c r="K105" s="8"/>
      <c r="L105" s="8">
        <v>1.2111285663402946</v>
      </c>
      <c r="M105" s="8">
        <v>1.2307244308875025</v>
      </c>
      <c r="N105" s="8">
        <v>1.1119969442023094</v>
      </c>
      <c r="O105" s="8">
        <v>1.1009780934830078</v>
      </c>
      <c r="P105" s="8">
        <f t="shared" si="12"/>
        <v>1.2209264986138986</v>
      </c>
      <c r="Q105" s="8">
        <f t="shared" si="13"/>
        <v>1.1064875188426586</v>
      </c>
      <c r="R105" s="8">
        <f t="shared" si="14"/>
        <v>0.90626873943586206</v>
      </c>
      <c r="S105" s="22">
        <f t="shared" si="15"/>
        <v>-0.14198917313540912</v>
      </c>
      <c r="T105" s="25"/>
      <c r="U105" s="1" t="s">
        <v>300</v>
      </c>
    </row>
    <row r="106" spans="1:21">
      <c r="A106" s="6" t="s">
        <v>301</v>
      </c>
      <c r="B106" s="6" t="s">
        <v>302</v>
      </c>
      <c r="C106" s="7">
        <v>0.29025194326920539</v>
      </c>
      <c r="D106" s="7">
        <v>0.27799979557910942</v>
      </c>
      <c r="E106" s="7">
        <v>0.48652064708397763</v>
      </c>
      <c r="F106" s="8">
        <v>0.51752558622019373</v>
      </c>
      <c r="G106" s="8">
        <f t="shared" si="8"/>
        <v>0.28412586942415741</v>
      </c>
      <c r="H106" s="8">
        <f t="shared" si="9"/>
        <v>0.50202311665208565</v>
      </c>
      <c r="I106" s="8">
        <f t="shared" si="10"/>
        <v>1.7669039347580149</v>
      </c>
      <c r="J106" s="22">
        <f t="shared" si="11"/>
        <v>0.8212236037742271</v>
      </c>
      <c r="K106" s="8"/>
      <c r="L106" s="8">
        <v>1.0795973994581767</v>
      </c>
      <c r="M106" s="8">
        <v>1.1977300253611542</v>
      </c>
      <c r="N106" s="8">
        <v>1.3415897510544832</v>
      </c>
      <c r="O106" s="8">
        <v>1.4569107374035419</v>
      </c>
      <c r="P106" s="8">
        <f t="shared" si="12"/>
        <v>1.1386637124096655</v>
      </c>
      <c r="Q106" s="8">
        <f t="shared" si="13"/>
        <v>1.3992502442290125</v>
      </c>
      <c r="R106" s="8">
        <f t="shared" si="14"/>
        <v>1.228852934346953</v>
      </c>
      <c r="S106" s="22">
        <f t="shared" si="15"/>
        <v>0.29731226836815283</v>
      </c>
      <c r="T106" s="25"/>
      <c r="U106" s="1" t="s">
        <v>303</v>
      </c>
    </row>
    <row r="107" spans="1:21">
      <c r="A107" s="6" t="s">
        <v>304</v>
      </c>
      <c r="B107" s="6" t="s">
        <v>305</v>
      </c>
      <c r="C107" s="7">
        <v>1.1384560831156454</v>
      </c>
      <c r="D107" s="7">
        <v>1.0664447598994709</v>
      </c>
      <c r="E107" s="7">
        <v>1.0433574931094709</v>
      </c>
      <c r="F107" s="8">
        <v>0.99827591947839878</v>
      </c>
      <c r="G107" s="8">
        <f t="shared" si="8"/>
        <v>1.1024504215075581</v>
      </c>
      <c r="H107" s="8">
        <f t="shared" si="9"/>
        <v>1.0208167062939348</v>
      </c>
      <c r="I107" s="8">
        <f t="shared" si="10"/>
        <v>0.92595248401103392</v>
      </c>
      <c r="J107" s="22">
        <f t="shared" si="11"/>
        <v>-0.11098993254708919</v>
      </c>
      <c r="K107" s="8"/>
      <c r="L107" s="8">
        <v>0.61080599551371695</v>
      </c>
      <c r="M107" s="8">
        <v>0.82813383056879264</v>
      </c>
      <c r="N107" s="8">
        <v>0.75094269399907931</v>
      </c>
      <c r="O107" s="8">
        <v>0.85252610711724119</v>
      </c>
      <c r="P107" s="8">
        <f t="shared" si="12"/>
        <v>0.71946991304125474</v>
      </c>
      <c r="Q107" s="8">
        <f t="shared" si="13"/>
        <v>0.80173440055816025</v>
      </c>
      <c r="R107" s="8">
        <f t="shared" si="14"/>
        <v>1.1143404137209396</v>
      </c>
      <c r="S107" s="22">
        <f t="shared" si="15"/>
        <v>0.15619002097747611</v>
      </c>
      <c r="T107" s="25"/>
      <c r="U107" s="1" t="s">
        <v>306</v>
      </c>
    </row>
    <row r="108" spans="1:21">
      <c r="A108" s="6" t="s">
        <v>307</v>
      </c>
      <c r="B108" s="6" t="s">
        <v>308</v>
      </c>
      <c r="C108" s="7">
        <v>0.94090996103795332</v>
      </c>
      <c r="D108" s="7">
        <v>0.97365090825456391</v>
      </c>
      <c r="E108" s="7">
        <v>1.0307646544117435</v>
      </c>
      <c r="F108" s="8">
        <v>0.95042982430790313</v>
      </c>
      <c r="G108" s="8">
        <f t="shared" si="8"/>
        <v>0.95728043464625867</v>
      </c>
      <c r="H108" s="8">
        <f t="shared" si="9"/>
        <v>0.99059723935982325</v>
      </c>
      <c r="I108" s="8">
        <f t="shared" si="10"/>
        <v>1.0348035993505664</v>
      </c>
      <c r="J108" s="22">
        <f t="shared" si="11"/>
        <v>4.9356977260708708E-2</v>
      </c>
      <c r="K108" s="8"/>
      <c r="L108" s="8">
        <v>0.64779099689443131</v>
      </c>
      <c r="M108" s="8">
        <v>1.0716009099209662</v>
      </c>
      <c r="N108" s="8">
        <v>0.68125645701062065</v>
      </c>
      <c r="O108" s="8">
        <v>0.685782486915685</v>
      </c>
      <c r="P108" s="8">
        <f t="shared" si="12"/>
        <v>0.85969595340769878</v>
      </c>
      <c r="Q108" s="8">
        <f t="shared" si="13"/>
        <v>0.68351947196315277</v>
      </c>
      <c r="R108" s="8">
        <f t="shared" si="14"/>
        <v>0.79507117516813908</v>
      </c>
      <c r="S108" s="22">
        <f t="shared" si="15"/>
        <v>-0.33084407792960541</v>
      </c>
      <c r="T108" s="25"/>
      <c r="U108" s="1" t="s">
        <v>309</v>
      </c>
    </row>
    <row r="109" spans="1:21">
      <c r="A109" s="6" t="s">
        <v>310</v>
      </c>
      <c r="B109" s="6" t="s">
        <v>311</v>
      </c>
      <c r="C109" s="7">
        <v>1.3897052962208849</v>
      </c>
      <c r="D109" s="7">
        <v>1.3241191608212195</v>
      </c>
      <c r="E109" s="7">
        <v>1.2639446365323321</v>
      </c>
      <c r="F109" s="8">
        <v>1.201582238104822</v>
      </c>
      <c r="G109" s="8">
        <f t="shared" si="8"/>
        <v>1.3569122285210522</v>
      </c>
      <c r="H109" s="8">
        <f t="shared" si="9"/>
        <v>1.2327634373185772</v>
      </c>
      <c r="I109" s="8">
        <f t="shared" si="10"/>
        <v>0.90850639518682108</v>
      </c>
      <c r="J109" s="22">
        <f t="shared" si="11"/>
        <v>-0.13843142492787305</v>
      </c>
      <c r="K109" s="8"/>
      <c r="L109" s="8">
        <v>1.2656293518256081</v>
      </c>
      <c r="M109" s="8">
        <v>1.3095505301550214</v>
      </c>
      <c r="N109" s="8">
        <v>1.3948054816579527</v>
      </c>
      <c r="O109" s="8">
        <v>1.4989182416150006</v>
      </c>
      <c r="P109" s="8">
        <f t="shared" si="12"/>
        <v>1.2875899409903147</v>
      </c>
      <c r="Q109" s="8">
        <f t="shared" si="13"/>
        <v>1.4468618616364766</v>
      </c>
      <c r="R109" s="8">
        <f t="shared" si="14"/>
        <v>1.123697704972487</v>
      </c>
      <c r="S109" s="22">
        <f t="shared" si="15"/>
        <v>0.16825397666751835</v>
      </c>
      <c r="T109" s="25"/>
      <c r="U109" s="1" t="s">
        <v>312</v>
      </c>
    </row>
    <row r="110" spans="1:21">
      <c r="A110" s="6" t="s">
        <v>313</v>
      </c>
      <c r="B110" s="6" t="s">
        <v>314</v>
      </c>
      <c r="C110" s="7">
        <v>0.29613876959684871</v>
      </c>
      <c r="D110" s="7">
        <v>0.35074469899658073</v>
      </c>
      <c r="E110" s="7">
        <v>0.57284263404354763</v>
      </c>
      <c r="F110" s="8">
        <v>0.55697948157589749</v>
      </c>
      <c r="G110" s="8">
        <f t="shared" si="8"/>
        <v>0.32344173429671474</v>
      </c>
      <c r="H110" s="8">
        <f t="shared" si="9"/>
        <v>0.56491105780972251</v>
      </c>
      <c r="I110" s="8">
        <f t="shared" si="10"/>
        <v>1.7465620478385506</v>
      </c>
      <c r="J110" s="22">
        <f t="shared" si="11"/>
        <v>0.80451789639375371</v>
      </c>
      <c r="K110" s="8"/>
      <c r="L110" s="8">
        <v>1.0935318894149952</v>
      </c>
      <c r="M110" s="8">
        <v>1.2395155824157047</v>
      </c>
      <c r="N110" s="8">
        <v>1.4030191200126716</v>
      </c>
      <c r="O110" s="8">
        <v>1.4916878053040528</v>
      </c>
      <c r="P110" s="8">
        <f t="shared" si="12"/>
        <v>1.16652373591535</v>
      </c>
      <c r="Q110" s="8">
        <f t="shared" si="13"/>
        <v>1.4473534626583622</v>
      </c>
      <c r="R110" s="8">
        <f t="shared" si="14"/>
        <v>1.2407406879917879</v>
      </c>
      <c r="S110" s="22">
        <f t="shared" si="15"/>
        <v>0.31120162695944825</v>
      </c>
      <c r="T110" s="25"/>
      <c r="U110" s="1" t="s">
        <v>315</v>
      </c>
    </row>
    <row r="111" spans="1:21">
      <c r="A111" s="6" t="s">
        <v>316</v>
      </c>
      <c r="B111" s="6" t="s">
        <v>317</v>
      </c>
      <c r="C111" s="7">
        <v>1.0869981381108995</v>
      </c>
      <c r="D111" s="7">
        <v>1.1067598642635688</v>
      </c>
      <c r="E111" s="7">
        <v>1.0479777901142613</v>
      </c>
      <c r="F111" s="8">
        <v>1.0176531921639678</v>
      </c>
      <c r="G111" s="8">
        <f t="shared" si="8"/>
        <v>1.0968790011872342</v>
      </c>
      <c r="H111" s="8">
        <f t="shared" si="9"/>
        <v>1.0328154911391145</v>
      </c>
      <c r="I111" s="8">
        <f t="shared" si="10"/>
        <v>0.94159473380493297</v>
      </c>
      <c r="J111" s="22">
        <f t="shared" si="11"/>
        <v>-8.6821843260743284E-2</v>
      </c>
      <c r="K111" s="8"/>
      <c r="L111" s="8">
        <v>0.86113845644356979</v>
      </c>
      <c r="M111" s="8">
        <v>1.2312393937385269</v>
      </c>
      <c r="N111" s="8">
        <v>0.89165528791808246</v>
      </c>
      <c r="O111" s="8">
        <v>0.98852928337102453</v>
      </c>
      <c r="P111" s="8">
        <f t="shared" si="12"/>
        <v>1.0461889250910483</v>
      </c>
      <c r="Q111" s="8">
        <f t="shared" si="13"/>
        <v>0.94009228564455349</v>
      </c>
      <c r="R111" s="8">
        <f t="shared" si="14"/>
        <v>0.89858749514361247</v>
      </c>
      <c r="S111" s="22">
        <f t="shared" si="15"/>
        <v>-0.1542691096116165</v>
      </c>
      <c r="T111" s="25"/>
      <c r="U111" s="1" t="s">
        <v>318</v>
      </c>
    </row>
    <row r="112" spans="1:21">
      <c r="A112" s="6" t="s">
        <v>319</v>
      </c>
      <c r="B112" s="6" t="s">
        <v>320</v>
      </c>
      <c r="C112" s="7">
        <v>1.1586623973208592</v>
      </c>
      <c r="D112" s="7">
        <v>1.1651822097877704</v>
      </c>
      <c r="E112" s="7">
        <v>1.0749643715977149</v>
      </c>
      <c r="F112" s="8">
        <v>1.1043198091192394</v>
      </c>
      <c r="G112" s="8">
        <f t="shared" si="8"/>
        <v>1.1619223035543147</v>
      </c>
      <c r="H112" s="8">
        <f t="shared" si="9"/>
        <v>1.0896420903584771</v>
      </c>
      <c r="I112" s="8">
        <f t="shared" si="10"/>
        <v>0.93779255895619462</v>
      </c>
      <c r="J112" s="22">
        <f t="shared" si="11"/>
        <v>-9.265926304507871E-2</v>
      </c>
      <c r="K112" s="8"/>
      <c r="L112" s="8">
        <v>0.53683599275228822</v>
      </c>
      <c r="M112" s="8">
        <v>0.671879388343678</v>
      </c>
      <c r="N112" s="8">
        <v>0.67369126378916888</v>
      </c>
      <c r="O112" s="8">
        <v>0.69909003840822737</v>
      </c>
      <c r="P112" s="8">
        <f t="shared" si="12"/>
        <v>0.60435769054798305</v>
      </c>
      <c r="Q112" s="8">
        <f t="shared" si="13"/>
        <v>0.68639065109869812</v>
      </c>
      <c r="R112" s="8">
        <f t="shared" si="14"/>
        <v>1.1357357767323755</v>
      </c>
      <c r="S112" s="22">
        <f t="shared" si="15"/>
        <v>0.18362723806808226</v>
      </c>
      <c r="T112" s="25"/>
      <c r="U112" s="1" t="s">
        <v>321</v>
      </c>
    </row>
    <row r="113" spans="1:21">
      <c r="A113" s="6" t="s">
        <v>322</v>
      </c>
      <c r="B113" s="6" t="s">
        <v>323</v>
      </c>
      <c r="C113" s="7">
        <v>1.1319478324424053</v>
      </c>
      <c r="D113" s="7">
        <v>1.0878167017558342</v>
      </c>
      <c r="E113" s="7">
        <v>0.96548019498201387</v>
      </c>
      <c r="F113" s="8">
        <v>1.0865985444159918</v>
      </c>
      <c r="G113" s="8">
        <f t="shared" si="8"/>
        <v>1.1098822670991197</v>
      </c>
      <c r="H113" s="8">
        <f t="shared" si="9"/>
        <v>1.0260393696990029</v>
      </c>
      <c r="I113" s="8">
        <f t="shared" si="10"/>
        <v>0.9244578457684024</v>
      </c>
      <c r="J113" s="22">
        <f t="shared" si="11"/>
        <v>-0.11332055901929824</v>
      </c>
      <c r="K113" s="8"/>
      <c r="L113" s="8">
        <v>1.018454941189707</v>
      </c>
      <c r="M113" s="8">
        <v>1.3495705002917742</v>
      </c>
      <c r="N113" s="8">
        <v>1.3169488359903261</v>
      </c>
      <c r="O113" s="8">
        <v>0.82693124974658472</v>
      </c>
      <c r="P113" s="8">
        <f t="shared" si="12"/>
        <v>1.1840127207407405</v>
      </c>
      <c r="Q113" s="8">
        <f t="shared" si="13"/>
        <v>1.0719400428684553</v>
      </c>
      <c r="R113" s="8">
        <f t="shared" si="14"/>
        <v>0.90534503902781516</v>
      </c>
      <c r="S113" s="22">
        <f t="shared" si="15"/>
        <v>-0.14346036763534148</v>
      </c>
      <c r="T113" s="25"/>
      <c r="U113" s="1" t="s">
        <v>324</v>
      </c>
    </row>
    <row r="114" spans="1:21">
      <c r="A114" s="6" t="s">
        <v>325</v>
      </c>
      <c r="B114" s="6" t="s">
        <v>326</v>
      </c>
      <c r="C114" s="7">
        <v>1.0901052598388838</v>
      </c>
      <c r="D114" s="7">
        <v>1.0301973672899871</v>
      </c>
      <c r="E114" s="7">
        <v>0.97271753612966338</v>
      </c>
      <c r="F114" s="8">
        <v>1.0504698603076583</v>
      </c>
      <c r="G114" s="8">
        <f t="shared" si="8"/>
        <v>1.0601513135644356</v>
      </c>
      <c r="H114" s="8">
        <f t="shared" si="9"/>
        <v>1.0115936982186609</v>
      </c>
      <c r="I114" s="8">
        <f t="shared" si="10"/>
        <v>0.95419746716861142</v>
      </c>
      <c r="J114" s="22">
        <f t="shared" si="11"/>
        <v>-6.7640238064341121E-2</v>
      </c>
      <c r="K114" s="8"/>
      <c r="L114" s="8">
        <v>0.97635845634352414</v>
      </c>
      <c r="M114" s="8">
        <v>1.258569207903607</v>
      </c>
      <c r="N114" s="8">
        <v>1.0123093123813507</v>
      </c>
      <c r="O114" s="8">
        <v>0.89754998966700972</v>
      </c>
      <c r="P114" s="8">
        <f t="shared" si="12"/>
        <v>1.1174638321235655</v>
      </c>
      <c r="Q114" s="8">
        <f t="shared" si="13"/>
        <v>0.95492965102418026</v>
      </c>
      <c r="R114" s="8">
        <f t="shared" si="14"/>
        <v>0.85455083517959196</v>
      </c>
      <c r="S114" s="22">
        <f t="shared" si="15"/>
        <v>-0.22676177796540178</v>
      </c>
      <c r="T114" s="25"/>
      <c r="U114" s="1" t="s">
        <v>327</v>
      </c>
    </row>
    <row r="115" spans="1:21">
      <c r="A115" s="6" t="s">
        <v>328</v>
      </c>
      <c r="B115" s="6" t="s">
        <v>329</v>
      </c>
      <c r="C115" s="7">
        <v>1.1219382230907484</v>
      </c>
      <c r="D115" s="7">
        <v>1.0511019830386197</v>
      </c>
      <c r="E115" s="7">
        <v>1.0580682489743578</v>
      </c>
      <c r="F115" s="8">
        <v>1.108172831675716</v>
      </c>
      <c r="G115" s="8">
        <f t="shared" si="8"/>
        <v>1.0865201030646841</v>
      </c>
      <c r="H115" s="8">
        <f t="shared" si="9"/>
        <v>1.0831205403250368</v>
      </c>
      <c r="I115" s="8">
        <f t="shared" si="10"/>
        <v>0.99687114602844595</v>
      </c>
      <c r="J115" s="22">
        <f t="shared" si="11"/>
        <v>-4.521058668721544E-3</v>
      </c>
      <c r="K115" s="8"/>
      <c r="L115" s="8">
        <v>1.0216129914836589</v>
      </c>
      <c r="M115" s="8">
        <v>0.97247056109877139</v>
      </c>
      <c r="N115" s="8">
        <v>0.65177381828473424</v>
      </c>
      <c r="O115" s="8">
        <v>0.90273993474910119</v>
      </c>
      <c r="P115" s="8">
        <f t="shared" si="12"/>
        <v>0.99704177629121515</v>
      </c>
      <c r="Q115" s="8">
        <f t="shared" si="13"/>
        <v>0.77725687651691766</v>
      </c>
      <c r="R115" s="8">
        <f t="shared" si="14"/>
        <v>0.77956299826086439</v>
      </c>
      <c r="S115" s="22">
        <f t="shared" si="15"/>
        <v>-0.35926247978209475</v>
      </c>
      <c r="T115" s="25"/>
      <c r="U115" s="1" t="s">
        <v>330</v>
      </c>
    </row>
    <row r="116" spans="1:21">
      <c r="A116" s="6" t="s">
        <v>331</v>
      </c>
      <c r="B116" s="6" t="s">
        <v>332</v>
      </c>
      <c r="C116" s="7">
        <v>1.0265596090149476</v>
      </c>
      <c r="D116" s="7">
        <v>1.0445199251832569</v>
      </c>
      <c r="E116" s="7">
        <v>1.0772913824979375</v>
      </c>
      <c r="F116" s="8">
        <v>0.92541816589762338</v>
      </c>
      <c r="G116" s="8">
        <f t="shared" si="8"/>
        <v>1.0355397670991022</v>
      </c>
      <c r="H116" s="8">
        <f t="shared" si="9"/>
        <v>1.0013547741977804</v>
      </c>
      <c r="I116" s="8">
        <f t="shared" si="10"/>
        <v>0.96698823745119367</v>
      </c>
      <c r="J116" s="22">
        <f t="shared" si="11"/>
        <v>-4.8429754175981901E-2</v>
      </c>
      <c r="K116" s="8"/>
      <c r="L116" s="8">
        <v>0.48783737736674671</v>
      </c>
      <c r="M116" s="8">
        <v>0.64009882382331573</v>
      </c>
      <c r="N116" s="8">
        <v>0.55779250363652755</v>
      </c>
      <c r="O116" s="8">
        <v>0.57164805361464632</v>
      </c>
      <c r="P116" s="8">
        <f t="shared" si="12"/>
        <v>0.56396810059503122</v>
      </c>
      <c r="Q116" s="8">
        <f t="shared" si="13"/>
        <v>0.56472027862558694</v>
      </c>
      <c r="R116" s="8">
        <f t="shared" si="14"/>
        <v>1.0013337244247718</v>
      </c>
      <c r="S116" s="22">
        <f t="shared" si="15"/>
        <v>1.9228756052980828E-3</v>
      </c>
      <c r="T116" s="25"/>
      <c r="U116" s="1" t="s">
        <v>333</v>
      </c>
    </row>
    <row r="117" spans="1:21">
      <c r="A117" s="6" t="s">
        <v>334</v>
      </c>
      <c r="B117" s="6" t="s">
        <v>335</v>
      </c>
      <c r="C117" s="7">
        <v>0.25365472670109823</v>
      </c>
      <c r="D117" s="7">
        <v>0.25918827422848212</v>
      </c>
      <c r="E117" s="7">
        <v>0.589846676013002</v>
      </c>
      <c r="F117" s="8">
        <v>0.53350507360339017</v>
      </c>
      <c r="G117" s="8">
        <f t="shared" si="8"/>
        <v>0.25642150046479018</v>
      </c>
      <c r="H117" s="8">
        <f t="shared" si="9"/>
        <v>0.56167587480819603</v>
      </c>
      <c r="I117" s="8">
        <f t="shared" si="10"/>
        <v>2.1904398569936649</v>
      </c>
      <c r="J117" s="22">
        <f t="shared" si="11"/>
        <v>1.1312206030616081</v>
      </c>
      <c r="K117" s="8"/>
      <c r="L117" s="8">
        <v>0.92091351149197787</v>
      </c>
      <c r="M117" s="8">
        <v>0.86465940993073676</v>
      </c>
      <c r="N117" s="8">
        <v>0.51810766148056908</v>
      </c>
      <c r="O117" s="8">
        <v>0.57519673401265758</v>
      </c>
      <c r="P117" s="8">
        <f t="shared" si="12"/>
        <v>0.89278646071135737</v>
      </c>
      <c r="Q117" s="8">
        <f t="shared" si="13"/>
        <v>0.54665219774661333</v>
      </c>
      <c r="R117" s="8">
        <f t="shared" si="14"/>
        <v>0.61229893351098763</v>
      </c>
      <c r="S117" s="22">
        <f t="shared" si="15"/>
        <v>-0.70769192464834108</v>
      </c>
      <c r="T117" s="25"/>
      <c r="U117" s="1" t="s">
        <v>336</v>
      </c>
    </row>
    <row r="118" spans="1:21">
      <c r="A118" s="6" t="s">
        <v>337</v>
      </c>
      <c r="B118" s="6" t="s">
        <v>338</v>
      </c>
      <c r="C118" s="7">
        <v>1.2058238277641129</v>
      </c>
      <c r="D118" s="7">
        <v>1.186646300454109</v>
      </c>
      <c r="E118" s="7">
        <v>1.1699401411224613</v>
      </c>
      <c r="F118" s="8">
        <v>1.1255972025175913</v>
      </c>
      <c r="G118" s="8">
        <f t="shared" si="8"/>
        <v>1.1962350641091111</v>
      </c>
      <c r="H118" s="8">
        <f t="shared" si="9"/>
        <v>1.1477686718200264</v>
      </c>
      <c r="I118" s="8">
        <f t="shared" si="10"/>
        <v>0.95948422367540298</v>
      </c>
      <c r="J118" s="22">
        <f t="shared" si="11"/>
        <v>-5.9669009792790981E-2</v>
      </c>
      <c r="K118" s="8"/>
      <c r="L118" s="8">
        <v>0.61754533995544925</v>
      </c>
      <c r="M118" s="8">
        <v>0.65753399463657003</v>
      </c>
      <c r="N118" s="8">
        <v>0.76092874905139574</v>
      </c>
      <c r="O118" s="8">
        <v>0.79277520091572584</v>
      </c>
      <c r="P118" s="8">
        <f t="shared" si="12"/>
        <v>0.63753966729600964</v>
      </c>
      <c r="Q118" s="8">
        <f t="shared" si="13"/>
        <v>0.77685197498356073</v>
      </c>
      <c r="R118" s="8">
        <f t="shared" si="14"/>
        <v>1.2185155133615684</v>
      </c>
      <c r="S118" s="22">
        <f t="shared" si="15"/>
        <v>0.28512461865036398</v>
      </c>
      <c r="T118" s="25"/>
      <c r="U118" s="1" t="s">
        <v>339</v>
      </c>
    </row>
    <row r="119" spans="1:21">
      <c r="A119" s="6" t="s">
        <v>340</v>
      </c>
      <c r="B119" s="6" t="s">
        <v>341</v>
      </c>
      <c r="C119" s="7">
        <v>1.1694404346267486</v>
      </c>
      <c r="D119" s="7">
        <v>1.0461851858206637</v>
      </c>
      <c r="E119" s="7">
        <v>1.0406729993753008</v>
      </c>
      <c r="F119" s="8">
        <v>1.0357571200663174</v>
      </c>
      <c r="G119" s="8">
        <f t="shared" si="8"/>
        <v>1.1078128102237061</v>
      </c>
      <c r="H119" s="8">
        <f t="shared" si="9"/>
        <v>1.0382150597208091</v>
      </c>
      <c r="I119" s="8">
        <f t="shared" si="10"/>
        <v>0.9371755319485402</v>
      </c>
      <c r="J119" s="22">
        <f t="shared" si="11"/>
        <v>-9.360880649650144E-2</v>
      </c>
      <c r="K119" s="8"/>
      <c r="L119" s="8">
        <v>0.86618482546998765</v>
      </c>
      <c r="M119" s="8">
        <v>0.91424297587222803</v>
      </c>
      <c r="N119" s="8">
        <v>1.100843687910112</v>
      </c>
      <c r="O119" s="8">
        <v>0.86632160216451015</v>
      </c>
      <c r="P119" s="8">
        <f t="shared" si="12"/>
        <v>0.89021390067110784</v>
      </c>
      <c r="Q119" s="8">
        <f t="shared" si="13"/>
        <v>0.98358264503731108</v>
      </c>
      <c r="R119" s="8">
        <f t="shared" si="14"/>
        <v>1.10488349406341</v>
      </c>
      <c r="S119" s="22">
        <f t="shared" si="15"/>
        <v>0.14389425070404951</v>
      </c>
      <c r="T119" s="25"/>
      <c r="U119" s="1" t="s">
        <v>342</v>
      </c>
    </row>
    <row r="120" spans="1:21">
      <c r="A120" s="6" t="s">
        <v>343</v>
      </c>
      <c r="B120" s="6" t="s">
        <v>344</v>
      </c>
      <c r="C120" s="7">
        <v>3.8762178804380043E-2</v>
      </c>
      <c r="D120" s="7">
        <v>3.9716137099260022E-2</v>
      </c>
      <c r="E120" s="7">
        <v>6.1331913378916261E-2</v>
      </c>
      <c r="F120" s="8">
        <v>7.1327100784366784E-2</v>
      </c>
      <c r="G120" s="8">
        <f t="shared" si="8"/>
        <v>3.9239157951820036E-2</v>
      </c>
      <c r="H120" s="8">
        <f t="shared" si="9"/>
        <v>6.6329507081641523E-2</v>
      </c>
      <c r="I120" s="8">
        <f t="shared" si="10"/>
        <v>1.6903906848124644</v>
      </c>
      <c r="J120" s="22">
        <f t="shared" si="11"/>
        <v>0.75735672218915218</v>
      </c>
      <c r="K120" s="8"/>
      <c r="L120" s="8">
        <v>4.4635947969154412E-2</v>
      </c>
      <c r="M120" s="8">
        <v>4.7707629841330909E-2</v>
      </c>
      <c r="N120" s="8">
        <v>7.4355041947983216E-2</v>
      </c>
      <c r="O120" s="8">
        <v>5.1234073246288238E-2</v>
      </c>
      <c r="P120" s="8">
        <f t="shared" si="12"/>
        <v>4.6171788905242664E-2</v>
      </c>
      <c r="Q120" s="8">
        <f t="shared" si="13"/>
        <v>6.2794557597135731E-2</v>
      </c>
      <c r="R120" s="8">
        <f t="shared" si="14"/>
        <v>1.3600200270777381</v>
      </c>
      <c r="S120" s="22">
        <f t="shared" si="15"/>
        <v>0.44362789614693998</v>
      </c>
      <c r="T120" s="25"/>
      <c r="U120" s="1" t="s">
        <v>345</v>
      </c>
    </row>
    <row r="121" spans="1:21">
      <c r="A121" s="6" t="s">
        <v>346</v>
      </c>
      <c r="B121" s="6" t="s">
        <v>347</v>
      </c>
      <c r="C121" s="7">
        <v>1.2111627315504772</v>
      </c>
      <c r="D121" s="7">
        <v>1.1668803807144539</v>
      </c>
      <c r="E121" s="7">
        <v>1.2280142392410656</v>
      </c>
      <c r="F121" s="8">
        <v>1.3155960785131693</v>
      </c>
      <c r="G121" s="8">
        <f t="shared" si="8"/>
        <v>1.1890215561324655</v>
      </c>
      <c r="H121" s="8">
        <f t="shared" si="9"/>
        <v>1.2718051588771173</v>
      </c>
      <c r="I121" s="8">
        <f t="shared" si="10"/>
        <v>1.0696232985160692</v>
      </c>
      <c r="J121" s="22">
        <f t="shared" si="11"/>
        <v>9.7102795644422576E-2</v>
      </c>
      <c r="K121" s="8"/>
      <c r="L121" s="8">
        <v>0.9168764162708436</v>
      </c>
      <c r="M121" s="8">
        <v>1.1959276553825688</v>
      </c>
      <c r="N121" s="8">
        <v>1.2146241939607467</v>
      </c>
      <c r="O121" s="8">
        <v>0.78039917802766146</v>
      </c>
      <c r="P121" s="8">
        <f t="shared" si="12"/>
        <v>1.0564020358267063</v>
      </c>
      <c r="Q121" s="8">
        <f t="shared" si="13"/>
        <v>0.99751168599420414</v>
      </c>
      <c r="R121" s="8">
        <f t="shared" si="14"/>
        <v>0.94425384670295864</v>
      </c>
      <c r="S121" s="22">
        <f t="shared" si="15"/>
        <v>-8.2753338956382788E-2</v>
      </c>
      <c r="T121" s="25"/>
      <c r="U121" s="1" t="s">
        <v>348</v>
      </c>
    </row>
    <row r="122" spans="1:21">
      <c r="A122" s="6" t="s">
        <v>349</v>
      </c>
      <c r="B122" s="6" t="s">
        <v>350</v>
      </c>
      <c r="C122" s="7">
        <v>1.2638902531752596</v>
      </c>
      <c r="D122" s="7">
        <v>1.142237156103975</v>
      </c>
      <c r="E122" s="7">
        <v>1.0960153890458175</v>
      </c>
      <c r="F122" s="8">
        <v>1.0736935579083402</v>
      </c>
      <c r="G122" s="8">
        <f t="shared" si="8"/>
        <v>1.2030637046396173</v>
      </c>
      <c r="H122" s="8">
        <f t="shared" si="9"/>
        <v>1.0848544734770789</v>
      </c>
      <c r="I122" s="8">
        <f t="shared" si="10"/>
        <v>0.90174316563066081</v>
      </c>
      <c r="J122" s="22">
        <f t="shared" si="11"/>
        <v>-0.14921151111140904</v>
      </c>
      <c r="K122" s="8"/>
      <c r="L122" s="8">
        <v>1.1771062719363805</v>
      </c>
      <c r="M122" s="8">
        <v>1.530506376305272</v>
      </c>
      <c r="N122" s="8">
        <v>1.0866643543293337</v>
      </c>
      <c r="O122" s="8">
        <v>0.84604976539087062</v>
      </c>
      <c r="P122" s="8">
        <f t="shared" si="12"/>
        <v>1.3538063241208262</v>
      </c>
      <c r="Q122" s="8">
        <f t="shared" si="13"/>
        <v>0.96635705986010212</v>
      </c>
      <c r="R122" s="8">
        <f t="shared" si="14"/>
        <v>0.71380746465906997</v>
      </c>
      <c r="S122" s="22">
        <f t="shared" si="15"/>
        <v>-0.48639310640276318</v>
      </c>
      <c r="T122" s="25"/>
      <c r="U122" s="1" t="s">
        <v>351</v>
      </c>
    </row>
    <row r="123" spans="1:21">
      <c r="A123" s="6" t="s">
        <v>352</v>
      </c>
      <c r="B123" s="6" t="s">
        <v>80</v>
      </c>
      <c r="C123" s="7">
        <v>1.0056583686598191</v>
      </c>
      <c r="D123" s="7">
        <v>1.1636946647124584</v>
      </c>
      <c r="E123" s="7">
        <v>0.94514414320180573</v>
      </c>
      <c r="F123" s="8">
        <v>1.0766229106738807</v>
      </c>
      <c r="G123" s="8">
        <f t="shared" si="8"/>
        <v>1.0846765166861387</v>
      </c>
      <c r="H123" s="8">
        <f t="shared" si="9"/>
        <v>1.0108835269378433</v>
      </c>
      <c r="I123" s="8">
        <f t="shared" si="10"/>
        <v>0.93196774465649457</v>
      </c>
      <c r="J123" s="22">
        <f t="shared" si="11"/>
        <v>-0.10164807072603464</v>
      </c>
      <c r="K123" s="8"/>
      <c r="L123" s="8">
        <v>1.130093646941881</v>
      </c>
      <c r="M123" s="8">
        <v>1.4148972162502966</v>
      </c>
      <c r="N123" s="8">
        <v>1.4293027627477728</v>
      </c>
      <c r="O123" s="8">
        <v>1.3247223925776206</v>
      </c>
      <c r="P123" s="8">
        <f t="shared" si="12"/>
        <v>1.2724954315960888</v>
      </c>
      <c r="Q123" s="8">
        <f t="shared" si="13"/>
        <v>1.3770125776626967</v>
      </c>
      <c r="R123" s="8">
        <f t="shared" si="14"/>
        <v>1.0821355766562653</v>
      </c>
      <c r="S123" s="22">
        <f t="shared" si="15"/>
        <v>0.11388126027047399</v>
      </c>
      <c r="T123" s="25"/>
      <c r="U123" s="1">
        <v>0</v>
      </c>
    </row>
    <row r="124" spans="1:21">
      <c r="A124" s="6" t="s">
        <v>353</v>
      </c>
      <c r="B124" s="6" t="s">
        <v>80</v>
      </c>
      <c r="C124" s="7">
        <v>1.7060236520941043</v>
      </c>
      <c r="D124" s="7">
        <v>1.8266066216153376</v>
      </c>
      <c r="E124" s="7">
        <v>1.6429843598625398</v>
      </c>
      <c r="F124" s="8">
        <v>1.826372277618165</v>
      </c>
      <c r="G124" s="8">
        <f t="shared" si="8"/>
        <v>1.766315136854721</v>
      </c>
      <c r="H124" s="8">
        <f t="shared" si="9"/>
        <v>1.7346783187403525</v>
      </c>
      <c r="I124" s="8">
        <f t="shared" si="10"/>
        <v>0.98208880315054981</v>
      </c>
      <c r="J124" s="22">
        <f t="shared" si="11"/>
        <v>-2.6074612025147745E-2</v>
      </c>
      <c r="K124" s="8"/>
      <c r="L124" s="8">
        <v>1.6492185122724186</v>
      </c>
      <c r="M124" s="8">
        <v>1.7531174601909578</v>
      </c>
      <c r="N124" s="8">
        <v>1.8227360399388166</v>
      </c>
      <c r="O124" s="8">
        <v>1.9880151174709091</v>
      </c>
      <c r="P124" s="8">
        <f t="shared" si="12"/>
        <v>1.7011679862316882</v>
      </c>
      <c r="Q124" s="8">
        <f t="shared" si="13"/>
        <v>1.905375578704863</v>
      </c>
      <c r="R124" s="8">
        <f t="shared" si="14"/>
        <v>1.1200396398979513</v>
      </c>
      <c r="S124" s="22">
        <f t="shared" si="15"/>
        <v>0.16354979234733816</v>
      </c>
      <c r="T124" s="25"/>
      <c r="U124" s="1">
        <v>0</v>
      </c>
    </row>
    <row r="125" spans="1:21">
      <c r="A125" s="6" t="s">
        <v>354</v>
      </c>
      <c r="B125" s="6" t="s">
        <v>355</v>
      </c>
      <c r="C125" s="7">
        <v>0.96781162141830746</v>
      </c>
      <c r="D125" s="7">
        <v>1.0207652783832519</v>
      </c>
      <c r="E125" s="7">
        <v>0.93000845491166084</v>
      </c>
      <c r="F125" s="8">
        <v>1.0127379493479143</v>
      </c>
      <c r="G125" s="8">
        <f t="shared" si="8"/>
        <v>0.99428844990077969</v>
      </c>
      <c r="H125" s="8">
        <f t="shared" si="9"/>
        <v>0.97137320212978762</v>
      </c>
      <c r="I125" s="8">
        <f t="shared" si="10"/>
        <v>0.9769531188124746</v>
      </c>
      <c r="J125" s="22">
        <f t="shared" si="11"/>
        <v>-3.3638761843690794E-2</v>
      </c>
      <c r="K125" s="8"/>
      <c r="L125" s="8">
        <v>0.86104078478499391</v>
      </c>
      <c r="M125" s="8">
        <v>0.85259456599245109</v>
      </c>
      <c r="N125" s="8">
        <v>0.87937806006155506</v>
      </c>
      <c r="O125" s="8">
        <v>0.83318579894807965</v>
      </c>
      <c r="P125" s="8">
        <f t="shared" si="12"/>
        <v>0.85681767538872244</v>
      </c>
      <c r="Q125" s="8">
        <f t="shared" si="13"/>
        <v>0.85628192950481741</v>
      </c>
      <c r="R125" s="8">
        <f t="shared" si="14"/>
        <v>0.99937472591976817</v>
      </c>
      <c r="S125" s="22">
        <f t="shared" si="15"/>
        <v>-9.0236195592660801E-4</v>
      </c>
      <c r="T125" s="25"/>
      <c r="U125" s="1" t="s">
        <v>356</v>
      </c>
    </row>
    <row r="126" spans="1:21">
      <c r="A126" s="6" t="s">
        <v>357</v>
      </c>
      <c r="B126" s="6" t="s">
        <v>358</v>
      </c>
      <c r="C126" s="7">
        <v>1.2227760166327066</v>
      </c>
      <c r="D126" s="7">
        <v>1.0948463395453618</v>
      </c>
      <c r="E126" s="7">
        <v>1.0908487503514097</v>
      </c>
      <c r="F126" s="8">
        <v>1.0862488694237089</v>
      </c>
      <c r="G126" s="8">
        <f t="shared" si="8"/>
        <v>1.1588111780890342</v>
      </c>
      <c r="H126" s="8">
        <f t="shared" si="9"/>
        <v>1.0885488098875593</v>
      </c>
      <c r="I126" s="8">
        <f t="shared" si="10"/>
        <v>0.93936685326306324</v>
      </c>
      <c r="J126" s="22">
        <f t="shared" si="11"/>
        <v>-9.0239407696490234E-2</v>
      </c>
      <c r="K126" s="8"/>
      <c r="L126" s="8">
        <v>0.71290543594498479</v>
      </c>
      <c r="M126" s="8">
        <v>0.75272855595450705</v>
      </c>
      <c r="N126" s="8">
        <v>0.85374286245972131</v>
      </c>
      <c r="O126" s="8">
        <v>0.7776489507192027</v>
      </c>
      <c r="P126" s="8">
        <f t="shared" si="12"/>
        <v>0.73281699594974592</v>
      </c>
      <c r="Q126" s="8">
        <f t="shared" si="13"/>
        <v>0.81569590658946201</v>
      </c>
      <c r="R126" s="8">
        <f t="shared" si="14"/>
        <v>1.1130963270472505</v>
      </c>
      <c r="S126" s="22">
        <f t="shared" si="15"/>
        <v>0.15457844851092517</v>
      </c>
      <c r="T126" s="25"/>
      <c r="U126" s="1" t="s">
        <v>359</v>
      </c>
    </row>
    <row r="127" spans="1:21">
      <c r="A127" s="6" t="s">
        <v>360</v>
      </c>
      <c r="B127" s="6" t="s">
        <v>361</v>
      </c>
      <c r="C127" s="7">
        <v>0.18340704771981098</v>
      </c>
      <c r="D127" s="7">
        <v>0.184922915446422</v>
      </c>
      <c r="E127" s="7">
        <v>0.40268755004377638</v>
      </c>
      <c r="F127" s="8">
        <v>0.42838485375348584</v>
      </c>
      <c r="G127" s="8">
        <f t="shared" si="8"/>
        <v>0.1841649815831165</v>
      </c>
      <c r="H127" s="8">
        <f t="shared" si="9"/>
        <v>0.41553620189863111</v>
      </c>
      <c r="I127" s="8">
        <f t="shared" si="10"/>
        <v>2.2563258135537194</v>
      </c>
      <c r="J127" s="22">
        <f t="shared" si="11"/>
        <v>1.1739754080110769</v>
      </c>
      <c r="K127" s="8"/>
      <c r="L127" s="8">
        <v>0.55982138973713358</v>
      </c>
      <c r="M127" s="8">
        <v>0.78046298378824919</v>
      </c>
      <c r="N127" s="8">
        <v>0.63296890941998274</v>
      </c>
      <c r="O127" s="8">
        <v>1.0504093978113467</v>
      </c>
      <c r="P127" s="8">
        <f t="shared" si="12"/>
        <v>0.67014218676269133</v>
      </c>
      <c r="Q127" s="8">
        <f t="shared" si="13"/>
        <v>0.84168915361566476</v>
      </c>
      <c r="R127" s="8">
        <f t="shared" si="14"/>
        <v>1.2559859239450046</v>
      </c>
      <c r="S127" s="22">
        <f t="shared" si="15"/>
        <v>0.32882029578325711</v>
      </c>
      <c r="T127" s="25"/>
      <c r="U127" s="1" t="s">
        <v>362</v>
      </c>
    </row>
    <row r="128" spans="1:21">
      <c r="A128" s="6" t="s">
        <v>363</v>
      </c>
      <c r="B128" s="6" t="s">
        <v>364</v>
      </c>
      <c r="C128" s="7">
        <v>1.1467551050213582</v>
      </c>
      <c r="D128" s="7">
        <v>1.2288241271912748</v>
      </c>
      <c r="E128" s="7">
        <v>1.0670255547004328</v>
      </c>
      <c r="F128" s="8">
        <v>0.94484821971410293</v>
      </c>
      <c r="G128" s="8">
        <f t="shared" si="8"/>
        <v>1.1877896161063166</v>
      </c>
      <c r="H128" s="8">
        <f t="shared" si="9"/>
        <v>1.0059368872072678</v>
      </c>
      <c r="I128" s="8">
        <f t="shared" si="10"/>
        <v>0.84689819945119682</v>
      </c>
      <c r="J128" s="22">
        <f t="shared" si="11"/>
        <v>-0.23973953261864109</v>
      </c>
      <c r="K128" s="8"/>
      <c r="L128" s="8">
        <v>1.2762430053908482</v>
      </c>
      <c r="M128" s="8">
        <v>1.2435985021631122</v>
      </c>
      <c r="N128" s="8">
        <v>1.1484827903674826</v>
      </c>
      <c r="O128" s="8">
        <v>1.005607307786454</v>
      </c>
      <c r="P128" s="8">
        <f t="shared" si="12"/>
        <v>1.2599207537769801</v>
      </c>
      <c r="Q128" s="8">
        <f t="shared" si="13"/>
        <v>1.0770450490769683</v>
      </c>
      <c r="R128" s="8">
        <f t="shared" si="14"/>
        <v>0.85485142287577331</v>
      </c>
      <c r="S128" s="22">
        <f t="shared" si="15"/>
        <v>-0.22625440016002074</v>
      </c>
      <c r="T128" s="25"/>
      <c r="U128" s="1" t="s">
        <v>365</v>
      </c>
    </row>
    <row r="129" spans="1:21">
      <c r="A129" s="6" t="s">
        <v>366</v>
      </c>
      <c r="B129" s="6" t="s">
        <v>367</v>
      </c>
      <c r="C129" s="7">
        <v>1.0836705109699616</v>
      </c>
      <c r="D129" s="7">
        <v>1.1495103300341512</v>
      </c>
      <c r="E129" s="7">
        <v>0.95193631704680393</v>
      </c>
      <c r="F129" s="8">
        <v>1.0253988231251041</v>
      </c>
      <c r="G129" s="8">
        <f t="shared" si="8"/>
        <v>1.1165904205020563</v>
      </c>
      <c r="H129" s="8">
        <f t="shared" si="9"/>
        <v>0.98866757008595396</v>
      </c>
      <c r="I129" s="8">
        <f t="shared" si="10"/>
        <v>0.88543440095197667</v>
      </c>
      <c r="J129" s="22">
        <f t="shared" si="11"/>
        <v>-0.17554266868595161</v>
      </c>
      <c r="K129" s="8"/>
      <c r="L129" s="8">
        <v>0.90496047392459233</v>
      </c>
      <c r="M129" s="8">
        <v>1.1881296464956281</v>
      </c>
      <c r="N129" s="8">
        <v>0.89044485700265019</v>
      </c>
      <c r="O129" s="8">
        <v>0.92496354574164696</v>
      </c>
      <c r="P129" s="8">
        <f t="shared" si="12"/>
        <v>1.0465450602101103</v>
      </c>
      <c r="Q129" s="8">
        <f t="shared" si="13"/>
        <v>0.90770420137214858</v>
      </c>
      <c r="R129" s="8">
        <f t="shared" si="14"/>
        <v>0.86733408420074409</v>
      </c>
      <c r="S129" s="22">
        <f t="shared" si="15"/>
        <v>-0.20534028969670728</v>
      </c>
      <c r="T129" s="25"/>
      <c r="U129" s="1" t="s">
        <v>368</v>
      </c>
    </row>
    <row r="130" spans="1:21">
      <c r="A130" s="6" t="s">
        <v>369</v>
      </c>
      <c r="B130" s="11" t="s">
        <v>370</v>
      </c>
      <c r="C130" s="12">
        <v>1.0637515219998086</v>
      </c>
      <c r="D130" s="12">
        <v>1.0435721088520846</v>
      </c>
      <c r="E130" s="12">
        <v>0.98632886365618411</v>
      </c>
      <c r="F130" s="8">
        <v>1.0130876243401972</v>
      </c>
      <c r="G130" s="8">
        <f t="shared" si="8"/>
        <v>1.0536618154259467</v>
      </c>
      <c r="H130" s="8">
        <f t="shared" si="9"/>
        <v>0.99970824399819058</v>
      </c>
      <c r="I130" s="8">
        <f t="shared" si="10"/>
        <v>0.94879422349955311</v>
      </c>
      <c r="J130" s="22">
        <f t="shared" si="11"/>
        <v>-7.5832868470896514E-2</v>
      </c>
      <c r="K130" s="8"/>
      <c r="L130" s="8">
        <v>0.91772290397850076</v>
      </c>
      <c r="M130" s="8">
        <v>0.86712387500349641</v>
      </c>
      <c r="N130" s="8">
        <v>1.426276685459192</v>
      </c>
      <c r="O130" s="8">
        <v>0.90398197288840521</v>
      </c>
      <c r="P130" s="8">
        <f t="shared" si="12"/>
        <v>0.89242338949099853</v>
      </c>
      <c r="Q130" s="8">
        <f t="shared" si="13"/>
        <v>1.1651293291737985</v>
      </c>
      <c r="R130" s="8">
        <f t="shared" si="14"/>
        <v>1.3055791039254812</v>
      </c>
      <c r="S130" s="22">
        <f t="shared" si="15"/>
        <v>0.38468987196223231</v>
      </c>
      <c r="T130" s="25"/>
      <c r="U130" s="1" t="s">
        <v>371</v>
      </c>
    </row>
    <row r="131" spans="1:21">
      <c r="A131" s="6" t="s">
        <v>372</v>
      </c>
      <c r="B131" s="13" t="s">
        <v>373</v>
      </c>
      <c r="C131" s="14">
        <v>1.1303107468007791</v>
      </c>
      <c r="D131" s="14">
        <v>0.94149097357326061</v>
      </c>
      <c r="E131" s="14">
        <v>0.92743862548271905</v>
      </c>
      <c r="F131" s="8">
        <v>0.92624946870946601</v>
      </c>
      <c r="G131" s="8">
        <f t="shared" si="8"/>
        <v>1.0359008601870199</v>
      </c>
      <c r="H131" s="8">
        <f t="shared" si="9"/>
        <v>0.92684404709609258</v>
      </c>
      <c r="I131" s="8">
        <f t="shared" si="10"/>
        <v>0.89472273140960767</v>
      </c>
      <c r="J131" s="22">
        <f t="shared" si="11"/>
        <v>-0.16048742479514599</v>
      </c>
      <c r="K131" s="8"/>
      <c r="L131" s="8">
        <v>0.79048929007371926</v>
      </c>
      <c r="M131" s="8">
        <v>0.73172542824486952</v>
      </c>
      <c r="N131" s="8">
        <v>0.71882304506457262</v>
      </c>
      <c r="O131" s="8">
        <v>0.79361801251025355</v>
      </c>
      <c r="P131" s="8">
        <f t="shared" si="12"/>
        <v>0.76110735915929439</v>
      </c>
      <c r="Q131" s="8">
        <f t="shared" si="13"/>
        <v>0.75622052878741308</v>
      </c>
      <c r="R131" s="8">
        <f t="shared" si="14"/>
        <v>0.99357931530542654</v>
      </c>
      <c r="S131" s="22">
        <f t="shared" si="15"/>
        <v>-9.2929555649875172E-3</v>
      </c>
      <c r="T131" s="25"/>
      <c r="U131" s="1" t="s">
        <v>374</v>
      </c>
    </row>
    <row r="132" spans="1:21">
      <c r="A132" s="6" t="s">
        <v>375</v>
      </c>
      <c r="B132" s="6" t="s">
        <v>376</v>
      </c>
      <c r="C132" s="7">
        <v>1.0331948173501913</v>
      </c>
      <c r="D132" s="7">
        <v>1.1156653885418748</v>
      </c>
      <c r="E132" s="7">
        <v>0.99478029744742813</v>
      </c>
      <c r="F132" s="8">
        <v>1.0644040788680675</v>
      </c>
      <c r="G132" s="8">
        <f t="shared" si="8"/>
        <v>1.074430102946033</v>
      </c>
      <c r="H132" s="8">
        <f t="shared" si="9"/>
        <v>1.0295921881577479</v>
      </c>
      <c r="I132" s="8">
        <f t="shared" si="10"/>
        <v>0.95826818825594906</v>
      </c>
      <c r="J132" s="22">
        <f t="shared" si="11"/>
        <v>-6.1498618759418866E-2</v>
      </c>
      <c r="K132" s="8"/>
      <c r="L132" s="8">
        <v>0.7907823050494468</v>
      </c>
      <c r="M132" s="8">
        <v>0.90832090308544755</v>
      </c>
      <c r="N132" s="8">
        <v>0.81483615446368352</v>
      </c>
      <c r="O132" s="8">
        <v>0.81921286988091013</v>
      </c>
      <c r="P132" s="8">
        <f t="shared" si="12"/>
        <v>0.84955160406744712</v>
      </c>
      <c r="Q132" s="8">
        <f t="shared" si="13"/>
        <v>0.81702451217229677</v>
      </c>
      <c r="R132" s="8">
        <f t="shared" si="14"/>
        <v>0.96171263553688968</v>
      </c>
      <c r="S132" s="22">
        <f t="shared" si="15"/>
        <v>-5.6322220870062736E-2</v>
      </c>
      <c r="T132" s="25"/>
      <c r="U132" s="1" t="s">
        <v>377</v>
      </c>
    </row>
    <row r="133" spans="1:21">
      <c r="A133" s="6" t="s">
        <v>378</v>
      </c>
      <c r="B133" s="6" t="s">
        <v>379</v>
      </c>
      <c r="C133" s="7">
        <v>0.98340736789812522</v>
      </c>
      <c r="D133" s="7">
        <v>0.9746645451642898</v>
      </c>
      <c r="E133" s="7">
        <v>1.0366867285288321</v>
      </c>
      <c r="F133" s="8">
        <v>0.86314962670579531</v>
      </c>
      <c r="G133" s="8">
        <f t="shared" si="8"/>
        <v>0.97903595653120745</v>
      </c>
      <c r="H133" s="8">
        <f t="shared" si="9"/>
        <v>0.94991817761731379</v>
      </c>
      <c r="I133" s="8">
        <f t="shared" si="10"/>
        <v>0.97025872367644184</v>
      </c>
      <c r="J133" s="22">
        <f t="shared" si="11"/>
        <v>-4.3558595427876552E-2</v>
      </c>
      <c r="K133" s="8"/>
      <c r="L133" s="8">
        <v>1.217151651952471</v>
      </c>
      <c r="M133" s="8">
        <v>1.2425685764610634</v>
      </c>
      <c r="N133" s="8">
        <v>1.1480072639364201</v>
      </c>
      <c r="O133" s="8">
        <v>0.92429816816701993</v>
      </c>
      <c r="P133" s="8">
        <f t="shared" si="12"/>
        <v>1.2298601142067671</v>
      </c>
      <c r="Q133" s="8">
        <f t="shared" si="13"/>
        <v>1.0361527160517201</v>
      </c>
      <c r="R133" s="8">
        <f t="shared" si="14"/>
        <v>0.84249639782815133</v>
      </c>
      <c r="S133" s="22">
        <f t="shared" si="15"/>
        <v>-0.24725757695675024</v>
      </c>
      <c r="T133" s="25"/>
      <c r="U133" s="1" t="s">
        <v>380</v>
      </c>
    </row>
    <row r="134" spans="1:21">
      <c r="A134" s="6" t="s">
        <v>381</v>
      </c>
      <c r="B134" s="6" t="s">
        <v>382</v>
      </c>
      <c r="C134" s="7">
        <v>1.0531204883025549</v>
      </c>
      <c r="D134" s="7">
        <v>1.0566835680999676</v>
      </c>
      <c r="E134" s="7">
        <v>1.0029821677508222</v>
      </c>
      <c r="F134" s="8">
        <v>0.96290596412690577</v>
      </c>
      <c r="G134" s="8">
        <f t="shared" ref="G134:G197" si="16">AVERAGE(C134:D134)</f>
        <v>1.0549020282012611</v>
      </c>
      <c r="H134" s="8">
        <f t="shared" ref="H134:H197" si="17">AVERAGE(E134:F134)</f>
        <v>0.98294406593886396</v>
      </c>
      <c r="I134" s="8">
        <f t="shared" ref="I134:I197" si="18">H134/G134</f>
        <v>0.93178706615523865</v>
      </c>
      <c r="J134" s="22">
        <f t="shared" ref="J134:J197" si="19">LOG(I134,2)</f>
        <v>-0.10192778990053292</v>
      </c>
      <c r="K134" s="8"/>
      <c r="L134" s="8">
        <v>1.1380050512865232</v>
      </c>
      <c r="M134" s="8">
        <v>0.77303280550918296</v>
      </c>
      <c r="N134" s="8">
        <v>0.82927486609776868</v>
      </c>
      <c r="O134" s="8">
        <v>0.96244648244564146</v>
      </c>
      <c r="P134" s="8">
        <f t="shared" ref="P134:P197" si="20">AVERAGE(L134:M134)</f>
        <v>0.95551892839785313</v>
      </c>
      <c r="Q134" s="8">
        <f t="shared" ref="Q134:Q197" si="21">AVERAGE(N134:O134)</f>
        <v>0.89586067427170502</v>
      </c>
      <c r="R134" s="8">
        <f t="shared" ref="R134:R197" si="22">Q134/P134</f>
        <v>0.93756455015896034</v>
      </c>
      <c r="S134" s="22">
        <f t="shared" ref="S134:S197" si="23">LOG(R134,2)</f>
        <v>-9.3010073203923599E-2</v>
      </c>
      <c r="T134" s="25"/>
      <c r="U134" s="1" t="s">
        <v>383</v>
      </c>
    </row>
    <row r="135" spans="1:21">
      <c r="A135" s="6" t="s">
        <v>384</v>
      </c>
      <c r="B135" s="6" t="s">
        <v>385</v>
      </c>
      <c r="C135" s="7">
        <v>1.2426883236206487</v>
      </c>
      <c r="D135" s="7">
        <v>1.2779460249658483</v>
      </c>
      <c r="E135" s="7">
        <v>1.3890906082504024</v>
      </c>
      <c r="F135" s="8">
        <v>1.5060897776110347</v>
      </c>
      <c r="G135" s="8">
        <f t="shared" si="16"/>
        <v>1.2603171742932484</v>
      </c>
      <c r="H135" s="8">
        <f t="shared" si="17"/>
        <v>1.4475901929307184</v>
      </c>
      <c r="I135" s="8">
        <f t="shared" si="18"/>
        <v>1.1485919754624367</v>
      </c>
      <c r="J135" s="22">
        <f t="shared" si="19"/>
        <v>0.19986638760883479</v>
      </c>
      <c r="K135" s="8"/>
      <c r="L135" s="8">
        <v>0.30913079939250265</v>
      </c>
      <c r="M135" s="8">
        <v>0.37246527353378317</v>
      </c>
      <c r="N135" s="8">
        <v>0.29504253563661947</v>
      </c>
      <c r="O135" s="8">
        <v>0.30456549515932035</v>
      </c>
      <c r="P135" s="8">
        <f t="shared" si="20"/>
        <v>0.34079803646314288</v>
      </c>
      <c r="Q135" s="8">
        <f t="shared" si="21"/>
        <v>0.29980401539796991</v>
      </c>
      <c r="R135" s="8">
        <f t="shared" si="22"/>
        <v>0.87971168645624975</v>
      </c>
      <c r="S135" s="22">
        <f t="shared" si="23"/>
        <v>-0.18489731735683701</v>
      </c>
      <c r="T135" s="25"/>
      <c r="U135" s="1" t="s">
        <v>386</v>
      </c>
    </row>
    <row r="136" spans="1:21">
      <c r="A136" s="6" t="s">
        <v>387</v>
      </c>
      <c r="B136" s="6" t="s">
        <v>388</v>
      </c>
      <c r="C136" s="7">
        <v>0.19455927602950074</v>
      </c>
      <c r="D136" s="7">
        <v>0.20877629311425733</v>
      </c>
      <c r="E136" s="7">
        <v>0.71166738287944942</v>
      </c>
      <c r="F136" s="8">
        <v>0.79180933063870085</v>
      </c>
      <c r="G136" s="8">
        <f t="shared" si="16"/>
        <v>0.20166778457187903</v>
      </c>
      <c r="H136" s="8">
        <f t="shared" si="17"/>
        <v>0.75173835675907519</v>
      </c>
      <c r="I136" s="8">
        <f t="shared" si="18"/>
        <v>3.7276075519694043</v>
      </c>
      <c r="J136" s="22">
        <f t="shared" si="19"/>
        <v>1.898249978921704</v>
      </c>
      <c r="K136" s="8"/>
      <c r="L136" s="8">
        <v>0.42011836075417108</v>
      </c>
      <c r="M136" s="8">
        <v>1.05173805709574</v>
      </c>
      <c r="N136" s="8">
        <v>0.53799331223409952</v>
      </c>
      <c r="O136" s="8">
        <v>0.5079492404703434</v>
      </c>
      <c r="P136" s="8">
        <f t="shared" si="20"/>
        <v>0.73592820892495547</v>
      </c>
      <c r="Q136" s="8">
        <f t="shared" si="21"/>
        <v>0.5229712763522214</v>
      </c>
      <c r="R136" s="8">
        <f t="shared" si="22"/>
        <v>0.7106281156366846</v>
      </c>
      <c r="S136" s="22">
        <f t="shared" si="23"/>
        <v>-0.49283332560016835</v>
      </c>
      <c r="T136" s="25"/>
      <c r="U136" s="1" t="s">
        <v>389</v>
      </c>
    </row>
    <row r="137" spans="1:21">
      <c r="A137" s="6" t="s">
        <v>390</v>
      </c>
      <c r="B137" s="6" t="s">
        <v>391</v>
      </c>
      <c r="C137" s="7">
        <v>1.1278250494183917</v>
      </c>
      <c r="D137" s="7">
        <v>1.0598166276391203</v>
      </c>
      <c r="E137" s="7">
        <v>1.0266839541374395</v>
      </c>
      <c r="F137" s="8">
        <v>0.8894874110302049</v>
      </c>
      <c r="G137" s="8">
        <f t="shared" si="16"/>
        <v>1.093820838528756</v>
      </c>
      <c r="H137" s="8">
        <f t="shared" si="17"/>
        <v>0.95808568258382221</v>
      </c>
      <c r="I137" s="8">
        <f t="shared" si="18"/>
        <v>0.87590732306078167</v>
      </c>
      <c r="J137" s="22">
        <f t="shared" si="19"/>
        <v>-0.19114986391227271</v>
      </c>
      <c r="K137" s="8"/>
      <c r="L137" s="8">
        <v>0.90404887177788451</v>
      </c>
      <c r="M137" s="8">
        <v>0.9765534808461791</v>
      </c>
      <c r="N137" s="8">
        <v>0.87609260471966732</v>
      </c>
      <c r="O137" s="8">
        <v>0.99487254958246973</v>
      </c>
      <c r="P137" s="8">
        <f t="shared" si="20"/>
        <v>0.94030117631203181</v>
      </c>
      <c r="Q137" s="8">
        <f t="shared" si="21"/>
        <v>0.93548257715106853</v>
      </c>
      <c r="R137" s="8">
        <f t="shared" si="22"/>
        <v>0.99487547258011266</v>
      </c>
      <c r="S137" s="22">
        <f t="shared" si="23"/>
        <v>-7.4121384112444478E-3</v>
      </c>
      <c r="T137" s="25"/>
      <c r="U137" s="1" t="s">
        <v>392</v>
      </c>
    </row>
    <row r="138" spans="1:21">
      <c r="A138" s="6" t="s">
        <v>393</v>
      </c>
      <c r="B138" s="6" t="s">
        <v>394</v>
      </c>
      <c r="C138" s="7">
        <v>1.1099373830402974</v>
      </c>
      <c r="D138" s="7">
        <v>1.0376811670715347</v>
      </c>
      <c r="E138" s="7">
        <v>0.99421372088041737</v>
      </c>
      <c r="F138" s="8">
        <v>0.89075415817206027</v>
      </c>
      <c r="G138" s="8">
        <f t="shared" si="16"/>
        <v>1.0738092750559161</v>
      </c>
      <c r="H138" s="8">
        <f t="shared" si="17"/>
        <v>0.94248393952623877</v>
      </c>
      <c r="I138" s="8">
        <f t="shared" si="18"/>
        <v>0.87770143303815396</v>
      </c>
      <c r="J138" s="22">
        <f t="shared" si="19"/>
        <v>-0.18819783203941484</v>
      </c>
      <c r="K138" s="8"/>
      <c r="L138" s="8">
        <v>1.1692274248112635</v>
      </c>
      <c r="M138" s="8">
        <v>1.4254171716355091</v>
      </c>
      <c r="N138" s="8">
        <v>1.0702803072954468</v>
      </c>
      <c r="O138" s="8">
        <v>1.0365695442591025</v>
      </c>
      <c r="P138" s="8">
        <f t="shared" si="20"/>
        <v>1.2973222982233863</v>
      </c>
      <c r="Q138" s="8">
        <f t="shared" si="21"/>
        <v>1.0534249257772745</v>
      </c>
      <c r="R138" s="8">
        <f t="shared" si="22"/>
        <v>0.81199939846858704</v>
      </c>
      <c r="S138" s="22">
        <f t="shared" si="23"/>
        <v>-0.3004494362290141</v>
      </c>
      <c r="T138" s="25"/>
      <c r="U138" s="1" t="s">
        <v>395</v>
      </c>
    </row>
    <row r="139" spans="1:21">
      <c r="A139" s="6" t="s">
        <v>396</v>
      </c>
      <c r="B139" s="6" t="s">
        <v>397</v>
      </c>
      <c r="C139" s="7">
        <v>1.1562568837250005</v>
      </c>
      <c r="D139" s="7">
        <v>1.0656614950146825</v>
      </c>
      <c r="E139" s="7">
        <v>1.034325992832954</v>
      </c>
      <c r="F139" s="8">
        <v>0.93689806187068769</v>
      </c>
      <c r="G139" s="8">
        <f t="shared" si="16"/>
        <v>1.1109591893698414</v>
      </c>
      <c r="H139" s="8">
        <f t="shared" si="17"/>
        <v>0.98561202735182085</v>
      </c>
      <c r="I139" s="8">
        <f t="shared" si="18"/>
        <v>0.88717212727758255</v>
      </c>
      <c r="J139" s="22">
        <f t="shared" si="19"/>
        <v>-0.17271405453435651</v>
      </c>
      <c r="K139" s="8"/>
      <c r="L139" s="8">
        <v>0.96616804663211253</v>
      </c>
      <c r="M139" s="8">
        <v>0.86837449907026987</v>
      </c>
      <c r="N139" s="8">
        <v>0.9370464472467932</v>
      </c>
      <c r="O139" s="8">
        <v>0.98147628107997709</v>
      </c>
      <c r="P139" s="8">
        <f t="shared" si="20"/>
        <v>0.91727127285119114</v>
      </c>
      <c r="Q139" s="8">
        <f t="shared" si="21"/>
        <v>0.95926136416338514</v>
      </c>
      <c r="R139" s="8">
        <f t="shared" si="22"/>
        <v>1.0457771790690387</v>
      </c>
      <c r="S139" s="22">
        <f t="shared" si="23"/>
        <v>6.4575493175424575E-2</v>
      </c>
      <c r="T139" s="25"/>
      <c r="U139" s="1" t="s">
        <v>398</v>
      </c>
    </row>
    <row r="140" spans="1:21">
      <c r="A140" s="6" t="s">
        <v>399</v>
      </c>
      <c r="B140" s="6" t="s">
        <v>400</v>
      </c>
      <c r="C140" s="7">
        <v>1.1295890927220216</v>
      </c>
      <c r="D140" s="7">
        <v>1.1613448700580937</v>
      </c>
      <c r="E140" s="7">
        <v>1.1733261106062638</v>
      </c>
      <c r="F140" s="8">
        <v>1.0006312774452861</v>
      </c>
      <c r="G140" s="8">
        <f t="shared" si="16"/>
        <v>1.1454669813900575</v>
      </c>
      <c r="H140" s="8">
        <f t="shared" si="17"/>
        <v>1.0869786940257748</v>
      </c>
      <c r="I140" s="8">
        <f t="shared" si="18"/>
        <v>0.94893935109914263</v>
      </c>
      <c r="J140" s="22">
        <f t="shared" si="19"/>
        <v>-7.5612210659458112E-2</v>
      </c>
      <c r="K140" s="8"/>
      <c r="L140" s="8">
        <v>1.3013120644253113</v>
      </c>
      <c r="M140" s="8">
        <v>1.2666614812768475</v>
      </c>
      <c r="N140" s="8">
        <v>0.75980477748706576</v>
      </c>
      <c r="O140" s="8">
        <v>0.83305272343315417</v>
      </c>
      <c r="P140" s="8">
        <f t="shared" si="20"/>
        <v>1.2839867728510794</v>
      </c>
      <c r="Q140" s="8">
        <f t="shared" si="21"/>
        <v>0.79642875046010997</v>
      </c>
      <c r="R140" s="8">
        <f t="shared" si="22"/>
        <v>0.62027800231278718</v>
      </c>
      <c r="S140" s="22">
        <f t="shared" si="23"/>
        <v>-0.68901313315195312</v>
      </c>
      <c r="T140" s="25"/>
      <c r="U140" s="1" t="s">
        <v>401</v>
      </c>
    </row>
    <row r="141" spans="1:21">
      <c r="A141" s="6" t="s">
        <v>402</v>
      </c>
      <c r="B141" s="6" t="s">
        <v>403</v>
      </c>
      <c r="C141" s="7">
        <v>1.0693176131813373</v>
      </c>
      <c r="D141" s="7">
        <v>1.1026000036989794</v>
      </c>
      <c r="E141" s="7">
        <v>1.0372802849323672</v>
      </c>
      <c r="F141" s="8">
        <v>1.0569025606373927</v>
      </c>
      <c r="G141" s="8">
        <f t="shared" si="16"/>
        <v>1.0859588084401584</v>
      </c>
      <c r="H141" s="8">
        <f t="shared" si="17"/>
        <v>1.04709142278488</v>
      </c>
      <c r="I141" s="8">
        <f t="shared" si="18"/>
        <v>0.96420915291335363</v>
      </c>
      <c r="J141" s="22">
        <f t="shared" si="19"/>
        <v>-5.2581970069160738E-2</v>
      </c>
      <c r="K141" s="8"/>
      <c r="L141" s="8">
        <v>1.0564817735952303</v>
      </c>
      <c r="M141" s="8">
        <v>1.0216495133716006</v>
      </c>
      <c r="N141" s="8">
        <v>0.88076140967919192</v>
      </c>
      <c r="O141" s="8">
        <v>0.79579157925403543</v>
      </c>
      <c r="P141" s="8">
        <f t="shared" si="20"/>
        <v>1.0390656434834153</v>
      </c>
      <c r="Q141" s="8">
        <f t="shared" si="21"/>
        <v>0.83827649446661368</v>
      </c>
      <c r="R141" s="8">
        <f t="shared" si="22"/>
        <v>0.80675989984264507</v>
      </c>
      <c r="S141" s="22">
        <f t="shared" si="23"/>
        <v>-0.30978871859131052</v>
      </c>
      <c r="T141" s="25"/>
      <c r="U141" s="1" t="s">
        <v>404</v>
      </c>
    </row>
    <row r="142" spans="1:21">
      <c r="A142" s="6" t="s">
        <v>405</v>
      </c>
      <c r="B142" s="6" t="s">
        <v>406</v>
      </c>
      <c r="C142" s="7">
        <v>0.34343383968431668</v>
      </c>
      <c r="D142" s="7">
        <v>0.39835930552227627</v>
      </c>
      <c r="E142" s="7">
        <v>1.0388586053690401</v>
      </c>
      <c r="F142" s="8">
        <v>1.1230637082338806</v>
      </c>
      <c r="G142" s="8">
        <f t="shared" si="16"/>
        <v>0.37089657260329645</v>
      </c>
      <c r="H142" s="8">
        <f t="shared" si="17"/>
        <v>1.0809611568014603</v>
      </c>
      <c r="I142" s="8">
        <f t="shared" si="18"/>
        <v>2.9144544238148966</v>
      </c>
      <c r="J142" s="22">
        <f t="shared" si="19"/>
        <v>1.5432258409820883</v>
      </c>
      <c r="K142" s="8"/>
      <c r="L142" s="8">
        <v>0.87119863727688029</v>
      </c>
      <c r="M142" s="8">
        <v>1.1963690521120183</v>
      </c>
      <c r="N142" s="8">
        <v>0.84263283584307491</v>
      </c>
      <c r="O142" s="8">
        <v>0.86583365860978367</v>
      </c>
      <c r="P142" s="8">
        <f t="shared" si="20"/>
        <v>1.0337838446944492</v>
      </c>
      <c r="Q142" s="8">
        <f t="shared" si="21"/>
        <v>0.85423324722642935</v>
      </c>
      <c r="R142" s="8">
        <f t="shared" si="22"/>
        <v>0.82631707934932108</v>
      </c>
      <c r="S142" s="22">
        <f t="shared" si="23"/>
        <v>-0.27523260739989963</v>
      </c>
      <c r="T142" s="25"/>
      <c r="U142" s="1" t="s">
        <v>407</v>
      </c>
    </row>
    <row r="143" spans="1:21">
      <c r="A143" s="6" t="s">
        <v>408</v>
      </c>
      <c r="B143" s="6" t="s">
        <v>409</v>
      </c>
      <c r="C143" s="7">
        <v>1.1183099067503279</v>
      </c>
      <c r="D143" s="7">
        <v>0.98872382074334508</v>
      </c>
      <c r="E143" s="7">
        <v>1.1397092342969579</v>
      </c>
      <c r="F143" s="8">
        <v>1.0035144467212798</v>
      </c>
      <c r="G143" s="8">
        <f t="shared" si="16"/>
        <v>1.0535168637468364</v>
      </c>
      <c r="H143" s="8">
        <f t="shared" si="17"/>
        <v>1.0716118405091188</v>
      </c>
      <c r="I143" s="8">
        <f t="shared" si="18"/>
        <v>1.0171757827377605</v>
      </c>
      <c r="J143" s="22">
        <f t="shared" si="19"/>
        <v>2.4569019382061959E-2</v>
      </c>
      <c r="K143" s="8"/>
      <c r="L143" s="8">
        <v>0.95086615345523251</v>
      </c>
      <c r="M143" s="8">
        <v>0.84523795383495981</v>
      </c>
      <c r="N143" s="8">
        <v>0.96622647824382146</v>
      </c>
      <c r="O143" s="8">
        <v>1.0121723665227749</v>
      </c>
      <c r="P143" s="8">
        <f t="shared" si="20"/>
        <v>0.89805205364509622</v>
      </c>
      <c r="Q143" s="8">
        <f t="shared" si="21"/>
        <v>0.98919942238329817</v>
      </c>
      <c r="R143" s="8">
        <f t="shared" si="22"/>
        <v>1.1014945273698162</v>
      </c>
      <c r="S143" s="22">
        <f t="shared" si="23"/>
        <v>0.13946232721669874</v>
      </c>
      <c r="T143" s="25"/>
      <c r="U143" s="1" t="s">
        <v>410</v>
      </c>
    </row>
    <row r="144" spans="1:21">
      <c r="A144" s="6" t="s">
        <v>411</v>
      </c>
      <c r="B144" s="6" t="s">
        <v>412</v>
      </c>
      <c r="C144" s="7">
        <v>1.0757590440324705</v>
      </c>
      <c r="D144" s="7">
        <v>1.0867833186725422</v>
      </c>
      <c r="E144" s="7">
        <v>1.0815069819548631</v>
      </c>
      <c r="F144" s="8">
        <v>1.0154297870243569</v>
      </c>
      <c r="G144" s="8">
        <f t="shared" si="16"/>
        <v>1.0812711813525064</v>
      </c>
      <c r="H144" s="8">
        <f t="shared" si="17"/>
        <v>1.0484683844896101</v>
      </c>
      <c r="I144" s="8">
        <f t="shared" si="18"/>
        <v>0.96966274748776249</v>
      </c>
      <c r="J144" s="22">
        <f t="shared" si="19"/>
        <v>-4.4445035350034724E-2</v>
      </c>
      <c r="K144" s="8"/>
      <c r="L144" s="8">
        <v>1.0043251079157369</v>
      </c>
      <c r="M144" s="8">
        <v>0.9443315195963673</v>
      </c>
      <c r="N144" s="8">
        <v>0.96069307977327389</v>
      </c>
      <c r="O144" s="8">
        <v>1.1023088486322621</v>
      </c>
      <c r="P144" s="8">
        <f t="shared" si="20"/>
        <v>0.97432831375605211</v>
      </c>
      <c r="Q144" s="8">
        <f t="shared" si="21"/>
        <v>1.0315009642027679</v>
      </c>
      <c r="R144" s="8">
        <f t="shared" si="22"/>
        <v>1.058679040359932</v>
      </c>
      <c r="S144" s="22">
        <f t="shared" si="23"/>
        <v>8.2265273877083794E-2</v>
      </c>
      <c r="T144" s="25"/>
      <c r="U144" s="1" t="s">
        <v>413</v>
      </c>
    </row>
    <row r="145" spans="1:21">
      <c r="A145" s="6" t="s">
        <v>414</v>
      </c>
      <c r="B145" s="6" t="s">
        <v>415</v>
      </c>
      <c r="C145" s="7">
        <v>1.1547601197097994</v>
      </c>
      <c r="D145" s="7">
        <v>1.0368518277817589</v>
      </c>
      <c r="E145" s="7">
        <v>1.1192450282932593</v>
      </c>
      <c r="F145" s="8">
        <v>1.0106333017528524</v>
      </c>
      <c r="G145" s="8">
        <f t="shared" si="16"/>
        <v>1.095805973745779</v>
      </c>
      <c r="H145" s="8">
        <f t="shared" si="17"/>
        <v>1.064939165023056</v>
      </c>
      <c r="I145" s="8">
        <f t="shared" si="18"/>
        <v>0.97183186671522559</v>
      </c>
      <c r="J145" s="22">
        <f t="shared" si="19"/>
        <v>-4.1221355169078794E-2</v>
      </c>
      <c r="K145" s="8"/>
      <c r="L145" s="8">
        <v>1.0060180833310512</v>
      </c>
      <c r="M145" s="8">
        <v>1.0203621062440396</v>
      </c>
      <c r="N145" s="8">
        <v>0.96173059198650157</v>
      </c>
      <c r="O145" s="8">
        <v>0.94031158846304597</v>
      </c>
      <c r="P145" s="8">
        <f t="shared" si="20"/>
        <v>1.0131900947875454</v>
      </c>
      <c r="Q145" s="8">
        <f t="shared" si="21"/>
        <v>0.95102109022477377</v>
      </c>
      <c r="R145" s="8">
        <f t="shared" si="22"/>
        <v>0.9386403352316548</v>
      </c>
      <c r="S145" s="22">
        <f t="shared" si="23"/>
        <v>-9.1355637729834266E-2</v>
      </c>
      <c r="T145" s="25"/>
      <c r="U145" s="1" t="s">
        <v>416</v>
      </c>
    </row>
    <row r="146" spans="1:21">
      <c r="A146" s="6" t="s">
        <v>417</v>
      </c>
      <c r="B146" s="6" t="s">
        <v>418</v>
      </c>
      <c r="C146" s="7">
        <v>0.33580969798188648</v>
      </c>
      <c r="D146" s="7">
        <v>0.27543279301551787</v>
      </c>
      <c r="E146" s="7">
        <v>0.63687253107489616</v>
      </c>
      <c r="F146" s="8">
        <v>0.62120752025278314</v>
      </c>
      <c r="G146" s="8">
        <f t="shared" si="16"/>
        <v>0.30562124549870218</v>
      </c>
      <c r="H146" s="8">
        <f t="shared" si="17"/>
        <v>0.62904002566383965</v>
      </c>
      <c r="I146" s="8">
        <f t="shared" si="18"/>
        <v>2.0582339576471327</v>
      </c>
      <c r="J146" s="22">
        <f t="shared" si="19"/>
        <v>1.0414069814317</v>
      </c>
      <c r="K146" s="8"/>
      <c r="L146" s="8">
        <v>1.3141396089182704</v>
      </c>
      <c r="M146" s="8">
        <v>0.87823235936130817</v>
      </c>
      <c r="N146" s="8">
        <v>1.3893585425385073</v>
      </c>
      <c r="O146" s="8">
        <v>0.90917191797049668</v>
      </c>
      <c r="P146" s="8">
        <f t="shared" si="20"/>
        <v>1.0961859841397894</v>
      </c>
      <c r="Q146" s="8">
        <f t="shared" si="21"/>
        <v>1.1492652302545019</v>
      </c>
      <c r="R146" s="8">
        <f t="shared" si="22"/>
        <v>1.0484217522233377</v>
      </c>
      <c r="S146" s="22">
        <f t="shared" si="23"/>
        <v>6.8219191532866125E-2</v>
      </c>
      <c r="T146" s="25"/>
      <c r="U146" s="1" t="s">
        <v>419</v>
      </c>
    </row>
    <row r="147" spans="1:21">
      <c r="A147" s="6" t="s">
        <v>420</v>
      </c>
      <c r="B147" s="6" t="s">
        <v>80</v>
      </c>
      <c r="C147" s="7">
        <v>1.1839603819706408</v>
      </c>
      <c r="D147" s="7">
        <v>1.0905087634186776</v>
      </c>
      <c r="E147" s="7">
        <v>1.0015185116193777</v>
      </c>
      <c r="F147" s="8">
        <v>1.0537158998586629</v>
      </c>
      <c r="G147" s="8">
        <f t="shared" si="16"/>
        <v>1.1372345726946591</v>
      </c>
      <c r="H147" s="8">
        <f t="shared" si="17"/>
        <v>1.0276172057390203</v>
      </c>
      <c r="I147" s="8">
        <f t="shared" si="18"/>
        <v>0.90361059223173079</v>
      </c>
      <c r="J147" s="22">
        <f t="shared" si="19"/>
        <v>-0.14622691261295576</v>
      </c>
      <c r="K147" s="8"/>
      <c r="L147" s="8">
        <v>1.2201794733683218</v>
      </c>
      <c r="M147" s="8">
        <v>1.432258820941976</v>
      </c>
      <c r="N147" s="8">
        <v>1.2727248779014964</v>
      </c>
      <c r="O147" s="8">
        <v>1.535469649714517</v>
      </c>
      <c r="P147" s="8">
        <f t="shared" si="20"/>
        <v>1.326219147155149</v>
      </c>
      <c r="Q147" s="8">
        <f t="shared" si="21"/>
        <v>1.4040972638080067</v>
      </c>
      <c r="R147" s="8">
        <f t="shared" si="22"/>
        <v>1.0587219064209055</v>
      </c>
      <c r="S147" s="22">
        <f t="shared" si="23"/>
        <v>8.2323687616523519E-2</v>
      </c>
      <c r="T147" s="25"/>
      <c r="U147" s="1">
        <v>0</v>
      </c>
    </row>
    <row r="148" spans="1:21">
      <c r="A148" s="6" t="s">
        <v>421</v>
      </c>
      <c r="B148" s="6" t="s">
        <v>80</v>
      </c>
      <c r="C148" s="7">
        <v>1.7957894011129014</v>
      </c>
      <c r="D148" s="7">
        <v>1.9484865869230932</v>
      </c>
      <c r="E148" s="7">
        <v>1.7858358492996966</v>
      </c>
      <c r="F148" s="8">
        <v>1.9217345858909647</v>
      </c>
      <c r="G148" s="8">
        <f t="shared" si="16"/>
        <v>1.8721379940179972</v>
      </c>
      <c r="H148" s="8">
        <f t="shared" si="17"/>
        <v>1.8537852175953307</v>
      </c>
      <c r="I148" s="8">
        <f t="shared" si="18"/>
        <v>0.99019688907478576</v>
      </c>
      <c r="J148" s="22">
        <f t="shared" si="19"/>
        <v>-1.4212678129633019E-2</v>
      </c>
      <c r="K148" s="8"/>
      <c r="L148" s="8">
        <v>1.6708039488176771</v>
      </c>
      <c r="M148" s="8">
        <v>1.7171436267408255</v>
      </c>
      <c r="N148" s="8">
        <v>1.8076921128470151</v>
      </c>
      <c r="O148" s="8">
        <v>2.1553797567421173</v>
      </c>
      <c r="P148" s="8">
        <f t="shared" si="20"/>
        <v>1.6939737877792513</v>
      </c>
      <c r="Q148" s="8">
        <f t="shared" si="21"/>
        <v>1.9815359347945662</v>
      </c>
      <c r="R148" s="8">
        <f t="shared" si="22"/>
        <v>1.1697559602691965</v>
      </c>
      <c r="S148" s="22">
        <f t="shared" si="23"/>
        <v>0.22620757969536431</v>
      </c>
      <c r="T148" s="25"/>
      <c r="U148" s="1">
        <v>0</v>
      </c>
    </row>
    <row r="149" spans="1:21">
      <c r="A149" s="6" t="s">
        <v>422</v>
      </c>
      <c r="B149" s="6" t="s">
        <v>423</v>
      </c>
      <c r="C149" s="7">
        <v>1.1165124535356448</v>
      </c>
      <c r="D149" s="7">
        <v>0.93613317847899513</v>
      </c>
      <c r="E149" s="7">
        <v>0.77150191533126578</v>
      </c>
      <c r="F149" s="8">
        <v>0.73045786359644516</v>
      </c>
      <c r="G149" s="8">
        <f t="shared" si="16"/>
        <v>1.0263228160073199</v>
      </c>
      <c r="H149" s="8">
        <f t="shared" si="17"/>
        <v>0.75097988946385552</v>
      </c>
      <c r="I149" s="8">
        <f t="shared" si="18"/>
        <v>0.73171898524615808</v>
      </c>
      <c r="J149" s="22">
        <f t="shared" si="19"/>
        <v>-0.45063840325207843</v>
      </c>
      <c r="K149" s="8"/>
      <c r="L149" s="8">
        <v>1.2986749296437639</v>
      </c>
      <c r="M149" s="8">
        <v>0.71579836292390087</v>
      </c>
      <c r="N149" s="8">
        <v>0.99704923691179359</v>
      </c>
      <c r="O149" s="8">
        <v>0.64049245333606564</v>
      </c>
      <c r="P149" s="8">
        <f t="shared" si="20"/>
        <v>1.0072366462838325</v>
      </c>
      <c r="Q149" s="8">
        <f t="shared" si="21"/>
        <v>0.81877084512392961</v>
      </c>
      <c r="R149" s="8">
        <f t="shared" si="22"/>
        <v>0.81288826031574468</v>
      </c>
      <c r="S149" s="22">
        <f t="shared" si="23"/>
        <v>-0.29887104193214242</v>
      </c>
      <c r="T149" s="25"/>
      <c r="U149" s="1" t="s">
        <v>424</v>
      </c>
    </row>
    <row r="150" spans="1:21">
      <c r="A150" s="6" t="s">
        <v>425</v>
      </c>
      <c r="B150" s="6" t="s">
        <v>426</v>
      </c>
      <c r="C150" s="7">
        <v>0.94167838899218603</v>
      </c>
      <c r="D150" s="7">
        <v>0.98268807368997724</v>
      </c>
      <c r="E150" s="7">
        <v>1.0175310445965631</v>
      </c>
      <c r="F150" s="8">
        <v>0.88302832013501531</v>
      </c>
      <c r="G150" s="8">
        <f t="shared" si="16"/>
        <v>0.96218323134108164</v>
      </c>
      <c r="H150" s="8">
        <f t="shared" si="17"/>
        <v>0.95027968236578919</v>
      </c>
      <c r="I150" s="8">
        <f t="shared" si="18"/>
        <v>0.98762860483579473</v>
      </c>
      <c r="J150" s="22">
        <f t="shared" si="19"/>
        <v>-1.7959472808131389E-2</v>
      </c>
      <c r="K150" s="8"/>
      <c r="L150" s="8">
        <v>1.2513692896735369</v>
      </c>
      <c r="M150" s="8">
        <v>1.0091800557646529</v>
      </c>
      <c r="N150" s="8">
        <v>1.2251722347952281</v>
      </c>
      <c r="O150" s="8">
        <v>0.8806050407665057</v>
      </c>
      <c r="P150" s="8">
        <f t="shared" si="20"/>
        <v>1.1302746727190949</v>
      </c>
      <c r="Q150" s="8">
        <f t="shared" si="21"/>
        <v>1.0528886377808668</v>
      </c>
      <c r="R150" s="8">
        <f t="shared" si="22"/>
        <v>0.93153342563001884</v>
      </c>
      <c r="S150" s="22">
        <f t="shared" si="23"/>
        <v>-0.10232055746980129</v>
      </c>
      <c r="T150" s="25"/>
      <c r="U150" s="1" t="s">
        <v>427</v>
      </c>
    </row>
    <row r="151" spans="1:21">
      <c r="A151" s="6" t="s">
        <v>428</v>
      </c>
      <c r="B151" s="6" t="s">
        <v>429</v>
      </c>
      <c r="C151" s="7">
        <v>0.10550849910725063</v>
      </c>
      <c r="D151" s="7">
        <v>0.10017892055862405</v>
      </c>
      <c r="E151" s="7">
        <v>0.22247573197956383</v>
      </c>
      <c r="F151" s="8">
        <v>1.0299050121766</v>
      </c>
      <c r="G151" s="8">
        <f t="shared" si="16"/>
        <v>0.10284370983293734</v>
      </c>
      <c r="H151" s="8">
        <f t="shared" si="17"/>
        <v>0.62619037207808192</v>
      </c>
      <c r="I151" s="8">
        <f t="shared" si="18"/>
        <v>6.0887571354172847</v>
      </c>
      <c r="J151" s="22">
        <f t="shared" si="19"/>
        <v>2.6061477687616956</v>
      </c>
      <c r="K151" s="8"/>
      <c r="L151" s="8">
        <v>0.17899959294997153</v>
      </c>
      <c r="M151" s="8">
        <v>0.21076693831212498</v>
      </c>
      <c r="N151" s="8">
        <v>0.23283503251851023</v>
      </c>
      <c r="O151" s="8">
        <v>0.32190967060460063</v>
      </c>
      <c r="P151" s="8">
        <f t="shared" si="20"/>
        <v>0.19488326563104824</v>
      </c>
      <c r="Q151" s="8">
        <f t="shared" si="21"/>
        <v>0.27737235156155543</v>
      </c>
      <c r="R151" s="8">
        <f t="shared" si="22"/>
        <v>1.4232743415059301</v>
      </c>
      <c r="S151" s="22">
        <f t="shared" si="23"/>
        <v>0.50921377358789965</v>
      </c>
      <c r="T151" s="25"/>
      <c r="U151" s="1" t="s">
        <v>430</v>
      </c>
    </row>
    <row r="152" spans="1:21">
      <c r="A152" s="6" t="s">
        <v>431</v>
      </c>
      <c r="B152" s="6" t="s">
        <v>432</v>
      </c>
      <c r="C152" s="7">
        <v>1.1386498605997561</v>
      </c>
      <c r="D152" s="7">
        <v>1.1114331253408765</v>
      </c>
      <c r="E152" s="7">
        <v>1.2845707215551767</v>
      </c>
      <c r="F152" s="8">
        <v>1.1461290624418303</v>
      </c>
      <c r="G152" s="8">
        <f t="shared" si="16"/>
        <v>1.1250414929703163</v>
      </c>
      <c r="H152" s="8">
        <f t="shared" si="17"/>
        <v>1.2153498919985035</v>
      </c>
      <c r="I152" s="8">
        <f t="shared" si="18"/>
        <v>1.0802711718567433</v>
      </c>
      <c r="J152" s="22">
        <f t="shared" si="19"/>
        <v>0.11139350608007632</v>
      </c>
      <c r="K152" s="8"/>
      <c r="L152" s="8">
        <v>0.8469109515110238</v>
      </c>
      <c r="M152" s="8">
        <v>0.81908519761507836</v>
      </c>
      <c r="N152" s="8">
        <v>1.0704964556732026</v>
      </c>
      <c r="O152" s="8">
        <v>0.91085754115955209</v>
      </c>
      <c r="P152" s="8">
        <f t="shared" si="20"/>
        <v>0.83299807456305108</v>
      </c>
      <c r="Q152" s="8">
        <f t="shared" si="21"/>
        <v>0.99067699841637735</v>
      </c>
      <c r="R152" s="8">
        <f t="shared" si="22"/>
        <v>1.189290862330068</v>
      </c>
      <c r="S152" s="22">
        <f t="shared" si="23"/>
        <v>0.25010159508652308</v>
      </c>
      <c r="T152" s="25"/>
      <c r="U152" s="1" t="s">
        <v>433</v>
      </c>
    </row>
    <row r="153" spans="1:21">
      <c r="A153" s="6" t="s">
        <v>434</v>
      </c>
      <c r="B153" s="6" t="s">
        <v>435</v>
      </c>
      <c r="C153" s="7">
        <v>1.0722777313006859</v>
      </c>
      <c r="D153" s="7">
        <v>1.0551170383303912</v>
      </c>
      <c r="E153" s="7">
        <v>1.0211328527725603</v>
      </c>
      <c r="F153" s="8">
        <v>0.92453408195487019</v>
      </c>
      <c r="G153" s="8">
        <f t="shared" si="16"/>
        <v>1.0636973848155384</v>
      </c>
      <c r="H153" s="8">
        <f t="shared" si="17"/>
        <v>0.97283346736371523</v>
      </c>
      <c r="I153" s="8">
        <f t="shared" si="18"/>
        <v>0.91457728603179711</v>
      </c>
      <c r="J153" s="22">
        <f t="shared" si="19"/>
        <v>-0.12882300532503876</v>
      </c>
      <c r="K153" s="8"/>
      <c r="L153" s="8">
        <v>1.1901942741855418</v>
      </c>
      <c r="M153" s="8">
        <v>1.4859988727524498</v>
      </c>
      <c r="N153" s="8">
        <v>1.0832924396363439</v>
      </c>
      <c r="O153" s="8">
        <v>1.0816377853138461</v>
      </c>
      <c r="P153" s="8">
        <f t="shared" si="20"/>
        <v>1.3380965734689958</v>
      </c>
      <c r="Q153" s="8">
        <f t="shared" si="21"/>
        <v>1.082465112475095</v>
      </c>
      <c r="R153" s="8">
        <f t="shared" si="22"/>
        <v>0.80895888528345905</v>
      </c>
      <c r="S153" s="22">
        <f t="shared" si="23"/>
        <v>-0.30586171424073832</v>
      </c>
      <c r="T153" s="25"/>
      <c r="U153" s="1" t="s">
        <v>436</v>
      </c>
    </row>
    <row r="154" spans="1:21">
      <c r="A154" s="6" t="s">
        <v>437</v>
      </c>
      <c r="B154" s="6" t="s">
        <v>438</v>
      </c>
      <c r="C154" s="7">
        <v>1.0837907866497545</v>
      </c>
      <c r="D154" s="7">
        <v>0.9840571417238928</v>
      </c>
      <c r="E154" s="7">
        <v>0.9157833361042117</v>
      </c>
      <c r="F154" s="8">
        <v>0.94158238723900711</v>
      </c>
      <c r="G154" s="8">
        <f t="shared" si="16"/>
        <v>1.0339239641868236</v>
      </c>
      <c r="H154" s="8">
        <f t="shared" si="17"/>
        <v>0.92868286167160941</v>
      </c>
      <c r="I154" s="8">
        <f t="shared" si="18"/>
        <v>0.89821195159357214</v>
      </c>
      <c r="J154" s="22">
        <f t="shared" si="19"/>
        <v>-0.15487217616548715</v>
      </c>
      <c r="K154" s="8"/>
      <c r="L154" s="8">
        <v>1.1294750597709007</v>
      </c>
      <c r="M154" s="8">
        <v>0.95845621493875055</v>
      </c>
      <c r="N154" s="8">
        <v>1.0045279707821431</v>
      </c>
      <c r="O154" s="8">
        <v>0.94168670211727534</v>
      </c>
      <c r="P154" s="8">
        <f t="shared" si="20"/>
        <v>1.0439656373548256</v>
      </c>
      <c r="Q154" s="8">
        <f t="shared" si="21"/>
        <v>0.97310733644970915</v>
      </c>
      <c r="R154" s="8">
        <f t="shared" si="22"/>
        <v>0.9321258302288038</v>
      </c>
      <c r="S154" s="22">
        <f t="shared" si="23"/>
        <v>-0.10140337349106089</v>
      </c>
      <c r="T154" s="25"/>
      <c r="U154" s="1" t="s">
        <v>439</v>
      </c>
    </row>
    <row r="155" spans="1:21">
      <c r="A155" s="6" t="s">
        <v>440</v>
      </c>
      <c r="B155" s="15" t="s">
        <v>441</v>
      </c>
      <c r="C155" s="16">
        <v>0.90037037496552208</v>
      </c>
      <c r="D155" s="16">
        <v>0.91331976595230713</v>
      </c>
      <c r="E155" s="16">
        <v>0.93939069306299394</v>
      </c>
      <c r="F155" s="8">
        <v>0.95632151804580345</v>
      </c>
      <c r="G155" s="8">
        <f t="shared" si="16"/>
        <v>0.9068450704589146</v>
      </c>
      <c r="H155" s="8">
        <f t="shared" si="17"/>
        <v>0.9478561055543987</v>
      </c>
      <c r="I155" s="8">
        <f t="shared" si="18"/>
        <v>1.045223860647696</v>
      </c>
      <c r="J155" s="22">
        <f t="shared" si="19"/>
        <v>6.3811964371781174E-2</v>
      </c>
      <c r="K155" s="8"/>
      <c r="L155" s="8">
        <v>0.48686066078098839</v>
      </c>
      <c r="M155" s="8">
        <v>0.51716983467163646</v>
      </c>
      <c r="N155" s="8">
        <v>0.55225910516597998</v>
      </c>
      <c r="O155" s="8">
        <v>0.88819034511725481</v>
      </c>
      <c r="P155" s="8">
        <f t="shared" si="20"/>
        <v>0.50201524772631245</v>
      </c>
      <c r="Q155" s="8">
        <f t="shared" si="21"/>
        <v>0.72022472514161739</v>
      </c>
      <c r="R155" s="8">
        <f t="shared" si="22"/>
        <v>1.4346670313373986</v>
      </c>
      <c r="S155" s="22">
        <f t="shared" si="23"/>
        <v>0.5207159438847585</v>
      </c>
      <c r="T155" s="25"/>
      <c r="U155" s="1" t="s">
        <v>442</v>
      </c>
    </row>
    <row r="156" spans="1:21">
      <c r="A156" s="6" t="s">
        <v>443</v>
      </c>
      <c r="B156" s="6" t="s">
        <v>444</v>
      </c>
      <c r="C156" s="7">
        <v>1.0836972388988044</v>
      </c>
      <c r="D156" s="7">
        <v>1.1765296775304162</v>
      </c>
      <c r="E156" s="7">
        <v>1.1383467525524795</v>
      </c>
      <c r="F156" s="8">
        <v>0.9419518551553816</v>
      </c>
      <c r="G156" s="8">
        <f t="shared" si="16"/>
        <v>1.1301134582146104</v>
      </c>
      <c r="H156" s="8">
        <f t="shared" si="17"/>
        <v>1.0401493038539305</v>
      </c>
      <c r="I156" s="8">
        <f t="shared" si="18"/>
        <v>0.92039369701621976</v>
      </c>
      <c r="J156" s="22">
        <f t="shared" si="19"/>
        <v>-0.11967699106740512</v>
      </c>
      <c r="K156" s="8"/>
      <c r="L156" s="8">
        <v>0.54237072007158527</v>
      </c>
      <c r="M156" s="8">
        <v>0.61354145393477222</v>
      </c>
      <c r="N156" s="8">
        <v>0.53025520031044315</v>
      </c>
      <c r="O156" s="8">
        <v>0.65814713831617189</v>
      </c>
      <c r="P156" s="8">
        <f t="shared" si="20"/>
        <v>0.5779560870031788</v>
      </c>
      <c r="Q156" s="8">
        <f t="shared" si="21"/>
        <v>0.59420116931330758</v>
      </c>
      <c r="R156" s="8">
        <f t="shared" si="22"/>
        <v>1.0281078142015303</v>
      </c>
      <c r="S156" s="22">
        <f t="shared" si="23"/>
        <v>3.9991563031756279E-2</v>
      </c>
      <c r="T156" s="25"/>
      <c r="U156" s="1" t="s">
        <v>445</v>
      </c>
    </row>
    <row r="157" spans="1:21">
      <c r="A157" s="6" t="s">
        <v>446</v>
      </c>
      <c r="B157" s="6" t="s">
        <v>447</v>
      </c>
      <c r="C157" s="7">
        <v>0.21475222627029308</v>
      </c>
      <c r="D157" s="7">
        <v>0.20974385561899567</v>
      </c>
      <c r="E157" s="7">
        <v>0.3427113734502073</v>
      </c>
      <c r="F157" s="8">
        <v>0.3587401515168957</v>
      </c>
      <c r="G157" s="8">
        <f t="shared" si="16"/>
        <v>0.21224804094464439</v>
      </c>
      <c r="H157" s="8">
        <f t="shared" si="17"/>
        <v>0.35072576248355147</v>
      </c>
      <c r="I157" s="8">
        <f t="shared" si="18"/>
        <v>1.6524334496685551</v>
      </c>
      <c r="J157" s="22">
        <f t="shared" si="19"/>
        <v>0.72459216960496942</v>
      </c>
      <c r="K157" s="8"/>
      <c r="L157" s="8">
        <v>0.39404002791442438</v>
      </c>
      <c r="M157" s="8">
        <v>0.4646436238671488</v>
      </c>
      <c r="N157" s="8">
        <v>0.46605913211698086</v>
      </c>
      <c r="O157" s="8">
        <v>0.49078249904496368</v>
      </c>
      <c r="P157" s="8">
        <f t="shared" si="20"/>
        <v>0.42934182589078662</v>
      </c>
      <c r="Q157" s="8">
        <f t="shared" si="21"/>
        <v>0.47842081558097227</v>
      </c>
      <c r="R157" s="8">
        <f t="shared" si="22"/>
        <v>1.1143121557941809</v>
      </c>
      <c r="S157" s="22">
        <f t="shared" si="23"/>
        <v>0.15615343602802237</v>
      </c>
      <c r="T157" s="25"/>
      <c r="U157" s="1" t="s">
        <v>448</v>
      </c>
    </row>
    <row r="158" spans="1:21">
      <c r="A158" s="6" t="s">
        <v>449</v>
      </c>
      <c r="B158" s="6" t="s">
        <v>450</v>
      </c>
      <c r="C158" s="7">
        <v>1.0206393727762506</v>
      </c>
      <c r="D158" s="7">
        <v>1.0972356265468586</v>
      </c>
      <c r="E158" s="7">
        <v>0.97261636174269717</v>
      </c>
      <c r="F158" s="8">
        <v>1.0736473744187933</v>
      </c>
      <c r="G158" s="8">
        <f t="shared" si="16"/>
        <v>1.0589374996615546</v>
      </c>
      <c r="H158" s="8">
        <f t="shared" si="17"/>
        <v>1.0231318680807453</v>
      </c>
      <c r="I158" s="8">
        <f t="shared" si="18"/>
        <v>0.96618720973404659</v>
      </c>
      <c r="J158" s="22">
        <f t="shared" si="19"/>
        <v>-4.9625340208241601E-2</v>
      </c>
      <c r="K158" s="8"/>
      <c r="L158" s="8">
        <v>0.75353684591253012</v>
      </c>
      <c r="M158" s="8">
        <v>0.78752533145944081</v>
      </c>
      <c r="N158" s="8">
        <v>1.201957899024259</v>
      </c>
      <c r="O158" s="8">
        <v>0.53478613598030389</v>
      </c>
      <c r="P158" s="8">
        <f t="shared" si="20"/>
        <v>0.77053108868598552</v>
      </c>
      <c r="Q158" s="8">
        <f t="shared" si="21"/>
        <v>0.86837201750228143</v>
      </c>
      <c r="R158" s="8">
        <f t="shared" si="22"/>
        <v>1.1269785609600096</v>
      </c>
      <c r="S158" s="22">
        <f t="shared" si="23"/>
        <v>0.17246007070900574</v>
      </c>
      <c r="T158" s="25"/>
      <c r="U158" s="1" t="s">
        <v>451</v>
      </c>
    </row>
    <row r="159" spans="1:21">
      <c r="A159" s="6" t="s">
        <v>452</v>
      </c>
      <c r="B159" s="6" t="s">
        <v>453</v>
      </c>
      <c r="C159" s="7">
        <v>1.0739415448711549</v>
      </c>
      <c r="D159" s="7">
        <v>1.0375626900301382</v>
      </c>
      <c r="E159" s="7">
        <v>1.144572349830467</v>
      </c>
      <c r="F159" s="8">
        <v>1.0285129098488319</v>
      </c>
      <c r="G159" s="8">
        <f t="shared" si="16"/>
        <v>1.0557521174506466</v>
      </c>
      <c r="H159" s="8">
        <f t="shared" si="17"/>
        <v>1.0865426298396494</v>
      </c>
      <c r="I159" s="8">
        <f t="shared" si="18"/>
        <v>1.029164528188069</v>
      </c>
      <c r="J159" s="22">
        <f t="shared" si="19"/>
        <v>4.1473638234614349E-2</v>
      </c>
      <c r="K159" s="8"/>
      <c r="L159" s="8">
        <v>0.72410511946167999</v>
      </c>
      <c r="M159" s="8">
        <v>0.74809389029528761</v>
      </c>
      <c r="N159" s="8">
        <v>0.92528797549687958</v>
      </c>
      <c r="O159" s="8">
        <v>0.88650472192819951</v>
      </c>
      <c r="P159" s="8">
        <f t="shared" si="20"/>
        <v>0.73609950487848375</v>
      </c>
      <c r="Q159" s="8">
        <f t="shared" si="21"/>
        <v>0.90589634871253955</v>
      </c>
      <c r="R159" s="8">
        <f t="shared" si="22"/>
        <v>1.2306710474721567</v>
      </c>
      <c r="S159" s="22">
        <f t="shared" si="23"/>
        <v>0.29944518781651802</v>
      </c>
      <c r="T159" s="25"/>
      <c r="U159" s="1" t="s">
        <v>454</v>
      </c>
    </row>
    <row r="160" spans="1:21">
      <c r="A160" s="6" t="s">
        <v>455</v>
      </c>
      <c r="B160" s="6" t="s">
        <v>456</v>
      </c>
      <c r="C160" s="7">
        <v>1.0923504058616853</v>
      </c>
      <c r="D160" s="7">
        <v>1.0579802334974739</v>
      </c>
      <c r="E160" s="7">
        <v>0.9938832178829945</v>
      </c>
      <c r="F160" s="8">
        <v>0.93804605146799414</v>
      </c>
      <c r="G160" s="8">
        <f t="shared" si="16"/>
        <v>1.0751653196795796</v>
      </c>
      <c r="H160" s="8">
        <f t="shared" si="17"/>
        <v>0.96596463467549432</v>
      </c>
      <c r="I160" s="8">
        <f t="shared" si="18"/>
        <v>0.89843358690491504</v>
      </c>
      <c r="J160" s="22">
        <f t="shared" si="19"/>
        <v>-0.15451623264815934</v>
      </c>
      <c r="K160" s="8"/>
      <c r="L160" s="8">
        <v>0.50877166952149966</v>
      </c>
      <c r="M160" s="8">
        <v>0.89702850342369844</v>
      </c>
      <c r="N160" s="8">
        <v>0.98922466563703482</v>
      </c>
      <c r="O160" s="8">
        <v>0.61179250061714918</v>
      </c>
      <c r="P160" s="8">
        <f t="shared" si="20"/>
        <v>0.70290008647259905</v>
      </c>
      <c r="Q160" s="8">
        <f t="shared" si="21"/>
        <v>0.80050858312709194</v>
      </c>
      <c r="R160" s="8">
        <f t="shared" si="22"/>
        <v>1.1388653928673231</v>
      </c>
      <c r="S160" s="22">
        <f t="shared" si="23"/>
        <v>0.18759723912785253</v>
      </c>
      <c r="T160" s="25"/>
      <c r="U160" s="1" t="s">
        <v>457</v>
      </c>
    </row>
    <row r="161" spans="1:21">
      <c r="A161" s="6" t="s">
        <v>458</v>
      </c>
      <c r="B161" s="6" t="s">
        <v>459</v>
      </c>
      <c r="C161" s="7">
        <v>1.1700351310435027</v>
      </c>
      <c r="D161" s="7">
        <v>1.1000922396560862</v>
      </c>
      <c r="E161" s="7">
        <v>1.0451179274426829</v>
      </c>
      <c r="F161" s="8">
        <v>1.0346619115999216</v>
      </c>
      <c r="G161" s="8">
        <f t="shared" si="16"/>
        <v>1.1350636853497944</v>
      </c>
      <c r="H161" s="8">
        <f t="shared" si="17"/>
        <v>1.0398899195213023</v>
      </c>
      <c r="I161" s="8">
        <f t="shared" si="18"/>
        <v>0.91615116662008067</v>
      </c>
      <c r="J161" s="22">
        <f t="shared" si="19"/>
        <v>-0.1263424296003571</v>
      </c>
      <c r="K161" s="8"/>
      <c r="L161" s="8">
        <v>0.40663967187070649</v>
      </c>
      <c r="M161" s="8">
        <v>0.49429077086183865</v>
      </c>
      <c r="N161" s="8">
        <v>0.47461860787610916</v>
      </c>
      <c r="O161" s="8">
        <v>0.47481343725391278</v>
      </c>
      <c r="P161" s="8">
        <f t="shared" si="20"/>
        <v>0.45046522136627254</v>
      </c>
      <c r="Q161" s="8">
        <f t="shared" si="21"/>
        <v>0.474716022565011</v>
      </c>
      <c r="R161" s="8">
        <f t="shared" si="22"/>
        <v>1.0538350133339598</v>
      </c>
      <c r="S161" s="22">
        <f t="shared" si="23"/>
        <v>7.5649018705325255E-2</v>
      </c>
      <c r="T161" s="25"/>
      <c r="U161" s="1" t="s">
        <v>460</v>
      </c>
    </row>
    <row r="162" spans="1:21">
      <c r="A162" s="6" t="s">
        <v>461</v>
      </c>
      <c r="B162" s="6" t="s">
        <v>462</v>
      </c>
      <c r="C162" s="7">
        <v>0.85657666355647066</v>
      </c>
      <c r="D162" s="7">
        <v>0.99736606270743666</v>
      </c>
      <c r="E162" s="7">
        <v>1.0103948778358798</v>
      </c>
      <c r="F162" s="8">
        <v>0.91827292030059549</v>
      </c>
      <c r="G162" s="8">
        <f t="shared" si="16"/>
        <v>0.92697136313195361</v>
      </c>
      <c r="H162" s="8">
        <f t="shared" si="17"/>
        <v>0.96433389906823763</v>
      </c>
      <c r="I162" s="8">
        <f t="shared" si="18"/>
        <v>1.0403060303934821</v>
      </c>
      <c r="J162" s="22">
        <f t="shared" si="19"/>
        <v>5.7007993351588258E-2</v>
      </c>
      <c r="K162" s="8"/>
      <c r="L162" s="8">
        <v>0.84954808629257128</v>
      </c>
      <c r="M162" s="8">
        <v>1.275084802197175</v>
      </c>
      <c r="N162" s="8">
        <v>1.1482666419897269</v>
      </c>
      <c r="O162" s="8">
        <v>0.86849516890829215</v>
      </c>
      <c r="P162" s="8">
        <f t="shared" si="20"/>
        <v>1.0623164442448731</v>
      </c>
      <c r="Q162" s="8">
        <f t="shared" si="21"/>
        <v>1.0083809054490096</v>
      </c>
      <c r="R162" s="8">
        <f t="shared" si="22"/>
        <v>0.94922836873319549</v>
      </c>
      <c r="S162" s="22">
        <f t="shared" si="23"/>
        <v>-7.5172877184082609E-2</v>
      </c>
      <c r="T162" s="25"/>
      <c r="U162" s="1" t="s">
        <v>463</v>
      </c>
    </row>
    <row r="163" spans="1:21">
      <c r="A163" s="6" t="s">
        <v>464</v>
      </c>
      <c r="B163" s="6" t="s">
        <v>465</v>
      </c>
      <c r="C163" s="7">
        <v>1.0632102814407405</v>
      </c>
      <c r="D163" s="7">
        <v>1.1493589427034778</v>
      </c>
      <c r="E163" s="7">
        <v>1.0271493563174843</v>
      </c>
      <c r="F163" s="8">
        <v>1.0078556947386801</v>
      </c>
      <c r="G163" s="8">
        <f t="shared" si="16"/>
        <v>1.106284612072109</v>
      </c>
      <c r="H163" s="8">
        <f t="shared" si="17"/>
        <v>1.0175025255280823</v>
      </c>
      <c r="I163" s="8">
        <f t="shared" si="18"/>
        <v>0.91974751743338923</v>
      </c>
      <c r="J163" s="22">
        <f t="shared" si="19"/>
        <v>-0.1206902177813895</v>
      </c>
      <c r="K163" s="8"/>
      <c r="L163" s="8">
        <v>0.86354769068844028</v>
      </c>
      <c r="M163" s="8">
        <v>1.2750112360756001</v>
      </c>
      <c r="N163" s="8">
        <v>0.97638545199834237</v>
      </c>
      <c r="O163" s="8">
        <v>1.0017481178536167</v>
      </c>
      <c r="P163" s="8">
        <f t="shared" si="20"/>
        <v>1.0692794633820202</v>
      </c>
      <c r="Q163" s="8">
        <f t="shared" si="21"/>
        <v>0.98906678492597955</v>
      </c>
      <c r="R163" s="8">
        <f t="shared" si="22"/>
        <v>0.92498436451558119</v>
      </c>
      <c r="S163" s="22">
        <f t="shared" si="23"/>
        <v>-0.11249911566541806</v>
      </c>
      <c r="T163" s="25"/>
      <c r="U163" s="1" t="s">
        <v>466</v>
      </c>
    </row>
    <row r="164" spans="1:21">
      <c r="A164" s="6" t="s">
        <v>467</v>
      </c>
      <c r="B164" s="6" t="s">
        <v>468</v>
      </c>
      <c r="C164" s="7">
        <v>0.14646236807674645</v>
      </c>
      <c r="D164" s="7">
        <v>0.15536947567584236</v>
      </c>
      <c r="E164" s="7">
        <v>0.31423415599878485</v>
      </c>
      <c r="F164" s="8">
        <v>0.35084277480439113</v>
      </c>
      <c r="G164" s="8">
        <f t="shared" si="16"/>
        <v>0.15091592187629441</v>
      </c>
      <c r="H164" s="8">
        <f t="shared" si="17"/>
        <v>0.33253846540158799</v>
      </c>
      <c r="I164" s="8">
        <f t="shared" si="18"/>
        <v>2.2034684032488592</v>
      </c>
      <c r="J164" s="22">
        <f t="shared" si="19"/>
        <v>1.1397762091622026</v>
      </c>
      <c r="K164" s="8"/>
      <c r="L164" s="8">
        <v>0.72381210448595246</v>
      </c>
      <c r="M164" s="8">
        <v>1.046993042254158</v>
      </c>
      <c r="N164" s="8">
        <v>0.74030819381349566</v>
      </c>
      <c r="O164" s="8">
        <v>0.79876359908736994</v>
      </c>
      <c r="P164" s="8">
        <f t="shared" si="20"/>
        <v>0.88540257337005523</v>
      </c>
      <c r="Q164" s="8">
        <f t="shared" si="21"/>
        <v>0.76953589645043285</v>
      </c>
      <c r="R164" s="8">
        <f t="shared" si="22"/>
        <v>0.86913672898125205</v>
      </c>
      <c r="S164" s="22">
        <f t="shared" si="23"/>
        <v>-0.20234494120043472</v>
      </c>
      <c r="T164" s="25"/>
      <c r="U164" s="1" t="s">
        <v>469</v>
      </c>
    </row>
    <row r="165" spans="1:21">
      <c r="A165" s="6" t="s">
        <v>470</v>
      </c>
      <c r="B165" s="6" t="s">
        <v>471</v>
      </c>
      <c r="C165" s="7">
        <v>1.0317515091926761</v>
      </c>
      <c r="D165" s="7">
        <v>1.0645425451792709</v>
      </c>
      <c r="E165" s="7">
        <v>1.101910483326382</v>
      </c>
      <c r="F165" s="8">
        <v>0.99117025972955375</v>
      </c>
      <c r="G165" s="8">
        <f t="shared" si="16"/>
        <v>1.0481470271859736</v>
      </c>
      <c r="H165" s="8">
        <f t="shared" si="17"/>
        <v>1.0465403715279677</v>
      </c>
      <c r="I165" s="8">
        <f t="shared" si="18"/>
        <v>0.99846714667281045</v>
      </c>
      <c r="J165" s="22">
        <f t="shared" si="19"/>
        <v>-2.2131365340682337E-3</v>
      </c>
      <c r="K165" s="8"/>
      <c r="L165" s="8">
        <v>1.1929941950647156</v>
      </c>
      <c r="M165" s="8">
        <v>1.2370879004037325</v>
      </c>
      <c r="N165" s="8">
        <v>1.2774369125365721</v>
      </c>
      <c r="O165" s="8">
        <v>1.3489864947990229</v>
      </c>
      <c r="P165" s="8">
        <f t="shared" si="20"/>
        <v>1.2150410477342239</v>
      </c>
      <c r="Q165" s="8">
        <f t="shared" si="21"/>
        <v>1.3132117036677975</v>
      </c>
      <c r="R165" s="8">
        <f t="shared" si="22"/>
        <v>1.0807961641432935</v>
      </c>
      <c r="S165" s="22">
        <f t="shared" si="23"/>
        <v>0.1120944595122933</v>
      </c>
      <c r="T165" s="25"/>
      <c r="U165" s="1" t="s">
        <v>472</v>
      </c>
    </row>
    <row r="166" spans="1:21">
      <c r="A166" s="6" t="s">
        <v>473</v>
      </c>
      <c r="B166" s="6" t="s">
        <v>474</v>
      </c>
      <c r="C166" s="7">
        <v>0.59227753919369741</v>
      </c>
      <c r="D166" s="7">
        <v>0.68576486177669937</v>
      </c>
      <c r="E166" s="7">
        <v>0.6097173256131655</v>
      </c>
      <c r="F166" s="8">
        <v>0.62397193198422796</v>
      </c>
      <c r="G166" s="8">
        <f t="shared" si="16"/>
        <v>0.63902120048519839</v>
      </c>
      <c r="H166" s="8">
        <f t="shared" si="17"/>
        <v>0.61684462879869673</v>
      </c>
      <c r="I166" s="8">
        <f t="shared" si="18"/>
        <v>0.9652960313841491</v>
      </c>
      <c r="J166" s="22">
        <f t="shared" si="19"/>
        <v>-5.095664730924053E-2</v>
      </c>
      <c r="K166" s="8"/>
      <c r="L166" s="8">
        <v>0.94549421223356178</v>
      </c>
      <c r="M166" s="8">
        <v>1.0370248327807574</v>
      </c>
      <c r="N166" s="8">
        <v>1.0567494188479358</v>
      </c>
      <c r="O166" s="8">
        <v>1.0869164474058881</v>
      </c>
      <c r="P166" s="8">
        <f t="shared" si="20"/>
        <v>0.99125952250715965</v>
      </c>
      <c r="Q166" s="8">
        <f t="shared" si="21"/>
        <v>1.0718329331269119</v>
      </c>
      <c r="R166" s="8">
        <f t="shared" si="22"/>
        <v>1.0812838704600392</v>
      </c>
      <c r="S166" s="22">
        <f t="shared" si="23"/>
        <v>0.11274532486903505</v>
      </c>
      <c r="T166" s="25"/>
      <c r="U166" s="1" t="s">
        <v>475</v>
      </c>
    </row>
    <row r="167" spans="1:21">
      <c r="A167" s="6" t="s">
        <v>476</v>
      </c>
      <c r="B167" s="6" t="s">
        <v>477</v>
      </c>
      <c r="C167" s="7">
        <v>1.0852474587716912</v>
      </c>
      <c r="D167" s="7">
        <v>1.0557949902894934</v>
      </c>
      <c r="E167" s="7">
        <v>1.0243906680328723</v>
      </c>
      <c r="F167" s="8">
        <v>1.0091818206528098</v>
      </c>
      <c r="G167" s="8">
        <f t="shared" si="16"/>
        <v>1.0705212245305922</v>
      </c>
      <c r="H167" s="8">
        <f t="shared" si="17"/>
        <v>1.016786244342841</v>
      </c>
      <c r="I167" s="8">
        <f t="shared" si="18"/>
        <v>0.94980484370002738</v>
      </c>
      <c r="J167" s="22">
        <f t="shared" si="19"/>
        <v>-7.4296981390426883E-2</v>
      </c>
      <c r="K167" s="8"/>
      <c r="L167" s="8">
        <v>1.0260082161195712</v>
      </c>
      <c r="M167" s="8">
        <v>0.78579652760243035</v>
      </c>
      <c r="N167" s="8">
        <v>0.90030122302831306</v>
      </c>
      <c r="O167" s="8">
        <v>0.84569489735106951</v>
      </c>
      <c r="P167" s="8">
        <f t="shared" si="20"/>
        <v>0.90590237186100075</v>
      </c>
      <c r="Q167" s="8">
        <f t="shared" si="21"/>
        <v>0.87299806018969128</v>
      </c>
      <c r="R167" s="8">
        <f t="shared" si="22"/>
        <v>0.96367786122061483</v>
      </c>
      <c r="S167" s="22">
        <f t="shared" si="23"/>
        <v>-5.3377132756770827E-2</v>
      </c>
      <c r="T167" s="25"/>
      <c r="U167" s="1" t="s">
        <v>478</v>
      </c>
    </row>
    <row r="168" spans="1:21">
      <c r="A168" s="6" t="s">
        <v>479</v>
      </c>
      <c r="B168" s="6" t="s">
        <v>480</v>
      </c>
      <c r="C168" s="7">
        <v>1.2351310017403256</v>
      </c>
      <c r="D168" s="7">
        <v>1.1668474704251772</v>
      </c>
      <c r="E168" s="7">
        <v>1.434308814265167</v>
      </c>
      <c r="F168" s="8">
        <v>1.460843153137888</v>
      </c>
      <c r="G168" s="8">
        <f t="shared" si="16"/>
        <v>1.2009892360827514</v>
      </c>
      <c r="H168" s="8">
        <f t="shared" si="17"/>
        <v>1.4475759837015274</v>
      </c>
      <c r="I168" s="8">
        <f t="shared" si="18"/>
        <v>1.2053196983039285</v>
      </c>
      <c r="J168" s="22">
        <f t="shared" si="19"/>
        <v>0.26941585681576508</v>
      </c>
      <c r="K168" s="8"/>
      <c r="L168" s="8">
        <v>0.31124701866164561</v>
      </c>
      <c r="M168" s="8">
        <v>0.29165288898374153</v>
      </c>
      <c r="N168" s="8">
        <v>0.36395063846515741</v>
      </c>
      <c r="O168" s="8">
        <v>0.34315739448769333</v>
      </c>
      <c r="P168" s="8">
        <f t="shared" si="20"/>
        <v>0.30144995382269357</v>
      </c>
      <c r="Q168" s="8">
        <f t="shared" si="21"/>
        <v>0.35355401647642537</v>
      </c>
      <c r="R168" s="8">
        <f t="shared" si="22"/>
        <v>1.172844818826472</v>
      </c>
      <c r="S168" s="22">
        <f t="shared" si="23"/>
        <v>0.23001214045955387</v>
      </c>
      <c r="T168" s="25"/>
      <c r="U168" s="1" t="s">
        <v>481</v>
      </c>
    </row>
    <row r="169" spans="1:21">
      <c r="A169" s="6" t="s">
        <v>482</v>
      </c>
      <c r="B169" s="6" t="s">
        <v>483</v>
      </c>
      <c r="C169" s="7">
        <v>0.22766181590140191</v>
      </c>
      <c r="D169" s="7">
        <v>0.22744300919206664</v>
      </c>
      <c r="E169" s="7">
        <v>0.41814025141308209</v>
      </c>
      <c r="F169" s="8">
        <v>0.47338076785480682</v>
      </c>
      <c r="G169" s="8">
        <f t="shared" si="16"/>
        <v>0.22755241254673428</v>
      </c>
      <c r="H169" s="8">
        <f t="shared" si="17"/>
        <v>0.44576050963394442</v>
      </c>
      <c r="I169" s="8">
        <f t="shared" si="18"/>
        <v>1.9589355465189584</v>
      </c>
      <c r="J169" s="22">
        <f t="shared" si="19"/>
        <v>0.9700699304042808</v>
      </c>
      <c r="K169" s="8"/>
      <c r="L169" s="8">
        <v>0.97648868522162524</v>
      </c>
      <c r="M169" s="8">
        <v>0.53776834871261203</v>
      </c>
      <c r="N169" s="8">
        <v>0.61917864291916491</v>
      </c>
      <c r="O169" s="8">
        <v>0.61973267300769952</v>
      </c>
      <c r="P169" s="8">
        <f t="shared" si="20"/>
        <v>0.75712851696711869</v>
      </c>
      <c r="Q169" s="8">
        <f t="shared" si="21"/>
        <v>0.61945565796343227</v>
      </c>
      <c r="R169" s="8">
        <f t="shared" si="22"/>
        <v>0.81816447813223048</v>
      </c>
      <c r="S169" s="22">
        <f t="shared" si="23"/>
        <v>-0.28953719312332749</v>
      </c>
      <c r="T169" s="25"/>
      <c r="U169" s="1" t="s">
        <v>484</v>
      </c>
    </row>
    <row r="170" spans="1:21">
      <c r="A170" s="6" t="s">
        <v>485</v>
      </c>
      <c r="B170" s="6" t="s">
        <v>486</v>
      </c>
      <c r="C170" s="7">
        <v>0.96449067625958018</v>
      </c>
      <c r="D170" s="7">
        <v>1.0379773596750261</v>
      </c>
      <c r="E170" s="7">
        <v>0.8580599758604236</v>
      </c>
      <c r="F170" s="8">
        <v>0.76299743080285498</v>
      </c>
      <c r="G170" s="8">
        <f t="shared" si="16"/>
        <v>1.0012340179673032</v>
      </c>
      <c r="H170" s="8">
        <f t="shared" si="17"/>
        <v>0.81052870333163929</v>
      </c>
      <c r="I170" s="8">
        <f t="shared" si="18"/>
        <v>0.80952972910086274</v>
      </c>
      <c r="J170" s="22">
        <f t="shared" si="19"/>
        <v>-0.30484403197677834</v>
      </c>
      <c r="K170" s="8"/>
      <c r="L170" s="8">
        <v>0.65404198304328443</v>
      </c>
      <c r="M170" s="8">
        <v>0.44849586018145549</v>
      </c>
      <c r="N170" s="8">
        <v>1.1452837943766974</v>
      </c>
      <c r="O170" s="8">
        <v>0.50280365389322701</v>
      </c>
      <c r="P170" s="8">
        <f t="shared" si="20"/>
        <v>0.55126892161236996</v>
      </c>
      <c r="Q170" s="8">
        <f t="shared" si="21"/>
        <v>0.82404372413496219</v>
      </c>
      <c r="R170" s="8">
        <f t="shared" si="22"/>
        <v>1.4948125893343873</v>
      </c>
      <c r="S170" s="22">
        <f t="shared" si="23"/>
        <v>0.57996461928206167</v>
      </c>
      <c r="T170" s="25"/>
      <c r="U170" s="1" t="s">
        <v>487</v>
      </c>
    </row>
    <row r="171" spans="1:21">
      <c r="A171" s="6" t="s">
        <v>488</v>
      </c>
      <c r="B171" s="6" t="s">
        <v>80</v>
      </c>
      <c r="C171" s="7">
        <v>1.2009660266969202</v>
      </c>
      <c r="D171" s="7">
        <v>1.1378008491094604</v>
      </c>
      <c r="E171" s="7">
        <v>0.9569815464768523</v>
      </c>
      <c r="F171" s="8">
        <v>1.0165052025666612</v>
      </c>
      <c r="G171" s="8">
        <f t="shared" si="16"/>
        <v>1.1693834379031904</v>
      </c>
      <c r="H171" s="8">
        <f t="shared" si="17"/>
        <v>0.98674337452175676</v>
      </c>
      <c r="I171" s="8">
        <f t="shared" si="18"/>
        <v>0.84381507599515537</v>
      </c>
      <c r="J171" s="22">
        <f t="shared" si="19"/>
        <v>-0.2450012312348773</v>
      </c>
      <c r="K171" s="8"/>
      <c r="L171" s="8">
        <v>1.1428235197762642</v>
      </c>
      <c r="M171" s="8">
        <v>1.2224850252711124</v>
      </c>
      <c r="N171" s="8">
        <v>1.6574257606312073</v>
      </c>
      <c r="O171" s="8">
        <v>1.1995426915377718</v>
      </c>
      <c r="P171" s="8">
        <f t="shared" si="20"/>
        <v>1.1826542725236884</v>
      </c>
      <c r="Q171" s="8">
        <f t="shared" si="21"/>
        <v>1.4284842260844894</v>
      </c>
      <c r="R171" s="8">
        <f t="shared" si="22"/>
        <v>1.2078629057300236</v>
      </c>
      <c r="S171" s="22">
        <f t="shared" si="23"/>
        <v>0.27245671588197712</v>
      </c>
      <c r="T171" s="25"/>
      <c r="U171" s="1">
        <v>0</v>
      </c>
    </row>
    <row r="172" spans="1:21">
      <c r="A172" s="6" t="s">
        <v>489</v>
      </c>
      <c r="B172" s="6" t="s">
        <v>80</v>
      </c>
      <c r="C172" s="7">
        <v>1.9648903249195633</v>
      </c>
      <c r="D172" s="7">
        <v>1.8693439232702092</v>
      </c>
      <c r="E172" s="7">
        <v>1.4864001336345027</v>
      </c>
      <c r="F172" s="8">
        <v>1.9297441225066543</v>
      </c>
      <c r="G172" s="8">
        <f t="shared" si="16"/>
        <v>1.9171171240948861</v>
      </c>
      <c r="H172" s="8">
        <f t="shared" si="17"/>
        <v>1.7080721280705786</v>
      </c>
      <c r="I172" s="8">
        <f t="shared" si="18"/>
        <v>0.89095867258344885</v>
      </c>
      <c r="J172" s="22">
        <f t="shared" si="19"/>
        <v>-0.16656958148102124</v>
      </c>
      <c r="K172" s="8"/>
      <c r="L172" s="8">
        <v>1.7348439996238965</v>
      </c>
      <c r="M172" s="8">
        <v>1.8187752236965675</v>
      </c>
      <c r="N172" s="8">
        <v>1.9516469324323549</v>
      </c>
      <c r="O172" s="8">
        <v>2.0038954622520095</v>
      </c>
      <c r="P172" s="8">
        <f t="shared" si="20"/>
        <v>1.7768096116602319</v>
      </c>
      <c r="Q172" s="8">
        <f t="shared" si="21"/>
        <v>1.9777711973421823</v>
      </c>
      <c r="R172" s="8">
        <f t="shared" si="22"/>
        <v>1.1131024868185928</v>
      </c>
      <c r="S172" s="22">
        <f t="shared" si="23"/>
        <v>0.15458643222874344</v>
      </c>
      <c r="T172" s="25"/>
      <c r="U172" s="1">
        <v>0</v>
      </c>
    </row>
    <row r="173" spans="1:21">
      <c r="A173" s="6" t="s">
        <v>490</v>
      </c>
      <c r="B173" s="6" t="s">
        <v>491</v>
      </c>
      <c r="C173" s="7">
        <v>5.7772418193875172E-2</v>
      </c>
      <c r="D173" s="7">
        <v>5.9909890599513543E-2</v>
      </c>
      <c r="E173" s="7">
        <v>1.3548801755375615</v>
      </c>
      <c r="F173" s="8">
        <v>0.61920183727817879</v>
      </c>
      <c r="G173" s="8">
        <f t="shared" si="16"/>
        <v>5.8841154396694358E-2</v>
      </c>
      <c r="H173" s="8">
        <f t="shared" si="17"/>
        <v>0.98704100640787007</v>
      </c>
      <c r="I173" s="8">
        <f t="shared" si="18"/>
        <v>16.774671002432289</v>
      </c>
      <c r="J173" s="22">
        <f t="shared" si="19"/>
        <v>4.068212566361173</v>
      </c>
      <c r="K173" s="8"/>
      <c r="L173" s="8">
        <v>0.37069650151480099</v>
      </c>
      <c r="M173" s="8">
        <v>0.42447652148724646</v>
      </c>
      <c r="N173" s="8">
        <v>0.36230791079421359</v>
      </c>
      <c r="O173" s="8">
        <v>0.47343832359968341</v>
      </c>
      <c r="P173" s="8">
        <f t="shared" si="20"/>
        <v>0.39758651150102375</v>
      </c>
      <c r="Q173" s="8">
        <f t="shared" si="21"/>
        <v>0.41787311719694853</v>
      </c>
      <c r="R173" s="8">
        <f t="shared" si="22"/>
        <v>1.0510243811323878</v>
      </c>
      <c r="S173" s="22">
        <f t="shared" si="23"/>
        <v>7.1796136598667418E-2</v>
      </c>
      <c r="T173" s="25"/>
      <c r="U173" s="1" t="s">
        <v>492</v>
      </c>
    </row>
    <row r="174" spans="1:21">
      <c r="A174" s="6" t="s">
        <v>493</v>
      </c>
      <c r="B174" s="6" t="s">
        <v>494</v>
      </c>
      <c r="C174" s="7">
        <v>0.8883828988794924</v>
      </c>
      <c r="D174" s="7">
        <v>0.99630635139272317</v>
      </c>
      <c r="E174" s="7">
        <v>0.9595648658240562</v>
      </c>
      <c r="F174" s="8">
        <v>0.99551810538831775</v>
      </c>
      <c r="G174" s="8">
        <f t="shared" si="16"/>
        <v>0.94234462513610784</v>
      </c>
      <c r="H174" s="8">
        <f t="shared" si="17"/>
        <v>0.97754148560618703</v>
      </c>
      <c r="I174" s="8">
        <f t="shared" si="18"/>
        <v>1.0373503063860481</v>
      </c>
      <c r="J174" s="22">
        <f t="shared" si="19"/>
        <v>5.2903165070801311E-2</v>
      </c>
      <c r="K174" s="8"/>
      <c r="L174" s="8">
        <v>0.7924427232452359</v>
      </c>
      <c r="M174" s="8">
        <v>1.322240686126694</v>
      </c>
      <c r="N174" s="8">
        <v>0.69712174793789383</v>
      </c>
      <c r="O174" s="8">
        <v>0.5704947324852927</v>
      </c>
      <c r="P174" s="8">
        <f t="shared" si="20"/>
        <v>1.057341704685965</v>
      </c>
      <c r="Q174" s="8">
        <f t="shared" si="21"/>
        <v>0.63380824021159321</v>
      </c>
      <c r="R174" s="8">
        <f t="shared" si="22"/>
        <v>0.59943558208539305</v>
      </c>
      <c r="S174" s="22">
        <f t="shared" si="23"/>
        <v>-0.73832337110505664</v>
      </c>
      <c r="T174" s="25"/>
      <c r="U174" s="1" t="s">
        <v>495</v>
      </c>
    </row>
    <row r="175" spans="1:21">
      <c r="A175" s="6" t="s">
        <v>496</v>
      </c>
      <c r="B175" s="11" t="s">
        <v>497</v>
      </c>
      <c r="C175" s="12">
        <v>1.0654754734101741</v>
      </c>
      <c r="D175" s="12">
        <v>0.9931272174485829</v>
      </c>
      <c r="E175" s="12">
        <v>0.97463310452289031</v>
      </c>
      <c r="F175" s="8">
        <v>0.99710813695700085</v>
      </c>
      <c r="G175" s="8">
        <f t="shared" si="16"/>
        <v>1.0293013454293785</v>
      </c>
      <c r="H175" s="8">
        <f t="shared" si="17"/>
        <v>0.98587062073994558</v>
      </c>
      <c r="I175" s="8">
        <f t="shared" si="18"/>
        <v>0.95780562720306606</v>
      </c>
      <c r="J175" s="22">
        <f t="shared" si="19"/>
        <v>-6.2195183312081188E-2</v>
      </c>
      <c r="K175" s="8"/>
      <c r="L175" s="8">
        <v>0.82005124540267049</v>
      </c>
      <c r="M175" s="8">
        <v>1.1395760062561857</v>
      </c>
      <c r="N175" s="8">
        <v>1.2537902800100915</v>
      </c>
      <c r="O175" s="8">
        <v>0.77689485613462528</v>
      </c>
      <c r="P175" s="8">
        <f t="shared" si="20"/>
        <v>0.9798136258294281</v>
      </c>
      <c r="Q175" s="8">
        <f t="shared" si="21"/>
        <v>1.0153425680723585</v>
      </c>
      <c r="R175" s="8">
        <f t="shared" si="22"/>
        <v>1.0362609187158982</v>
      </c>
      <c r="S175" s="22">
        <f t="shared" si="23"/>
        <v>5.1387302970039267E-2</v>
      </c>
      <c r="T175" s="25"/>
      <c r="U175" s="1" t="s">
        <v>498</v>
      </c>
    </row>
    <row r="176" spans="1:21">
      <c r="A176" s="6" t="s">
        <v>499</v>
      </c>
      <c r="B176" s="6" t="s">
        <v>500</v>
      </c>
      <c r="C176" s="7">
        <v>1.1138463426335679</v>
      </c>
      <c r="D176" s="7">
        <v>0.96772047412688189</v>
      </c>
      <c r="E176" s="7">
        <v>1.0437082309842871</v>
      </c>
      <c r="F176" s="8">
        <v>0.95280497519888196</v>
      </c>
      <c r="G176" s="8">
        <f t="shared" si="16"/>
        <v>1.040783408380225</v>
      </c>
      <c r="H176" s="8">
        <f t="shared" si="17"/>
        <v>0.99825660309158448</v>
      </c>
      <c r="I176" s="8">
        <f t="shared" si="18"/>
        <v>0.95913962026467625</v>
      </c>
      <c r="J176" s="22">
        <f t="shared" si="19"/>
        <v>-6.0187253781726256E-2</v>
      </c>
      <c r="K176" s="8"/>
      <c r="L176" s="8">
        <v>0.96760056429122476</v>
      </c>
      <c r="M176" s="8">
        <v>0.92726417939098749</v>
      </c>
      <c r="N176" s="8">
        <v>0.87457956607537701</v>
      </c>
      <c r="O176" s="8">
        <v>0.88255681498541194</v>
      </c>
      <c r="P176" s="8">
        <f t="shared" si="20"/>
        <v>0.94743237184110618</v>
      </c>
      <c r="Q176" s="8">
        <f t="shared" si="21"/>
        <v>0.87856819053039448</v>
      </c>
      <c r="R176" s="8">
        <f t="shared" si="22"/>
        <v>0.92731493734281978</v>
      </c>
      <c r="S176" s="22">
        <f t="shared" si="23"/>
        <v>-0.10886870061188643</v>
      </c>
      <c r="T176" s="25"/>
      <c r="U176" s="1" t="s">
        <v>501</v>
      </c>
    </row>
    <row r="177" spans="1:21">
      <c r="A177" s="6" t="s">
        <v>502</v>
      </c>
      <c r="B177" s="6" t="s">
        <v>503</v>
      </c>
      <c r="C177" s="7">
        <v>1.0186748700062993</v>
      </c>
      <c r="D177" s="7">
        <v>0.93991786174582881</v>
      </c>
      <c r="E177" s="7">
        <v>0.98879077373902857</v>
      </c>
      <c r="F177" s="8">
        <v>0.87978228058401087</v>
      </c>
      <c r="G177" s="8">
        <f t="shared" si="16"/>
        <v>0.97929636587606406</v>
      </c>
      <c r="H177" s="8">
        <f t="shared" si="17"/>
        <v>0.93428652716151972</v>
      </c>
      <c r="I177" s="8">
        <f t="shared" si="18"/>
        <v>0.95403859313387807</v>
      </c>
      <c r="J177" s="22">
        <f t="shared" si="19"/>
        <v>-6.7880467024828431E-2</v>
      </c>
      <c r="K177" s="8"/>
      <c r="L177" s="8">
        <v>0.80735392978781262</v>
      </c>
      <c r="M177" s="8">
        <v>0.99402543472022087</v>
      </c>
      <c r="N177" s="8">
        <v>1.0100613692526905</v>
      </c>
      <c r="O177" s="8">
        <v>0.98586777307251605</v>
      </c>
      <c r="P177" s="8">
        <f t="shared" si="20"/>
        <v>0.90068968225401669</v>
      </c>
      <c r="Q177" s="8">
        <f t="shared" si="21"/>
        <v>0.99796457116260329</v>
      </c>
      <c r="R177" s="8">
        <f t="shared" si="22"/>
        <v>1.1080004476848806</v>
      </c>
      <c r="S177" s="22">
        <f t="shared" si="23"/>
        <v>0.14795846430463436</v>
      </c>
      <c r="T177" s="25"/>
      <c r="U177" s="1" t="s">
        <v>504</v>
      </c>
    </row>
    <row r="178" spans="1:21">
      <c r="A178" s="6" t="s">
        <v>505</v>
      </c>
      <c r="B178" s="6" t="s">
        <v>506</v>
      </c>
      <c r="C178" s="7">
        <v>0.86303814035423587</v>
      </c>
      <c r="D178" s="7">
        <v>0.86723877890691115</v>
      </c>
      <c r="E178" s="7">
        <v>0.96050241514327639</v>
      </c>
      <c r="F178" s="8">
        <v>0.85905249141885687</v>
      </c>
      <c r="G178" s="8">
        <f t="shared" si="16"/>
        <v>0.86513845963057356</v>
      </c>
      <c r="H178" s="8">
        <f t="shared" si="17"/>
        <v>0.90977745328106663</v>
      </c>
      <c r="I178" s="8">
        <f t="shared" si="18"/>
        <v>1.0515975138471529</v>
      </c>
      <c r="J178" s="22">
        <f t="shared" si="19"/>
        <v>7.2582636299650824E-2</v>
      </c>
      <c r="K178" s="8"/>
      <c r="L178" s="8">
        <v>0.82382788286760267</v>
      </c>
      <c r="M178" s="8">
        <v>1.0643546469458374</v>
      </c>
      <c r="N178" s="8">
        <v>0.79317808701255588</v>
      </c>
      <c r="O178" s="8">
        <v>0.86685390422421182</v>
      </c>
      <c r="P178" s="8">
        <f t="shared" si="20"/>
        <v>0.94409126490672002</v>
      </c>
      <c r="Q178" s="8">
        <f t="shared" si="21"/>
        <v>0.83001599561838391</v>
      </c>
      <c r="R178" s="8">
        <f t="shared" si="22"/>
        <v>0.87916923550859549</v>
      </c>
      <c r="S178" s="22">
        <f t="shared" si="23"/>
        <v>-0.18578719148890058</v>
      </c>
      <c r="T178" s="25"/>
      <c r="U178" s="1" t="s">
        <v>507</v>
      </c>
    </row>
    <row r="179" spans="1:21">
      <c r="A179" s="6" t="s">
        <v>508</v>
      </c>
      <c r="B179" s="6" t="s">
        <v>509</v>
      </c>
      <c r="C179" s="7">
        <v>1.0704535501571597</v>
      </c>
      <c r="D179" s="7">
        <v>1.1062530458087059</v>
      </c>
      <c r="E179" s="7">
        <v>1.0155277917346321</v>
      </c>
      <c r="F179" s="8">
        <v>0.95792474489721413</v>
      </c>
      <c r="G179" s="8">
        <f t="shared" si="16"/>
        <v>1.0883532979829327</v>
      </c>
      <c r="H179" s="8">
        <f t="shared" si="17"/>
        <v>0.98672626831592314</v>
      </c>
      <c r="I179" s="8">
        <f t="shared" si="18"/>
        <v>0.90662312517878429</v>
      </c>
      <c r="J179" s="22">
        <f t="shared" si="19"/>
        <v>-0.141425134462869</v>
      </c>
      <c r="K179" s="8"/>
      <c r="L179" s="8">
        <v>0.38580305137452936</v>
      </c>
      <c r="M179" s="8">
        <v>0.34013296310160901</v>
      </c>
      <c r="N179" s="8">
        <v>0.40532143796761083</v>
      </c>
      <c r="O179" s="8">
        <v>0.35433573774142896</v>
      </c>
      <c r="P179" s="8">
        <f t="shared" si="20"/>
        <v>0.36296800723806921</v>
      </c>
      <c r="Q179" s="8">
        <f t="shared" si="21"/>
        <v>0.37982858785451989</v>
      </c>
      <c r="R179" s="8">
        <f t="shared" si="22"/>
        <v>1.0464519744997578</v>
      </c>
      <c r="S179" s="22">
        <f t="shared" si="23"/>
        <v>6.5506102572209304E-2</v>
      </c>
      <c r="T179" s="25"/>
      <c r="U179" s="1" t="s">
        <v>510</v>
      </c>
    </row>
    <row r="180" spans="1:21">
      <c r="A180" s="6" t="s">
        <v>511</v>
      </c>
      <c r="B180" s="6" t="s">
        <v>512</v>
      </c>
      <c r="C180" s="7">
        <v>0.92509370914518185</v>
      </c>
      <c r="D180" s="7">
        <v>0.94764519766802491</v>
      </c>
      <c r="E180" s="7">
        <v>0.90225969304639508</v>
      </c>
      <c r="F180" s="8">
        <v>0.81935448333269134</v>
      </c>
      <c r="G180" s="8">
        <f t="shared" si="16"/>
        <v>0.93636945340660338</v>
      </c>
      <c r="H180" s="8">
        <f t="shared" si="17"/>
        <v>0.86080708818954321</v>
      </c>
      <c r="I180" s="8">
        <f t="shared" si="18"/>
        <v>0.91930282973012745</v>
      </c>
      <c r="J180" s="22">
        <f t="shared" si="19"/>
        <v>-0.12138791347822898</v>
      </c>
      <c r="K180" s="8"/>
      <c r="L180" s="8">
        <v>0.81933498657311443</v>
      </c>
      <c r="M180" s="8">
        <v>1.2294370237599417</v>
      </c>
      <c r="N180" s="8">
        <v>1.1028322529854651</v>
      </c>
      <c r="O180" s="8">
        <v>0.78084276307741285</v>
      </c>
      <c r="P180" s="8">
        <f t="shared" si="20"/>
        <v>1.0243860051665281</v>
      </c>
      <c r="Q180" s="8">
        <f t="shared" si="21"/>
        <v>0.94183750803143895</v>
      </c>
      <c r="R180" s="8">
        <f t="shared" si="22"/>
        <v>0.91941660983383922</v>
      </c>
      <c r="S180" s="22">
        <f t="shared" si="23"/>
        <v>-0.12120936531252813</v>
      </c>
      <c r="T180" s="25"/>
      <c r="U180" s="1" t="s">
        <v>513</v>
      </c>
    </row>
    <row r="181" spans="1:21">
      <c r="A181" s="6" t="s">
        <v>514</v>
      </c>
      <c r="B181" s="6" t="s">
        <v>515</v>
      </c>
      <c r="C181" s="7">
        <v>0.97762077130364267</v>
      </c>
      <c r="D181" s="7">
        <v>0.9151100856889659</v>
      </c>
      <c r="E181" s="7">
        <v>0.89403758786560772</v>
      </c>
      <c r="F181" s="8">
        <v>0.94023646840078579</v>
      </c>
      <c r="G181" s="8">
        <f t="shared" si="16"/>
        <v>0.94636542849630434</v>
      </c>
      <c r="H181" s="8">
        <f t="shared" si="17"/>
        <v>0.91713702813319675</v>
      </c>
      <c r="I181" s="8">
        <f t="shared" si="18"/>
        <v>0.96911510133083678</v>
      </c>
      <c r="J181" s="22">
        <f t="shared" si="19"/>
        <v>-4.5260070880024407E-2</v>
      </c>
      <c r="K181" s="8"/>
      <c r="L181" s="8">
        <v>0.91202539056157739</v>
      </c>
      <c r="M181" s="8">
        <v>1.1020205011921926</v>
      </c>
      <c r="N181" s="8">
        <v>1.1594631279574754</v>
      </c>
      <c r="O181" s="8">
        <v>1.0308472971173093</v>
      </c>
      <c r="P181" s="8">
        <f t="shared" si="20"/>
        <v>1.0070229458768849</v>
      </c>
      <c r="Q181" s="8">
        <f t="shared" si="21"/>
        <v>1.0951552125373922</v>
      </c>
      <c r="R181" s="8">
        <f t="shared" si="22"/>
        <v>1.0875176350463043</v>
      </c>
      <c r="S181" s="22">
        <f t="shared" si="23"/>
        <v>0.12103879570855294</v>
      </c>
      <c r="T181" s="25"/>
      <c r="U181" s="1" t="s">
        <v>516</v>
      </c>
    </row>
    <row r="182" spans="1:21">
      <c r="A182" s="6" t="s">
        <v>517</v>
      </c>
      <c r="B182" s="6" t="s">
        <v>518</v>
      </c>
      <c r="C182" s="7">
        <v>0.96133678065612083</v>
      </c>
      <c r="D182" s="7">
        <v>0.95641908078922377</v>
      </c>
      <c r="E182" s="7">
        <v>0.8818089769609585</v>
      </c>
      <c r="F182" s="8">
        <v>0.83527459194361331</v>
      </c>
      <c r="G182" s="8">
        <f t="shared" si="16"/>
        <v>0.95887793072267224</v>
      </c>
      <c r="H182" s="8">
        <f t="shared" si="17"/>
        <v>0.85854178445228591</v>
      </c>
      <c r="I182" s="8">
        <f t="shared" si="18"/>
        <v>0.89536087644152307</v>
      </c>
      <c r="J182" s="22">
        <f t="shared" si="19"/>
        <v>-0.15945881506108173</v>
      </c>
      <c r="K182" s="8"/>
      <c r="L182" s="8">
        <v>0.91192771890300151</v>
      </c>
      <c r="M182" s="8">
        <v>1.0061638447800814</v>
      </c>
      <c r="N182" s="8">
        <v>0.8434109700029957</v>
      </c>
      <c r="O182" s="8">
        <v>0.92465303620682104</v>
      </c>
      <c r="P182" s="8">
        <f t="shared" si="20"/>
        <v>0.95904578184154143</v>
      </c>
      <c r="Q182" s="8">
        <f t="shared" si="21"/>
        <v>0.88403200310490837</v>
      </c>
      <c r="R182" s="8">
        <f t="shared" si="22"/>
        <v>0.92178290113263095</v>
      </c>
      <c r="S182" s="22">
        <f t="shared" si="23"/>
        <v>-0.11750108863605273</v>
      </c>
      <c r="T182" s="25"/>
      <c r="U182" s="1" t="s">
        <v>519</v>
      </c>
    </row>
    <row r="183" spans="1:21">
      <c r="A183" s="6" t="s">
        <v>520</v>
      </c>
      <c r="B183" s="13" t="s">
        <v>521</v>
      </c>
      <c r="C183" s="14">
        <v>0.12211990688309769</v>
      </c>
      <c r="D183" s="14">
        <v>0.11635761876710618</v>
      </c>
      <c r="E183" s="14">
        <v>0.23931789492987218</v>
      </c>
      <c r="F183" s="8">
        <v>0.22671475018529236</v>
      </c>
      <c r="G183" s="8">
        <f t="shared" si="16"/>
        <v>0.11923876282510193</v>
      </c>
      <c r="H183" s="8">
        <f t="shared" si="17"/>
        <v>0.23301632255758226</v>
      </c>
      <c r="I183" s="8">
        <f t="shared" si="18"/>
        <v>1.9541994317684088</v>
      </c>
      <c r="J183" s="22">
        <f t="shared" si="19"/>
        <v>0.96657770606857329</v>
      </c>
      <c r="K183" s="8"/>
      <c r="L183" s="8">
        <v>0.53706389328896509</v>
      </c>
      <c r="M183" s="8">
        <v>0.85744993001639536</v>
      </c>
      <c r="N183" s="8">
        <v>0.9729703076298013</v>
      </c>
      <c r="O183" s="8">
        <v>1.5367116878538212</v>
      </c>
      <c r="P183" s="8">
        <f t="shared" si="20"/>
        <v>0.69725691165268022</v>
      </c>
      <c r="Q183" s="8">
        <f t="shared" si="21"/>
        <v>1.2548409977418111</v>
      </c>
      <c r="R183" s="8">
        <f t="shared" si="22"/>
        <v>1.7996824079771567</v>
      </c>
      <c r="S183" s="22">
        <f t="shared" si="23"/>
        <v>0.84774233496465901</v>
      </c>
      <c r="T183" s="25"/>
      <c r="U183" s="1" t="s">
        <v>522</v>
      </c>
    </row>
    <row r="184" spans="1:21">
      <c r="A184" s="6" t="s">
        <v>523</v>
      </c>
      <c r="B184" s="6" t="s">
        <v>524</v>
      </c>
      <c r="C184" s="7">
        <v>1.0864502155696205</v>
      </c>
      <c r="D184" s="7">
        <v>1.1077010985368858</v>
      </c>
      <c r="E184" s="7">
        <v>0.99356620480383362</v>
      </c>
      <c r="F184" s="8">
        <v>0.9572781760435588</v>
      </c>
      <c r="G184" s="8">
        <f t="shared" si="16"/>
        <v>1.0970756570532532</v>
      </c>
      <c r="H184" s="8">
        <f t="shared" si="17"/>
        <v>0.97542219042369616</v>
      </c>
      <c r="I184" s="8">
        <f t="shared" si="18"/>
        <v>0.88911114210999964</v>
      </c>
      <c r="J184" s="22">
        <f t="shared" si="19"/>
        <v>-0.16956432245918771</v>
      </c>
      <c r="K184" s="8"/>
      <c r="L184" s="8">
        <v>0.43323892022285759</v>
      </c>
      <c r="M184" s="8">
        <v>0.45559499091343453</v>
      </c>
      <c r="N184" s="8">
        <v>0.4025115090567859</v>
      </c>
      <c r="O184" s="8">
        <v>0.51061075076885187</v>
      </c>
      <c r="P184" s="8">
        <f t="shared" si="20"/>
        <v>0.44441695556814609</v>
      </c>
      <c r="Q184" s="8">
        <f t="shared" si="21"/>
        <v>0.45656112991281889</v>
      </c>
      <c r="R184" s="8">
        <f t="shared" si="22"/>
        <v>1.0273260823929358</v>
      </c>
      <c r="S184" s="22">
        <f t="shared" si="23"/>
        <v>3.889417852349198E-2</v>
      </c>
      <c r="T184" s="25"/>
      <c r="U184" s="1" t="s">
        <v>525</v>
      </c>
    </row>
    <row r="185" spans="1:21">
      <c r="A185" s="6" t="s">
        <v>526</v>
      </c>
      <c r="B185" s="6" t="s">
        <v>527</v>
      </c>
      <c r="C185" s="7">
        <v>1.0552988145032494</v>
      </c>
      <c r="D185" s="7">
        <v>1.0866714236890012</v>
      </c>
      <c r="E185" s="7">
        <v>0.92724302166791772</v>
      </c>
      <c r="F185" s="8">
        <v>0.88526492055735362</v>
      </c>
      <c r="G185" s="8">
        <f t="shared" si="16"/>
        <v>1.0709851190961253</v>
      </c>
      <c r="H185" s="8">
        <f t="shared" si="17"/>
        <v>0.90625397111263561</v>
      </c>
      <c r="I185" s="8">
        <f t="shared" si="18"/>
        <v>0.84618726717462045</v>
      </c>
      <c r="J185" s="22">
        <f t="shared" si="19"/>
        <v>-0.24095111768073449</v>
      </c>
      <c r="K185" s="8"/>
      <c r="L185" s="8">
        <v>0.97453525205010871</v>
      </c>
      <c r="M185" s="8">
        <v>0.68942490833929471</v>
      </c>
      <c r="N185" s="8">
        <v>1.0230735015935877</v>
      </c>
      <c r="O185" s="8">
        <v>0.93463369982622779</v>
      </c>
      <c r="P185" s="8">
        <f t="shared" si="20"/>
        <v>0.83198008019470171</v>
      </c>
      <c r="Q185" s="8">
        <f t="shared" si="21"/>
        <v>0.97885360070990779</v>
      </c>
      <c r="R185" s="8">
        <f t="shared" si="22"/>
        <v>1.1765349003077508</v>
      </c>
      <c r="S185" s="22">
        <f t="shared" si="23"/>
        <v>0.23454411678330744</v>
      </c>
      <c r="T185" s="25"/>
      <c r="U185" s="1" t="s">
        <v>528</v>
      </c>
    </row>
    <row r="186" spans="1:21">
      <c r="A186" s="6" t="s">
        <v>529</v>
      </c>
      <c r="B186" s="6" t="s">
        <v>530</v>
      </c>
      <c r="C186" s="7">
        <v>1.0014687658136983</v>
      </c>
      <c r="D186" s="7">
        <v>1.0466525119283945</v>
      </c>
      <c r="E186" s="7">
        <v>1.0447941694043912</v>
      </c>
      <c r="F186" s="8">
        <v>1.0700450622341422</v>
      </c>
      <c r="G186" s="8">
        <f t="shared" si="16"/>
        <v>1.0240606388710463</v>
      </c>
      <c r="H186" s="8">
        <f t="shared" si="17"/>
        <v>1.0574196158192666</v>
      </c>
      <c r="I186" s="8">
        <f t="shared" si="18"/>
        <v>1.032575196899469</v>
      </c>
      <c r="J186" s="22">
        <f t="shared" si="19"/>
        <v>4.624684919302588E-2</v>
      </c>
      <c r="K186" s="8"/>
      <c r="L186" s="8">
        <v>1.2074821577534638</v>
      </c>
      <c r="M186" s="8">
        <v>1.1264076704942763</v>
      </c>
      <c r="N186" s="8">
        <v>1.402802971634916</v>
      </c>
      <c r="O186" s="8">
        <v>0.9524658188262346</v>
      </c>
      <c r="P186" s="8">
        <f t="shared" si="20"/>
        <v>1.1669449141238699</v>
      </c>
      <c r="Q186" s="8">
        <f t="shared" si="21"/>
        <v>1.1776343952305752</v>
      </c>
      <c r="R186" s="8">
        <f t="shared" si="22"/>
        <v>1.0091602276828386</v>
      </c>
      <c r="S186" s="22">
        <f t="shared" si="23"/>
        <v>1.3155254059217844E-2</v>
      </c>
      <c r="T186" s="25"/>
      <c r="U186" s="1" t="s">
        <v>531</v>
      </c>
    </row>
    <row r="187" spans="1:21">
      <c r="A187" s="6" t="s">
        <v>532</v>
      </c>
      <c r="B187" s="6" t="s">
        <v>533</v>
      </c>
      <c r="C187" s="7">
        <v>0.94844055498943347</v>
      </c>
      <c r="D187" s="7">
        <v>1.041893684098967</v>
      </c>
      <c r="E187" s="7">
        <v>0.99814603205383745</v>
      </c>
      <c r="F187" s="8">
        <v>0.86366424273217401</v>
      </c>
      <c r="G187" s="8">
        <f t="shared" si="16"/>
        <v>0.99516711954420023</v>
      </c>
      <c r="H187" s="8">
        <f t="shared" si="17"/>
        <v>0.93090513739300573</v>
      </c>
      <c r="I187" s="8">
        <f t="shared" si="18"/>
        <v>0.93542593913208538</v>
      </c>
      <c r="J187" s="22">
        <f t="shared" si="19"/>
        <v>-9.6304659995844463E-2</v>
      </c>
      <c r="K187" s="8"/>
      <c r="L187" s="8">
        <v>0.93263411052107748</v>
      </c>
      <c r="M187" s="8">
        <v>0.84512760465259751</v>
      </c>
      <c r="N187" s="8">
        <v>0.85771999261042731</v>
      </c>
      <c r="O187" s="8">
        <v>0.9822747341695296</v>
      </c>
      <c r="P187" s="8">
        <f t="shared" si="20"/>
        <v>0.88888085758683744</v>
      </c>
      <c r="Q187" s="8">
        <f t="shared" si="21"/>
        <v>0.91999736338997851</v>
      </c>
      <c r="R187" s="8">
        <f t="shared" si="22"/>
        <v>1.0350063853187448</v>
      </c>
      <c r="S187" s="22">
        <f t="shared" si="23"/>
        <v>4.96396682456356E-2</v>
      </c>
      <c r="T187" s="25"/>
      <c r="U187" s="1" t="s">
        <v>534</v>
      </c>
    </row>
    <row r="188" spans="1:21">
      <c r="A188" s="6" t="s">
        <v>535</v>
      </c>
      <c r="B188" s="6" t="s">
        <v>536</v>
      </c>
      <c r="C188" s="7">
        <v>1.0451555655073781</v>
      </c>
      <c r="D188" s="7">
        <v>1.1169291436501045</v>
      </c>
      <c r="E188" s="7">
        <v>1.1153666767928878</v>
      </c>
      <c r="F188" s="8">
        <v>1.0880566231573983</v>
      </c>
      <c r="G188" s="8">
        <f t="shared" si="16"/>
        <v>1.0810423545787413</v>
      </c>
      <c r="H188" s="8">
        <f t="shared" si="17"/>
        <v>1.1017116499751429</v>
      </c>
      <c r="I188" s="8">
        <f t="shared" si="18"/>
        <v>1.0191197831508239</v>
      </c>
      <c r="J188" s="22">
        <f t="shared" si="19"/>
        <v>2.732362991546021E-2</v>
      </c>
      <c r="K188" s="8"/>
      <c r="L188" s="8">
        <v>1.120228809425722</v>
      </c>
      <c r="M188" s="8">
        <v>0.5802527839221242</v>
      </c>
      <c r="N188" s="8">
        <v>0.69210710557396005</v>
      </c>
      <c r="O188" s="8">
        <v>0.62758412838829958</v>
      </c>
      <c r="P188" s="8">
        <f t="shared" si="20"/>
        <v>0.85024079667392316</v>
      </c>
      <c r="Q188" s="8">
        <f t="shared" si="21"/>
        <v>0.65984561698112976</v>
      </c>
      <c r="R188" s="8">
        <f t="shared" si="22"/>
        <v>0.77606910837776222</v>
      </c>
      <c r="S188" s="22">
        <f t="shared" si="23"/>
        <v>-0.36574296583250943</v>
      </c>
      <c r="T188" s="25"/>
      <c r="U188" s="1" t="s">
        <v>537</v>
      </c>
    </row>
    <row r="189" spans="1:21">
      <c r="A189" s="6" t="s">
        <v>538</v>
      </c>
      <c r="B189" s="6" t="s">
        <v>539</v>
      </c>
      <c r="C189" s="7">
        <v>0.87547999123059439</v>
      </c>
      <c r="D189" s="7">
        <v>0.97143933681516204</v>
      </c>
      <c r="E189" s="7">
        <v>0.9997445873679035</v>
      </c>
      <c r="F189" s="8">
        <v>0.97053943518485719</v>
      </c>
      <c r="G189" s="8">
        <f t="shared" si="16"/>
        <v>0.92345966402287827</v>
      </c>
      <c r="H189" s="8">
        <f t="shared" si="17"/>
        <v>0.98514201127638035</v>
      </c>
      <c r="I189" s="8">
        <f t="shared" si="18"/>
        <v>1.0667948473079967</v>
      </c>
      <c r="J189" s="22">
        <f t="shared" si="19"/>
        <v>9.3282761702682987E-2</v>
      </c>
      <c r="K189" s="8"/>
      <c r="L189" s="8">
        <v>0.87699382235237955</v>
      </c>
      <c r="M189" s="8">
        <v>0.76115187687483454</v>
      </c>
      <c r="N189" s="8">
        <v>0.88776461711847865</v>
      </c>
      <c r="O189" s="8">
        <v>0.849953313828683</v>
      </c>
      <c r="P189" s="8">
        <f t="shared" si="20"/>
        <v>0.81907284961360705</v>
      </c>
      <c r="Q189" s="8">
        <f t="shared" si="21"/>
        <v>0.86885896547358077</v>
      </c>
      <c r="R189" s="8">
        <f t="shared" si="22"/>
        <v>1.0607835015938571</v>
      </c>
      <c r="S189" s="22">
        <f t="shared" si="23"/>
        <v>8.5130242446790405E-2</v>
      </c>
      <c r="T189" s="25"/>
      <c r="U189" s="1" t="s">
        <v>540</v>
      </c>
    </row>
    <row r="190" spans="1:21">
      <c r="A190" s="6" t="s">
        <v>541</v>
      </c>
      <c r="B190" s="6" t="s">
        <v>542</v>
      </c>
      <c r="C190" s="7">
        <v>1.0107032652289116</v>
      </c>
      <c r="D190" s="7">
        <v>1.0811688233219177</v>
      </c>
      <c r="E190" s="7">
        <v>1.038258304006374</v>
      </c>
      <c r="F190" s="8">
        <v>1.0134966781047547</v>
      </c>
      <c r="G190" s="8">
        <f t="shared" si="16"/>
        <v>1.0459360442754146</v>
      </c>
      <c r="H190" s="8">
        <f t="shared" si="17"/>
        <v>1.0258774910555644</v>
      </c>
      <c r="I190" s="8">
        <f t="shared" si="18"/>
        <v>0.98082239030805551</v>
      </c>
      <c r="J190" s="22">
        <f t="shared" si="19"/>
        <v>-2.7936181501314845E-2</v>
      </c>
      <c r="K190" s="8"/>
      <c r="L190" s="8">
        <v>0.48871642229392914</v>
      </c>
      <c r="M190" s="8">
        <v>0.50904077823760863</v>
      </c>
      <c r="N190" s="8">
        <v>0.67866267647755152</v>
      </c>
      <c r="O190" s="8">
        <v>0.75946196367939467</v>
      </c>
      <c r="P190" s="8">
        <f t="shared" si="20"/>
        <v>0.49887860026576891</v>
      </c>
      <c r="Q190" s="8">
        <f t="shared" si="21"/>
        <v>0.71906232007847315</v>
      </c>
      <c r="R190" s="8">
        <f t="shared" si="22"/>
        <v>1.4413573155781891</v>
      </c>
      <c r="S190" s="22">
        <f t="shared" si="23"/>
        <v>0.52742802705391423</v>
      </c>
      <c r="T190" s="25"/>
      <c r="U190" s="1" t="s">
        <v>543</v>
      </c>
    </row>
    <row r="191" spans="1:21">
      <c r="A191" s="6" t="s">
        <v>544</v>
      </c>
      <c r="B191" s="6" t="s">
        <v>545</v>
      </c>
      <c r="C191" s="7">
        <v>1.0430373771465802</v>
      </c>
      <c r="D191" s="7">
        <v>0.92203441055280777</v>
      </c>
      <c r="E191" s="7">
        <v>0.96320039879570862</v>
      </c>
      <c r="F191" s="8">
        <v>0.99011463711134096</v>
      </c>
      <c r="G191" s="8">
        <f t="shared" si="16"/>
        <v>0.98253589384969398</v>
      </c>
      <c r="H191" s="8">
        <f t="shared" si="17"/>
        <v>0.97665751795352485</v>
      </c>
      <c r="I191" s="8">
        <f t="shared" si="18"/>
        <v>0.99401713878040943</v>
      </c>
      <c r="J191" s="22">
        <f t="shared" si="19"/>
        <v>-8.6573680290362998E-3</v>
      </c>
      <c r="K191" s="8"/>
      <c r="L191" s="8">
        <v>0.88721678928331649</v>
      </c>
      <c r="M191" s="8">
        <v>1.0563359396941718</v>
      </c>
      <c r="N191" s="8">
        <v>0.94301214247285226</v>
      </c>
      <c r="O191" s="8">
        <v>0.85851450528888529</v>
      </c>
      <c r="P191" s="8">
        <f t="shared" si="20"/>
        <v>0.97177636448874416</v>
      </c>
      <c r="Q191" s="8">
        <f t="shared" si="21"/>
        <v>0.90076332388086877</v>
      </c>
      <c r="R191" s="8">
        <f t="shared" si="22"/>
        <v>0.92692450320580122</v>
      </c>
      <c r="S191" s="22">
        <f t="shared" si="23"/>
        <v>-0.10947625688458487</v>
      </c>
      <c r="T191" s="25"/>
      <c r="U191" s="1" t="s">
        <v>546</v>
      </c>
    </row>
    <row r="192" spans="1:21">
      <c r="A192" s="6" t="s">
        <v>547</v>
      </c>
      <c r="B192" s="6" t="s">
        <v>548</v>
      </c>
      <c r="C192" s="7">
        <v>0.98744996713561006</v>
      </c>
      <c r="D192" s="7">
        <v>1.0157497502974653</v>
      </c>
      <c r="E192" s="7">
        <v>1.1360737013253055</v>
      </c>
      <c r="F192" s="8">
        <v>1.1489660482282773</v>
      </c>
      <c r="G192" s="8">
        <f t="shared" si="16"/>
        <v>1.0015998587165376</v>
      </c>
      <c r="H192" s="8">
        <f t="shared" si="17"/>
        <v>1.1425198747767915</v>
      </c>
      <c r="I192" s="8">
        <f t="shared" si="18"/>
        <v>1.1406949240596245</v>
      </c>
      <c r="J192" s="22">
        <f t="shared" si="19"/>
        <v>0.18991299811471354</v>
      </c>
      <c r="K192" s="8"/>
      <c r="L192" s="8">
        <v>2.0150639880779533</v>
      </c>
      <c r="M192" s="8">
        <v>2.0936182539004413</v>
      </c>
      <c r="N192" s="8">
        <v>2.4545809777944694</v>
      </c>
      <c r="O192" s="8">
        <v>2.4931697721278185</v>
      </c>
      <c r="P192" s="8">
        <f t="shared" si="20"/>
        <v>2.0543411209891973</v>
      </c>
      <c r="Q192" s="8">
        <f t="shared" si="21"/>
        <v>2.473875374961144</v>
      </c>
      <c r="R192" s="8">
        <f t="shared" si="22"/>
        <v>1.2042183986318369</v>
      </c>
      <c r="S192" s="22">
        <f t="shared" si="23"/>
        <v>0.26809706489617086</v>
      </c>
      <c r="T192" s="25"/>
      <c r="U192" s="1" t="s">
        <v>549</v>
      </c>
    </row>
    <row r="193" spans="1:21">
      <c r="A193" s="6" t="s">
        <v>550</v>
      </c>
      <c r="B193" s="6" t="s">
        <v>551</v>
      </c>
      <c r="C193" s="7">
        <v>1.0626356309706186</v>
      </c>
      <c r="D193" s="7">
        <v>1.121668225305966</v>
      </c>
      <c r="E193" s="7">
        <v>0.90937562492968516</v>
      </c>
      <c r="F193" s="8">
        <v>0.69804365157594805</v>
      </c>
      <c r="G193" s="8">
        <f t="shared" si="16"/>
        <v>1.0921519281382923</v>
      </c>
      <c r="H193" s="8">
        <f t="shared" si="17"/>
        <v>0.8037096382528166</v>
      </c>
      <c r="I193" s="8">
        <f t="shared" si="18"/>
        <v>0.73589545332107664</v>
      </c>
      <c r="J193" s="22">
        <f t="shared" si="19"/>
        <v>-0.44242727383421726</v>
      </c>
      <c r="K193" s="8"/>
      <c r="L193" s="8">
        <v>0.9022582247039943</v>
      </c>
      <c r="M193" s="8">
        <v>1.157342224616527</v>
      </c>
      <c r="N193" s="8">
        <v>1.1763227014224251</v>
      </c>
      <c r="O193" s="8">
        <v>1.1545188089880034</v>
      </c>
      <c r="P193" s="8">
        <f t="shared" si="20"/>
        <v>1.0298002246602607</v>
      </c>
      <c r="Q193" s="8">
        <f t="shared" si="21"/>
        <v>1.1654207552052143</v>
      </c>
      <c r="R193" s="8">
        <f t="shared" si="22"/>
        <v>1.1316959613110358</v>
      </c>
      <c r="S193" s="22">
        <f t="shared" si="23"/>
        <v>0.17848641927858255</v>
      </c>
      <c r="T193" s="25"/>
      <c r="U193" s="1" t="s">
        <v>552</v>
      </c>
    </row>
    <row r="194" spans="1:21">
      <c r="A194" s="6" t="s">
        <v>553</v>
      </c>
      <c r="B194" s="6" t="s">
        <v>554</v>
      </c>
      <c r="C194" s="7">
        <v>0.92500016139423169</v>
      </c>
      <c r="D194" s="7">
        <v>1.0809976898176783</v>
      </c>
      <c r="E194" s="7">
        <v>0.83074289137954704</v>
      </c>
      <c r="F194" s="8">
        <v>0.89374948735123916</v>
      </c>
      <c r="G194" s="8">
        <f t="shared" si="16"/>
        <v>1.002998925605955</v>
      </c>
      <c r="H194" s="8">
        <f t="shared" si="17"/>
        <v>0.8622461893653931</v>
      </c>
      <c r="I194" s="8">
        <f t="shared" si="18"/>
        <v>0.85966810866170462</v>
      </c>
      <c r="J194" s="22">
        <f t="shared" si="19"/>
        <v>-0.21814830763589177</v>
      </c>
      <c r="K194" s="8"/>
      <c r="L194" s="8">
        <v>0.91772290397850076</v>
      </c>
      <c r="M194" s="8">
        <v>0.90541504128323846</v>
      </c>
      <c r="N194" s="8">
        <v>1.3128420168129664</v>
      </c>
      <c r="O194" s="8">
        <v>1.4315820310627361</v>
      </c>
      <c r="P194" s="8">
        <f t="shared" si="20"/>
        <v>0.91156897263086956</v>
      </c>
      <c r="Q194" s="8">
        <f t="shared" si="21"/>
        <v>1.3722120239378512</v>
      </c>
      <c r="R194" s="8">
        <f t="shared" si="22"/>
        <v>1.5053298928961181</v>
      </c>
      <c r="S194" s="22">
        <f t="shared" si="23"/>
        <v>0.59007968810850364</v>
      </c>
      <c r="T194" s="25"/>
      <c r="U194" s="1" t="s">
        <v>555</v>
      </c>
    </row>
    <row r="195" spans="1:21">
      <c r="A195" s="6" t="s">
        <v>556</v>
      </c>
      <c r="B195" s="6" t="s">
        <v>80</v>
      </c>
      <c r="C195" s="7">
        <v>1.0119127040090519</v>
      </c>
      <c r="D195" s="7">
        <v>1.1230307112820261</v>
      </c>
      <c r="E195" s="7">
        <v>0.94664826908803679</v>
      </c>
      <c r="F195" s="8">
        <v>0.99047090974498786</v>
      </c>
      <c r="G195" s="8">
        <f t="shared" si="16"/>
        <v>1.0674717076455389</v>
      </c>
      <c r="H195" s="8">
        <f t="shared" si="17"/>
        <v>0.96855958941651232</v>
      </c>
      <c r="I195" s="8">
        <f t="shared" si="18"/>
        <v>0.90733982219801279</v>
      </c>
      <c r="J195" s="22">
        <f t="shared" si="19"/>
        <v>-0.14028511637070376</v>
      </c>
      <c r="K195" s="8"/>
      <c r="L195" s="8">
        <v>1.1500837797304009</v>
      </c>
      <c r="M195" s="8">
        <v>1.1515672840728965</v>
      </c>
      <c r="N195" s="8">
        <v>1.6902803140500835</v>
      </c>
      <c r="O195" s="8">
        <v>1.2328115702691278</v>
      </c>
      <c r="P195" s="8">
        <f t="shared" si="20"/>
        <v>1.1508255319016487</v>
      </c>
      <c r="Q195" s="8">
        <f t="shared" si="21"/>
        <v>1.4615459421596055</v>
      </c>
      <c r="R195" s="8">
        <f t="shared" si="22"/>
        <v>1.2699978421094948</v>
      </c>
      <c r="S195" s="22">
        <f t="shared" si="23"/>
        <v>0.34482604567415343</v>
      </c>
      <c r="T195" s="25"/>
      <c r="U195" s="1">
        <v>0</v>
      </c>
    </row>
    <row r="196" spans="1:21">
      <c r="A196" s="6" t="s">
        <v>557</v>
      </c>
      <c r="B196" s="6" t="s">
        <v>80</v>
      </c>
      <c r="C196" s="7">
        <v>1.9097238797878686</v>
      </c>
      <c r="D196" s="7">
        <v>1.9357897973200981</v>
      </c>
      <c r="E196" s="7">
        <v>1.5432871189460369</v>
      </c>
      <c r="F196" s="8">
        <v>1.7457688930762532</v>
      </c>
      <c r="G196" s="8">
        <f t="shared" si="16"/>
        <v>1.9227568385539833</v>
      </c>
      <c r="H196" s="8">
        <f t="shared" si="17"/>
        <v>1.6445280060111451</v>
      </c>
      <c r="I196" s="8">
        <f t="shared" si="18"/>
        <v>0.8552969221255865</v>
      </c>
      <c r="J196" s="22">
        <f t="shared" si="19"/>
        <v>-0.22550274656828104</v>
      </c>
      <c r="K196" s="8"/>
      <c r="L196" s="8">
        <v>1.6455721036855875</v>
      </c>
      <c r="M196" s="8">
        <v>1.7444366578451183</v>
      </c>
      <c r="N196" s="8">
        <v>1.8503598026160033</v>
      </c>
      <c r="O196" s="8">
        <v>1.988991004580362</v>
      </c>
      <c r="P196" s="8">
        <f t="shared" si="20"/>
        <v>1.695004380765353</v>
      </c>
      <c r="Q196" s="8">
        <f t="shared" si="21"/>
        <v>1.9196754035981827</v>
      </c>
      <c r="R196" s="8">
        <f t="shared" si="22"/>
        <v>1.1325489334318906</v>
      </c>
      <c r="S196" s="22">
        <f t="shared" si="23"/>
        <v>0.17957338536590167</v>
      </c>
      <c r="T196" s="25"/>
      <c r="U196" s="1">
        <v>0</v>
      </c>
    </row>
    <row r="197" spans="1:21">
      <c r="A197" s="6" t="s">
        <v>558</v>
      </c>
      <c r="B197" s="6" t="s">
        <v>559</v>
      </c>
      <c r="C197" s="7">
        <v>0.96747752230777151</v>
      </c>
      <c r="D197" s="7">
        <v>0.9541614349448343</v>
      </c>
      <c r="E197" s="7">
        <v>0.90290046416384773</v>
      </c>
      <c r="F197" s="8">
        <v>0.96780141401886777</v>
      </c>
      <c r="G197" s="8">
        <f t="shared" si="16"/>
        <v>0.9608194786263029</v>
      </c>
      <c r="H197" s="8">
        <f t="shared" si="17"/>
        <v>0.93535093909135769</v>
      </c>
      <c r="I197" s="8">
        <f t="shared" si="18"/>
        <v>0.97349289840443498</v>
      </c>
      <c r="J197" s="22">
        <f t="shared" si="19"/>
        <v>-3.8757640311668062E-2</v>
      </c>
      <c r="K197" s="8"/>
      <c r="L197" s="8">
        <v>0.91899263553998656</v>
      </c>
      <c r="M197" s="8">
        <v>0.86885267886050677</v>
      </c>
      <c r="N197" s="8">
        <v>0.85387255148637475</v>
      </c>
      <c r="O197" s="8">
        <v>0.52618058601512641</v>
      </c>
      <c r="P197" s="8">
        <f t="shared" si="20"/>
        <v>0.89392265720024666</v>
      </c>
      <c r="Q197" s="8">
        <f t="shared" si="21"/>
        <v>0.69002656875075052</v>
      </c>
      <c r="R197" s="8">
        <f t="shared" si="22"/>
        <v>0.77190857977792415</v>
      </c>
      <c r="S197" s="22">
        <f t="shared" si="23"/>
        <v>-0.37349810142371725</v>
      </c>
      <c r="T197" s="25"/>
      <c r="U197" s="1" t="s">
        <v>560</v>
      </c>
    </row>
    <row r="198" spans="1:21">
      <c r="A198" s="6" t="s">
        <v>561</v>
      </c>
      <c r="B198" s="6" t="s">
        <v>562</v>
      </c>
      <c r="C198" s="7">
        <v>1.1608874973970285</v>
      </c>
      <c r="D198" s="7">
        <v>1.0716577497209183</v>
      </c>
      <c r="E198" s="7">
        <v>1.0414554146345063</v>
      </c>
      <c r="F198" s="8">
        <v>1.1852596733707066</v>
      </c>
      <c r="G198" s="8">
        <f t="shared" ref="G198:G261" si="24">AVERAGE(C198:D198)</f>
        <v>1.1162726235589733</v>
      </c>
      <c r="H198" s="8">
        <f t="shared" ref="H198:H261" si="25">AVERAGE(E198:F198)</f>
        <v>1.1133575440026064</v>
      </c>
      <c r="I198" s="8">
        <f t="shared" ref="I198:I261" si="26">H198/G198</f>
        <v>0.99738855948372829</v>
      </c>
      <c r="J198" s="22">
        <f t="shared" ref="J198:J261" si="27">LOG(I198,2)</f>
        <v>-3.7724401806566907E-3</v>
      </c>
      <c r="K198" s="8"/>
      <c r="L198" s="8">
        <v>1.1261867805988477</v>
      </c>
      <c r="M198" s="8">
        <v>1.2026957385674608</v>
      </c>
      <c r="N198" s="8">
        <v>1.1998828745978036</v>
      </c>
      <c r="O198" s="8">
        <v>1.3607414986174355</v>
      </c>
      <c r="P198" s="8">
        <f t="shared" ref="P198:P261" si="28">AVERAGE(L198:M198)</f>
        <v>1.1644412595831541</v>
      </c>
      <c r="Q198" s="8">
        <f t="shared" ref="Q198:Q261" si="29">AVERAGE(N198:O198)</f>
        <v>1.2803121866076195</v>
      </c>
      <c r="R198" s="8">
        <f t="shared" ref="R198:R261" si="30">Q198/P198</f>
        <v>1.099507747660835</v>
      </c>
      <c r="S198" s="22">
        <f t="shared" ref="S198:S261" si="31">LOG(R198,2)</f>
        <v>0.13685777015239356</v>
      </c>
      <c r="T198" s="25"/>
      <c r="U198" s="1" t="s">
        <v>563</v>
      </c>
    </row>
    <row r="199" spans="1:21">
      <c r="A199" s="6" t="s">
        <v>564</v>
      </c>
      <c r="B199" s="6" t="s">
        <v>565</v>
      </c>
      <c r="C199" s="7">
        <v>1.0445341411617812</v>
      </c>
      <c r="D199" s="7">
        <v>1.0596389120770255</v>
      </c>
      <c r="E199" s="7">
        <v>1.0284106636749963</v>
      </c>
      <c r="F199" s="8">
        <v>0.95287754925388413</v>
      </c>
      <c r="G199" s="8">
        <f t="shared" si="24"/>
        <v>1.0520865266194033</v>
      </c>
      <c r="H199" s="8">
        <f t="shared" si="25"/>
        <v>0.99064410646444023</v>
      </c>
      <c r="I199" s="8">
        <f t="shared" si="26"/>
        <v>0.94159946107057213</v>
      </c>
      <c r="J199" s="22">
        <f t="shared" si="27"/>
        <v>-8.6814600244900134E-2</v>
      </c>
      <c r="K199" s="8"/>
      <c r="L199" s="8">
        <v>1.1777248591073608</v>
      </c>
      <c r="M199" s="8">
        <v>0.44989361649137882</v>
      </c>
      <c r="N199" s="8">
        <v>0.59064705705540388</v>
      </c>
      <c r="O199" s="8">
        <v>0.60141261045296612</v>
      </c>
      <c r="P199" s="8">
        <f t="shared" si="28"/>
        <v>0.81380923779936976</v>
      </c>
      <c r="Q199" s="8">
        <f t="shared" si="29"/>
        <v>0.59602983375418495</v>
      </c>
      <c r="R199" s="8">
        <f t="shared" si="30"/>
        <v>0.73239502093379472</v>
      </c>
      <c r="S199" s="22">
        <f t="shared" si="31"/>
        <v>-0.44930611164198081</v>
      </c>
      <c r="T199" s="25"/>
      <c r="U199" s="1" t="s">
        <v>566</v>
      </c>
    </row>
    <row r="200" spans="1:21">
      <c r="A200" s="6" t="s">
        <v>567</v>
      </c>
      <c r="B200" s="6" t="s">
        <v>568</v>
      </c>
      <c r="C200" s="7">
        <v>0.79572385156345415</v>
      </c>
      <c r="D200" s="7">
        <v>0.81339096359218688</v>
      </c>
      <c r="E200" s="7">
        <v>1.0330849203528352</v>
      </c>
      <c r="F200" s="8">
        <v>0.93339471430649401</v>
      </c>
      <c r="G200" s="8">
        <f t="shared" si="24"/>
        <v>0.80455740757782057</v>
      </c>
      <c r="H200" s="8">
        <f t="shared" si="25"/>
        <v>0.98323981732966459</v>
      </c>
      <c r="I200" s="8">
        <f t="shared" si="26"/>
        <v>1.2220878312335481</v>
      </c>
      <c r="J200" s="22">
        <f t="shared" si="27"/>
        <v>0.28934797511697069</v>
      </c>
      <c r="K200" s="8"/>
      <c r="L200" s="8">
        <v>1.0116179250893989</v>
      </c>
      <c r="M200" s="8">
        <v>0.54582383902506504</v>
      </c>
      <c r="N200" s="8">
        <v>0.40216567165237666</v>
      </c>
      <c r="O200" s="8">
        <v>0.4158166256369748</v>
      </c>
      <c r="P200" s="8">
        <f t="shared" si="28"/>
        <v>0.778720882057232</v>
      </c>
      <c r="Q200" s="8">
        <f t="shared" si="29"/>
        <v>0.40899114864467573</v>
      </c>
      <c r="R200" s="8">
        <f t="shared" si="30"/>
        <v>0.52520891383341251</v>
      </c>
      <c r="S200" s="22">
        <f t="shared" si="31"/>
        <v>-0.92903669306225634</v>
      </c>
      <c r="T200" s="25"/>
      <c r="U200" s="1" t="s">
        <v>569</v>
      </c>
    </row>
    <row r="201" spans="1:21">
      <c r="A201" s="6" t="s">
        <v>570</v>
      </c>
      <c r="B201" s="6" t="s">
        <v>571</v>
      </c>
      <c r="C201" s="7">
        <v>1.0045224316839967</v>
      </c>
      <c r="D201" s="7">
        <v>0.99306139687002926</v>
      </c>
      <c r="E201" s="7">
        <v>0.97507827182554163</v>
      </c>
      <c r="F201" s="8">
        <v>0.99350582477234961</v>
      </c>
      <c r="G201" s="8">
        <f t="shared" si="24"/>
        <v>0.99879191427701297</v>
      </c>
      <c r="H201" s="8">
        <f t="shared" si="25"/>
        <v>0.98429204829894568</v>
      </c>
      <c r="I201" s="8">
        <f t="shared" si="26"/>
        <v>0.98548259575312724</v>
      </c>
      <c r="J201" s="22">
        <f t="shared" si="27"/>
        <v>-2.109770230188187E-2</v>
      </c>
      <c r="K201" s="8"/>
      <c r="L201" s="8">
        <v>1.163757811931017</v>
      </c>
      <c r="M201" s="8">
        <v>1.0510391789407783</v>
      </c>
      <c r="N201" s="8">
        <v>1.23161345645235</v>
      </c>
      <c r="O201" s="8">
        <v>1.0821700873735478</v>
      </c>
      <c r="P201" s="8">
        <f t="shared" si="28"/>
        <v>1.1073984954358975</v>
      </c>
      <c r="Q201" s="8">
        <f t="shared" si="29"/>
        <v>1.156891771912949</v>
      </c>
      <c r="R201" s="8">
        <f t="shared" si="30"/>
        <v>1.0446932849205017</v>
      </c>
      <c r="S201" s="22">
        <f t="shared" si="31"/>
        <v>6.3079438693901951E-2</v>
      </c>
      <c r="T201" s="25"/>
      <c r="U201" s="1" t="s">
        <v>572</v>
      </c>
    </row>
    <row r="202" spans="1:21">
      <c r="A202" s="6" t="s">
        <v>573</v>
      </c>
      <c r="B202" s="6" t="s">
        <v>574</v>
      </c>
      <c r="C202" s="7">
        <v>1.0630231859388404</v>
      </c>
      <c r="D202" s="7">
        <v>0.92623376346452924</v>
      </c>
      <c r="E202" s="7">
        <v>0.92704067289398528</v>
      </c>
      <c r="F202" s="8">
        <v>0.88810850398516439</v>
      </c>
      <c r="G202" s="8">
        <f t="shared" si="24"/>
        <v>0.99462847470168481</v>
      </c>
      <c r="H202" s="8">
        <f t="shared" si="25"/>
        <v>0.90757458843957484</v>
      </c>
      <c r="I202" s="8">
        <f t="shared" si="26"/>
        <v>0.9124759762299991</v>
      </c>
      <c r="J202" s="22">
        <f t="shared" si="27"/>
        <v>-0.13214151894443271</v>
      </c>
      <c r="K202" s="8"/>
      <c r="L202" s="8">
        <v>0.44336421549521865</v>
      </c>
      <c r="M202" s="8">
        <v>1.1207798621937954</v>
      </c>
      <c r="N202" s="8">
        <v>0.69435504870261999</v>
      </c>
      <c r="O202" s="8">
        <v>0.6700352176495098</v>
      </c>
      <c r="P202" s="8">
        <f t="shared" si="28"/>
        <v>0.78207203884450704</v>
      </c>
      <c r="Q202" s="8">
        <f t="shared" si="29"/>
        <v>0.68219513317606495</v>
      </c>
      <c r="R202" s="8">
        <f t="shared" si="30"/>
        <v>0.8722919364103493</v>
      </c>
      <c r="S202" s="22">
        <f t="shared" si="31"/>
        <v>-0.19711704162290555</v>
      </c>
      <c r="T202" s="25"/>
      <c r="U202" s="1" t="s">
        <v>575</v>
      </c>
    </row>
    <row r="203" spans="1:21">
      <c r="A203" s="6" t="s">
        <v>576</v>
      </c>
      <c r="B203" s="6" t="s">
        <v>577</v>
      </c>
      <c r="C203" s="7">
        <v>1.038433491403395</v>
      </c>
      <c r="D203" s="7">
        <v>1.0419660867353759</v>
      </c>
      <c r="E203" s="7">
        <v>1.1129182566283056</v>
      </c>
      <c r="F203" s="8">
        <v>0.99002886777361121</v>
      </c>
      <c r="G203" s="8">
        <f t="shared" si="24"/>
        <v>1.0401997890693855</v>
      </c>
      <c r="H203" s="8">
        <f t="shared" si="25"/>
        <v>1.0514735622009583</v>
      </c>
      <c r="I203" s="8">
        <f t="shared" si="26"/>
        <v>1.0108380844238192</v>
      </c>
      <c r="J203" s="22">
        <f t="shared" si="27"/>
        <v>1.5551925523466407E-2</v>
      </c>
      <c r="K203" s="8"/>
      <c r="L203" s="8">
        <v>1.2538436383574578</v>
      </c>
      <c r="M203" s="8">
        <v>0.78311136416494598</v>
      </c>
      <c r="N203" s="8">
        <v>0.56518477815577473</v>
      </c>
      <c r="O203" s="8">
        <v>0.61693808719426557</v>
      </c>
      <c r="P203" s="8">
        <f t="shared" si="28"/>
        <v>1.018477501261202</v>
      </c>
      <c r="Q203" s="8">
        <f t="shared" si="29"/>
        <v>0.59106143267502009</v>
      </c>
      <c r="R203" s="8">
        <f t="shared" si="30"/>
        <v>0.58033823225657555</v>
      </c>
      <c r="S203" s="22">
        <f t="shared" si="31"/>
        <v>-0.7850341191753879</v>
      </c>
      <c r="T203" s="25"/>
      <c r="U203" s="1" t="s">
        <v>578</v>
      </c>
    </row>
    <row r="204" spans="1:21">
      <c r="A204" s="6" t="s">
        <v>579</v>
      </c>
      <c r="B204" s="6" t="s">
        <v>580</v>
      </c>
      <c r="C204" s="7">
        <v>0.91454285923445677</v>
      </c>
      <c r="D204" s="7">
        <v>0.83021470347049464</v>
      </c>
      <c r="E204" s="7">
        <v>0.8672668450743487</v>
      </c>
      <c r="F204" s="8">
        <v>0.81992847813134462</v>
      </c>
      <c r="G204" s="8">
        <f t="shared" si="24"/>
        <v>0.87237878135247571</v>
      </c>
      <c r="H204" s="8">
        <f t="shared" si="25"/>
        <v>0.84359766160284666</v>
      </c>
      <c r="I204" s="8">
        <f t="shared" si="26"/>
        <v>0.96700845966816296</v>
      </c>
      <c r="J204" s="22">
        <f t="shared" si="27"/>
        <v>-4.8399584018833333E-2</v>
      </c>
      <c r="K204" s="8"/>
      <c r="L204" s="8">
        <v>0.88073790259778639</v>
      </c>
      <c r="M204" s="8">
        <v>0.81150788709286237</v>
      </c>
      <c r="N204" s="8">
        <v>0.88447916177659103</v>
      </c>
      <c r="O204" s="8">
        <v>0.9626682749705171</v>
      </c>
      <c r="P204" s="8">
        <f t="shared" si="28"/>
        <v>0.84612289484532432</v>
      </c>
      <c r="Q204" s="8">
        <f t="shared" si="29"/>
        <v>0.92357371837355406</v>
      </c>
      <c r="R204" s="8">
        <f t="shared" si="30"/>
        <v>1.0915361397263552</v>
      </c>
      <c r="S204" s="22">
        <f t="shared" si="31"/>
        <v>0.12635989738399706</v>
      </c>
      <c r="T204" s="25"/>
      <c r="U204" s="1" t="s">
        <v>581</v>
      </c>
    </row>
    <row r="205" spans="1:21">
      <c r="A205" s="6" t="s">
        <v>582</v>
      </c>
      <c r="B205" s="6" t="s">
        <v>583</v>
      </c>
      <c r="C205" s="7">
        <v>1.0012014865252694</v>
      </c>
      <c r="D205" s="7">
        <v>0.99939333652688844</v>
      </c>
      <c r="E205" s="7">
        <v>0.8885944058468257</v>
      </c>
      <c r="F205" s="8">
        <v>0.85089120905179905</v>
      </c>
      <c r="G205" s="8">
        <f t="shared" si="24"/>
        <v>1.000297411526079</v>
      </c>
      <c r="H205" s="8">
        <f t="shared" si="25"/>
        <v>0.86974280744931232</v>
      </c>
      <c r="I205" s="8">
        <f t="shared" si="26"/>
        <v>0.86948421282267518</v>
      </c>
      <c r="J205" s="22">
        <f t="shared" si="27"/>
        <v>-0.20176826205269016</v>
      </c>
      <c r="K205" s="8"/>
      <c r="L205" s="8">
        <v>0.82177677803751026</v>
      </c>
      <c r="M205" s="8">
        <v>0.68379710003881389</v>
      </c>
      <c r="N205" s="8">
        <v>0.67593920691782883</v>
      </c>
      <c r="O205" s="8">
        <v>0.6232369949007357</v>
      </c>
      <c r="P205" s="8">
        <f t="shared" si="28"/>
        <v>0.75278693903816207</v>
      </c>
      <c r="Q205" s="8">
        <f t="shared" si="29"/>
        <v>0.64958810090928232</v>
      </c>
      <c r="R205" s="8">
        <f t="shared" si="30"/>
        <v>0.8629109608879012</v>
      </c>
      <c r="S205" s="22">
        <f t="shared" si="31"/>
        <v>-0.2127163916970331</v>
      </c>
      <c r="T205" s="25"/>
      <c r="U205" s="1" t="s">
        <v>584</v>
      </c>
    </row>
    <row r="206" spans="1:21">
      <c r="A206" s="6" t="s">
        <v>585</v>
      </c>
      <c r="B206" s="6" t="s">
        <v>586</v>
      </c>
      <c r="C206" s="7">
        <v>0.42039022880516569</v>
      </c>
      <c r="D206" s="7">
        <v>0.3564908355043126</v>
      </c>
      <c r="E206" s="7">
        <v>0.8337174183563536</v>
      </c>
      <c r="F206" s="8">
        <v>0.85209857742137995</v>
      </c>
      <c r="G206" s="8">
        <f t="shared" si="24"/>
        <v>0.38844053215473917</v>
      </c>
      <c r="H206" s="8">
        <f t="shared" si="25"/>
        <v>0.84290799788886672</v>
      </c>
      <c r="I206" s="8">
        <f t="shared" si="26"/>
        <v>2.1699795158170723</v>
      </c>
      <c r="J206" s="22">
        <f t="shared" si="27"/>
        <v>1.1176814239745423</v>
      </c>
      <c r="K206" s="8"/>
      <c r="L206" s="8">
        <v>0.71537978462890583</v>
      </c>
      <c r="M206" s="8">
        <v>1.1382518160678372</v>
      </c>
      <c r="N206" s="8">
        <v>0.56617906069345125</v>
      </c>
      <c r="O206" s="8">
        <v>0.58389100098778535</v>
      </c>
      <c r="P206" s="8">
        <f t="shared" si="28"/>
        <v>0.92681580034837152</v>
      </c>
      <c r="Q206" s="8">
        <f t="shared" si="29"/>
        <v>0.57503503084061824</v>
      </c>
      <c r="R206" s="8">
        <f t="shared" si="30"/>
        <v>0.62044154903754778</v>
      </c>
      <c r="S206" s="22">
        <f t="shared" si="31"/>
        <v>-0.68863279248612652</v>
      </c>
      <c r="T206" s="25"/>
      <c r="U206" s="1" t="s">
        <v>587</v>
      </c>
    </row>
    <row r="207" spans="1:21">
      <c r="A207" s="6" t="s">
        <v>588</v>
      </c>
      <c r="B207" s="6" t="s">
        <v>589</v>
      </c>
      <c r="C207" s="7">
        <v>0.11194324797617287</v>
      </c>
      <c r="D207" s="7">
        <v>0.12502618896261919</v>
      </c>
      <c r="E207" s="7">
        <v>0.24435637940078941</v>
      </c>
      <c r="F207" s="8">
        <v>0.25691215470754253</v>
      </c>
      <c r="G207" s="8">
        <f t="shared" si="24"/>
        <v>0.11848471846939604</v>
      </c>
      <c r="H207" s="8">
        <f t="shared" si="25"/>
        <v>0.25063426705416597</v>
      </c>
      <c r="I207" s="8">
        <f t="shared" si="26"/>
        <v>2.1153298947906389</v>
      </c>
      <c r="J207" s="22">
        <f t="shared" si="27"/>
        <v>1.080882675385076</v>
      </c>
      <c r="K207" s="8"/>
      <c r="L207" s="8">
        <v>0.51069254547349097</v>
      </c>
      <c r="M207" s="8">
        <v>0.54659628330160159</v>
      </c>
      <c r="N207" s="8">
        <v>0.57171245916399882</v>
      </c>
      <c r="O207" s="8">
        <v>0.62753976988332438</v>
      </c>
      <c r="P207" s="8">
        <f t="shared" si="28"/>
        <v>0.52864441438754628</v>
      </c>
      <c r="Q207" s="8">
        <f t="shared" si="29"/>
        <v>0.59962611452366166</v>
      </c>
      <c r="R207" s="8">
        <f t="shared" si="30"/>
        <v>1.1342711626270567</v>
      </c>
      <c r="S207" s="22">
        <f t="shared" si="31"/>
        <v>0.18176557697522341</v>
      </c>
      <c r="T207" s="25"/>
      <c r="U207" s="1" t="s">
        <v>590</v>
      </c>
    </row>
    <row r="208" spans="1:21">
      <c r="A208" s="6" t="s">
        <v>591</v>
      </c>
      <c r="B208" s="6" t="s">
        <v>592</v>
      </c>
      <c r="C208" s="7">
        <v>0.89503147117915771</v>
      </c>
      <c r="D208" s="7">
        <v>0.92998553644208615</v>
      </c>
      <c r="E208" s="7">
        <v>0.83785882326283712</v>
      </c>
      <c r="F208" s="8">
        <v>0.87433922645885109</v>
      </c>
      <c r="G208" s="8">
        <f t="shared" si="24"/>
        <v>0.91250850381062198</v>
      </c>
      <c r="H208" s="8">
        <f t="shared" si="25"/>
        <v>0.8560990248608441</v>
      </c>
      <c r="I208" s="8">
        <f t="shared" si="26"/>
        <v>0.93818196902909645</v>
      </c>
      <c r="J208" s="22">
        <f t="shared" si="27"/>
        <v>-9.2060321022427644E-2</v>
      </c>
      <c r="K208" s="8"/>
      <c r="L208" s="8">
        <v>1.2578807335785922</v>
      </c>
      <c r="M208" s="8">
        <v>0.9561020990483533</v>
      </c>
      <c r="N208" s="8">
        <v>0.83593223613264622</v>
      </c>
      <c r="O208" s="8">
        <v>0.78212915972169195</v>
      </c>
      <c r="P208" s="8">
        <f t="shared" si="28"/>
        <v>1.1069914163134729</v>
      </c>
      <c r="Q208" s="8">
        <f t="shared" si="29"/>
        <v>0.80903069792716908</v>
      </c>
      <c r="R208" s="8">
        <f t="shared" si="30"/>
        <v>0.73083737236321211</v>
      </c>
      <c r="S208" s="22">
        <f t="shared" si="31"/>
        <v>-0.45237768486217522</v>
      </c>
      <c r="T208" s="25"/>
      <c r="U208" s="1" t="s">
        <v>593</v>
      </c>
    </row>
    <row r="209" spans="1:21">
      <c r="A209" s="6" t="s">
        <v>594</v>
      </c>
      <c r="B209" s="6" t="s">
        <v>595</v>
      </c>
      <c r="C209" s="7">
        <v>0.30135071572120936</v>
      </c>
      <c r="D209" s="7">
        <v>0.33915369511328658</v>
      </c>
      <c r="E209" s="7">
        <v>0.54338739751811849</v>
      </c>
      <c r="F209" s="8">
        <v>0.5536740632526187</v>
      </c>
      <c r="G209" s="8">
        <f t="shared" si="24"/>
        <v>0.32025220541724797</v>
      </c>
      <c r="H209" s="8">
        <f t="shared" si="25"/>
        <v>0.54853073038536859</v>
      </c>
      <c r="I209" s="8">
        <f t="shared" si="26"/>
        <v>1.7128085961834445</v>
      </c>
      <c r="J209" s="22">
        <f t="shared" si="27"/>
        <v>0.77636394140127807</v>
      </c>
      <c r="K209" s="8"/>
      <c r="L209" s="8">
        <v>1.0418310248088556</v>
      </c>
      <c r="M209" s="8">
        <v>1.2753422836226871</v>
      </c>
      <c r="N209" s="8">
        <v>1.291789164819555</v>
      </c>
      <c r="O209" s="8">
        <v>1.4992287511498268</v>
      </c>
      <c r="P209" s="8">
        <f t="shared" si="28"/>
        <v>1.1585866542157714</v>
      </c>
      <c r="Q209" s="8">
        <f t="shared" si="29"/>
        <v>1.3955089579846909</v>
      </c>
      <c r="R209" s="8">
        <f t="shared" si="30"/>
        <v>1.2044925193181069</v>
      </c>
      <c r="S209" s="22">
        <f t="shared" si="31"/>
        <v>0.26842543352973908</v>
      </c>
      <c r="T209" s="25"/>
      <c r="U209" s="1" t="s">
        <v>596</v>
      </c>
    </row>
    <row r="210" spans="1:21">
      <c r="A210" s="6" t="s">
        <v>597</v>
      </c>
      <c r="B210" s="6" t="s">
        <v>598</v>
      </c>
      <c r="C210" s="7">
        <v>0.94567421435419585</v>
      </c>
      <c r="D210" s="7">
        <v>0.77976323000913761</v>
      </c>
      <c r="E210" s="7">
        <v>0.88251719766972203</v>
      </c>
      <c r="F210" s="8">
        <v>0.83472698771041542</v>
      </c>
      <c r="G210" s="8">
        <f t="shared" si="24"/>
        <v>0.86271872218166679</v>
      </c>
      <c r="H210" s="8">
        <f t="shared" si="25"/>
        <v>0.85862209269006873</v>
      </c>
      <c r="I210" s="8">
        <f t="shared" si="26"/>
        <v>0.99525148882681203</v>
      </c>
      <c r="J210" s="22">
        <f t="shared" si="27"/>
        <v>-6.8669703979649596E-3</v>
      </c>
      <c r="K210" s="8"/>
      <c r="L210" s="8">
        <v>1.3700077976236453</v>
      </c>
      <c r="M210" s="8">
        <v>1.3054308273468265</v>
      </c>
      <c r="N210" s="8">
        <v>0.9734026043853129</v>
      </c>
      <c r="O210" s="8">
        <v>0.96772514453768321</v>
      </c>
      <c r="P210" s="8">
        <f t="shared" si="28"/>
        <v>1.3377193124852358</v>
      </c>
      <c r="Q210" s="8">
        <f t="shared" si="29"/>
        <v>0.97056387446149806</v>
      </c>
      <c r="R210" s="8">
        <f t="shared" si="30"/>
        <v>0.72553626564482299</v>
      </c>
      <c r="S210" s="22">
        <f t="shared" si="31"/>
        <v>-0.46288036624894013</v>
      </c>
      <c r="T210" s="25"/>
      <c r="U210" s="1" t="s">
        <v>599</v>
      </c>
    </row>
    <row r="211" spans="1:21">
      <c r="A211" s="6" t="s">
        <v>600</v>
      </c>
      <c r="B211" s="6" t="s">
        <v>601</v>
      </c>
      <c r="C211" s="7">
        <v>1.0204322313277183</v>
      </c>
      <c r="D211" s="7">
        <v>1.0858486664570808</v>
      </c>
      <c r="E211" s="7">
        <v>0.93687482330710092</v>
      </c>
      <c r="F211" s="8">
        <v>0.91990253771746144</v>
      </c>
      <c r="G211" s="8">
        <f t="shared" si="24"/>
        <v>1.0531404488923997</v>
      </c>
      <c r="H211" s="8">
        <f t="shared" si="25"/>
        <v>0.92838868051228118</v>
      </c>
      <c r="I211" s="8">
        <f t="shared" si="26"/>
        <v>0.88154308524440272</v>
      </c>
      <c r="J211" s="22">
        <f t="shared" si="27"/>
        <v>-0.18189701218318807</v>
      </c>
      <c r="K211" s="8"/>
      <c r="L211" s="8">
        <v>1.1318191795767205</v>
      </c>
      <c r="M211" s="8">
        <v>0.80746175040624213</v>
      </c>
      <c r="N211" s="8">
        <v>0.61178636839991773</v>
      </c>
      <c r="O211" s="8">
        <v>0.59014555018928028</v>
      </c>
      <c r="P211" s="8">
        <f t="shared" si="28"/>
        <v>0.96964046499148138</v>
      </c>
      <c r="Q211" s="8">
        <f t="shared" si="29"/>
        <v>0.60096595929459906</v>
      </c>
      <c r="R211" s="8">
        <f t="shared" si="30"/>
        <v>0.61978226053084406</v>
      </c>
      <c r="S211" s="22">
        <f t="shared" si="31"/>
        <v>-0.69016663233243891</v>
      </c>
      <c r="T211" s="25"/>
      <c r="U211" s="1" t="s">
        <v>602</v>
      </c>
    </row>
    <row r="212" spans="1:21">
      <c r="A212" s="6" t="s">
        <v>603</v>
      </c>
      <c r="B212" s="6" t="s">
        <v>604</v>
      </c>
      <c r="C212" s="7">
        <v>0.85021541649186638</v>
      </c>
      <c r="D212" s="7">
        <v>1.0092466771363668</v>
      </c>
      <c r="E212" s="7">
        <v>0.99111778463925138</v>
      </c>
      <c r="F212" s="8">
        <v>0.77361303575725759</v>
      </c>
      <c r="G212" s="8">
        <f t="shared" si="24"/>
        <v>0.92973104681411667</v>
      </c>
      <c r="H212" s="8">
        <f t="shared" si="25"/>
        <v>0.88236541019825454</v>
      </c>
      <c r="I212" s="8">
        <f t="shared" si="26"/>
        <v>0.94905447464815917</v>
      </c>
      <c r="J212" s="22">
        <f t="shared" si="27"/>
        <v>-7.5437196208719304E-2</v>
      </c>
      <c r="K212" s="8"/>
      <c r="L212" s="8">
        <v>1.2890054354447567</v>
      </c>
      <c r="M212" s="8">
        <v>0.81191250076152433</v>
      </c>
      <c r="N212" s="8">
        <v>1.0027987837600969</v>
      </c>
      <c r="O212" s="8">
        <v>0.92092692178890911</v>
      </c>
      <c r="P212" s="8">
        <f t="shared" si="28"/>
        <v>1.0504589681031404</v>
      </c>
      <c r="Q212" s="8">
        <f t="shared" si="29"/>
        <v>0.96186285277450301</v>
      </c>
      <c r="R212" s="8">
        <f t="shared" si="30"/>
        <v>0.91565961354147962</v>
      </c>
      <c r="S212" s="22">
        <f t="shared" si="31"/>
        <v>-0.12711670302808592</v>
      </c>
      <c r="T212" s="25"/>
      <c r="U212" s="1" t="s">
        <v>605</v>
      </c>
    </row>
    <row r="213" spans="1:21">
      <c r="A213" s="6" t="s">
        <v>606</v>
      </c>
      <c r="B213" s="6" t="s">
        <v>607</v>
      </c>
      <c r="C213" s="7">
        <v>0.95461470655213765</v>
      </c>
      <c r="D213" s="7">
        <v>0.96469272751341495</v>
      </c>
      <c r="E213" s="7">
        <v>1.0292402936481191</v>
      </c>
      <c r="F213" s="8">
        <v>1.0272791509137957</v>
      </c>
      <c r="G213" s="8">
        <f t="shared" si="24"/>
        <v>0.95965371703277635</v>
      </c>
      <c r="H213" s="8">
        <f t="shared" si="25"/>
        <v>1.0282597222809575</v>
      </c>
      <c r="I213" s="8">
        <f t="shared" si="26"/>
        <v>1.0714903761956023</v>
      </c>
      <c r="J213" s="22">
        <f t="shared" si="27"/>
        <v>9.961889221956477E-2</v>
      </c>
      <c r="K213" s="8"/>
      <c r="L213" s="8">
        <v>0.85101316117120873</v>
      </c>
      <c r="M213" s="8">
        <v>0.86870554661735699</v>
      </c>
      <c r="N213" s="8">
        <v>0.90172780232150107</v>
      </c>
      <c r="O213" s="8">
        <v>0.90766372880134194</v>
      </c>
      <c r="P213" s="8">
        <f t="shared" si="28"/>
        <v>0.85985935389428292</v>
      </c>
      <c r="Q213" s="8">
        <f t="shared" si="29"/>
        <v>0.90469576556142151</v>
      </c>
      <c r="R213" s="8">
        <f t="shared" si="30"/>
        <v>1.0521438901188613</v>
      </c>
      <c r="S213" s="22">
        <f t="shared" si="31"/>
        <v>7.3332019616336369E-2</v>
      </c>
      <c r="T213" s="25"/>
      <c r="U213" s="1" t="s">
        <v>608</v>
      </c>
    </row>
    <row r="214" spans="1:21">
      <c r="A214" s="6" t="s">
        <v>609</v>
      </c>
      <c r="B214" s="6" t="s">
        <v>610</v>
      </c>
      <c r="C214" s="7">
        <v>1.010743357122176</v>
      </c>
      <c r="D214" s="7">
        <v>1.0236745479553224</v>
      </c>
      <c r="E214" s="7">
        <v>0.92446409850591249</v>
      </c>
      <c r="F214" s="8">
        <v>1.0594228596383757</v>
      </c>
      <c r="G214" s="8">
        <f t="shared" si="24"/>
        <v>1.0172089525387493</v>
      </c>
      <c r="H214" s="8">
        <f t="shared" si="25"/>
        <v>0.99194347907214409</v>
      </c>
      <c r="I214" s="8">
        <f t="shared" si="26"/>
        <v>0.97516196313102865</v>
      </c>
      <c r="J214" s="22">
        <f t="shared" si="27"/>
        <v>-3.6286241152835026E-2</v>
      </c>
      <c r="K214" s="8"/>
      <c r="L214" s="8">
        <v>1.3322414229743242</v>
      </c>
      <c r="M214" s="8">
        <v>0.75901845934916212</v>
      </c>
      <c r="N214" s="8">
        <v>0.81937527039655456</v>
      </c>
      <c r="O214" s="8">
        <v>0.84671514296549766</v>
      </c>
      <c r="P214" s="8">
        <f t="shared" si="28"/>
        <v>1.0456299411617431</v>
      </c>
      <c r="Q214" s="8">
        <f t="shared" si="29"/>
        <v>0.83304520668102611</v>
      </c>
      <c r="R214" s="8">
        <f t="shared" si="30"/>
        <v>0.79669218897411687</v>
      </c>
      <c r="S214" s="22">
        <f t="shared" si="31"/>
        <v>-0.32790566454450598</v>
      </c>
      <c r="T214" s="25"/>
      <c r="U214" s="1" t="s">
        <v>611</v>
      </c>
    </row>
    <row r="215" spans="1:21">
      <c r="A215" s="6" t="s">
        <v>612</v>
      </c>
      <c r="B215" s="6" t="s">
        <v>613</v>
      </c>
      <c r="C215" s="7">
        <v>0.95493544169825217</v>
      </c>
      <c r="D215" s="7">
        <v>0.92608237613385591</v>
      </c>
      <c r="E215" s="7">
        <v>0.88634833445617578</v>
      </c>
      <c r="F215" s="8">
        <v>0.93553894774973878</v>
      </c>
      <c r="G215" s="8">
        <f t="shared" si="24"/>
        <v>0.9405089089160541</v>
      </c>
      <c r="H215" s="8">
        <f t="shared" si="25"/>
        <v>0.91094364110295722</v>
      </c>
      <c r="I215" s="8">
        <f t="shared" si="26"/>
        <v>0.96856460631811436</v>
      </c>
      <c r="J215" s="22">
        <f t="shared" si="27"/>
        <v>-4.6079810533715328E-2</v>
      </c>
      <c r="K215" s="8"/>
      <c r="L215" s="8">
        <v>1.4014906289045879</v>
      </c>
      <c r="M215" s="8">
        <v>0.67460133484194973</v>
      </c>
      <c r="N215" s="8">
        <v>1.5586891816723738</v>
      </c>
      <c r="O215" s="8">
        <v>0.99677996529640078</v>
      </c>
      <c r="P215" s="8">
        <f t="shared" si="28"/>
        <v>1.0380459818732688</v>
      </c>
      <c r="Q215" s="8">
        <f t="shared" si="29"/>
        <v>1.2777345734843872</v>
      </c>
      <c r="R215" s="8">
        <f t="shared" si="30"/>
        <v>1.2309036360591405</v>
      </c>
      <c r="S215" s="22">
        <f t="shared" si="31"/>
        <v>0.29971782175629036</v>
      </c>
      <c r="T215" s="25"/>
      <c r="U215" s="1" t="s">
        <v>614</v>
      </c>
    </row>
    <row r="216" spans="1:21">
      <c r="A216" s="6" t="s">
        <v>615</v>
      </c>
      <c r="B216" s="6" t="s">
        <v>616</v>
      </c>
      <c r="C216" s="7">
        <v>0.16983594184984099</v>
      </c>
      <c r="D216" s="7">
        <v>0.15505353689878495</v>
      </c>
      <c r="E216" s="7">
        <v>0.12816096844966324</v>
      </c>
      <c r="F216" s="8">
        <v>0.12614030523506692</v>
      </c>
      <c r="G216" s="8">
        <f t="shared" si="24"/>
        <v>0.16244473937431297</v>
      </c>
      <c r="H216" s="8">
        <f t="shared" si="25"/>
        <v>0.12715063684236508</v>
      </c>
      <c r="I216" s="8">
        <f t="shared" si="26"/>
        <v>0.78273163743011998</v>
      </c>
      <c r="J216" s="22">
        <f t="shared" si="27"/>
        <v>-0.35341033617272083</v>
      </c>
      <c r="K216" s="8"/>
      <c r="L216" s="8">
        <v>0.45951259637975589</v>
      </c>
      <c r="M216" s="8">
        <v>0.52463679601149016</v>
      </c>
      <c r="N216" s="8">
        <v>0.53414587111004685</v>
      </c>
      <c r="O216" s="8">
        <v>0.58154000022410279</v>
      </c>
      <c r="P216" s="8">
        <f t="shared" si="28"/>
        <v>0.49207469619562305</v>
      </c>
      <c r="Q216" s="8">
        <f t="shared" si="29"/>
        <v>0.55784293566707488</v>
      </c>
      <c r="R216" s="8">
        <f t="shared" si="30"/>
        <v>1.1336549917724399</v>
      </c>
      <c r="S216" s="22">
        <f t="shared" si="31"/>
        <v>0.1809816478720257</v>
      </c>
      <c r="T216" s="25"/>
      <c r="U216" s="1" t="s">
        <v>617</v>
      </c>
    </row>
    <row r="217" spans="1:21">
      <c r="A217" s="6" t="s">
        <v>618</v>
      </c>
      <c r="B217" s="6" t="s">
        <v>619</v>
      </c>
      <c r="C217" s="7">
        <v>0.98343409582696806</v>
      </c>
      <c r="D217" s="7">
        <v>0.91724267243410351</v>
      </c>
      <c r="E217" s="7">
        <v>0.91178357533948096</v>
      </c>
      <c r="F217" s="8">
        <v>0.93119110209097467</v>
      </c>
      <c r="G217" s="8">
        <f t="shared" si="24"/>
        <v>0.95033838413053573</v>
      </c>
      <c r="H217" s="8">
        <f t="shared" si="25"/>
        <v>0.92148733871522781</v>
      </c>
      <c r="I217" s="8">
        <f t="shared" si="26"/>
        <v>0.96964129209439043</v>
      </c>
      <c r="J217" s="22">
        <f t="shared" si="27"/>
        <v>-4.4476957719078128E-2</v>
      </c>
      <c r="K217" s="8"/>
      <c r="L217" s="8">
        <v>1.0614955854021229</v>
      </c>
      <c r="M217" s="8">
        <v>1.0762723586409733</v>
      </c>
      <c r="N217" s="8">
        <v>0.98248083625105498</v>
      </c>
      <c r="O217" s="8">
        <v>0.94115440005757356</v>
      </c>
      <c r="P217" s="8">
        <f t="shared" si="28"/>
        <v>1.0688839720215482</v>
      </c>
      <c r="Q217" s="8">
        <f t="shared" si="29"/>
        <v>0.96181761815431432</v>
      </c>
      <c r="R217" s="8">
        <f t="shared" si="30"/>
        <v>0.89983351170965498</v>
      </c>
      <c r="S217" s="22">
        <f t="shared" si="31"/>
        <v>-0.15226999794479315</v>
      </c>
      <c r="T217" s="25"/>
      <c r="U217" s="1" t="s">
        <v>620</v>
      </c>
    </row>
    <row r="218" spans="1:21">
      <c r="A218" s="6" t="s">
        <v>621</v>
      </c>
      <c r="B218" s="6" t="s">
        <v>622</v>
      </c>
      <c r="C218" s="7">
        <v>1.1197398509434218</v>
      </c>
      <c r="D218" s="7">
        <v>1.1421384252361446</v>
      </c>
      <c r="E218" s="7">
        <v>1.0039601868248289</v>
      </c>
      <c r="F218" s="8">
        <v>1.1080012930002565</v>
      </c>
      <c r="G218" s="8">
        <f t="shared" si="24"/>
        <v>1.1309391380897833</v>
      </c>
      <c r="H218" s="8">
        <f t="shared" si="25"/>
        <v>1.0559807399125427</v>
      </c>
      <c r="I218" s="8">
        <f t="shared" si="26"/>
        <v>0.93372021919424475</v>
      </c>
      <c r="J218" s="22">
        <f t="shared" si="27"/>
        <v>-9.8937770700018413E-2</v>
      </c>
      <c r="K218" s="8"/>
      <c r="L218" s="8">
        <v>1.4981855708946599</v>
      </c>
      <c r="M218" s="8">
        <v>0.85027723316284132</v>
      </c>
      <c r="N218" s="8">
        <v>1.1198215154770681</v>
      </c>
      <c r="O218" s="8">
        <v>0.97743965712723924</v>
      </c>
      <c r="P218" s="8">
        <f t="shared" si="28"/>
        <v>1.1742314020287505</v>
      </c>
      <c r="Q218" s="8">
        <f t="shared" si="29"/>
        <v>1.0486305863021537</v>
      </c>
      <c r="R218" s="8">
        <f t="shared" si="30"/>
        <v>0.89303572063428638</v>
      </c>
      <c r="S218" s="22">
        <f t="shared" si="31"/>
        <v>-0.16321021186866719</v>
      </c>
      <c r="T218" s="25"/>
      <c r="U218" s="1" t="s">
        <v>623</v>
      </c>
    </row>
    <row r="219" spans="1:21">
      <c r="A219" s="6" t="s">
        <v>624</v>
      </c>
      <c r="B219" s="6" t="s">
        <v>80</v>
      </c>
      <c r="C219" s="7">
        <v>1.1382021677916381</v>
      </c>
      <c r="D219" s="7">
        <v>1.0693606115293965</v>
      </c>
      <c r="E219" s="7">
        <v>0.97153716828172432</v>
      </c>
      <c r="F219" s="8">
        <v>1.1694847128697889</v>
      </c>
      <c r="G219" s="8">
        <f t="shared" si="24"/>
        <v>1.1037813896605173</v>
      </c>
      <c r="H219" s="8">
        <f t="shared" si="25"/>
        <v>1.0705109405757567</v>
      </c>
      <c r="I219" s="8">
        <f t="shared" si="26"/>
        <v>0.9698577549898777</v>
      </c>
      <c r="J219" s="22">
        <f t="shared" si="27"/>
        <v>-4.4154926163948387E-2</v>
      </c>
      <c r="K219" s="8"/>
      <c r="L219" s="8">
        <v>1.3590685718631523</v>
      </c>
      <c r="M219" s="8">
        <v>1.1409737625661089</v>
      </c>
      <c r="N219" s="8">
        <v>1.6489095145476302</v>
      </c>
      <c r="O219" s="8">
        <v>1.3090194818164207</v>
      </c>
      <c r="P219" s="8">
        <f t="shared" si="28"/>
        <v>1.2500211672146306</v>
      </c>
      <c r="Q219" s="8">
        <f t="shared" si="29"/>
        <v>1.4789644981820254</v>
      </c>
      <c r="R219" s="8">
        <f t="shared" si="30"/>
        <v>1.183151563327155</v>
      </c>
      <c r="S219" s="22">
        <f t="shared" si="31"/>
        <v>0.24263489671622113</v>
      </c>
      <c r="T219" s="25"/>
      <c r="U219" s="1">
        <v>0</v>
      </c>
    </row>
    <row r="220" spans="1:21">
      <c r="A220" s="6" t="s">
        <v>625</v>
      </c>
      <c r="B220" s="6" t="s">
        <v>80</v>
      </c>
      <c r="C220" s="7">
        <v>2.0401829004699432</v>
      </c>
      <c r="D220" s="7">
        <v>1.9723531287066394</v>
      </c>
      <c r="E220" s="7">
        <v>1.8138139397754192</v>
      </c>
      <c r="F220" s="8">
        <v>1.8213910583884734</v>
      </c>
      <c r="G220" s="8">
        <f t="shared" si="24"/>
        <v>2.0062680145882914</v>
      </c>
      <c r="H220" s="8">
        <f t="shared" si="25"/>
        <v>1.8176024990819464</v>
      </c>
      <c r="I220" s="8">
        <f t="shared" si="26"/>
        <v>0.90596195815589409</v>
      </c>
      <c r="J220" s="22">
        <f t="shared" si="27"/>
        <v>-0.14247762290735405</v>
      </c>
      <c r="K220" s="8"/>
      <c r="L220" s="8">
        <v>1.6037035193760816</v>
      </c>
      <c r="M220" s="8">
        <v>1.6906230399130695</v>
      </c>
      <c r="N220" s="8">
        <v>1.6821963647220179</v>
      </c>
      <c r="O220" s="8">
        <v>1.5645688289782098</v>
      </c>
      <c r="P220" s="8">
        <f t="shared" si="28"/>
        <v>1.6471632796445754</v>
      </c>
      <c r="Q220" s="8">
        <f t="shared" si="29"/>
        <v>1.6233825968501139</v>
      </c>
      <c r="R220" s="8">
        <f t="shared" si="30"/>
        <v>0.98556264391736992</v>
      </c>
      <c r="S220" s="22">
        <f t="shared" si="31"/>
        <v>-2.0980520730069781E-2</v>
      </c>
      <c r="T220" s="25"/>
      <c r="U220" s="1">
        <v>0</v>
      </c>
    </row>
    <row r="221" spans="1:21">
      <c r="A221" s="6" t="s">
        <v>626</v>
      </c>
      <c r="B221" s="13" t="s">
        <v>627</v>
      </c>
      <c r="C221" s="14">
        <v>0.10952437041589266</v>
      </c>
      <c r="D221" s="14">
        <v>0.1021601199730883</v>
      </c>
      <c r="E221" s="14">
        <v>0.21643224859811558</v>
      </c>
      <c r="F221" s="8">
        <v>0.22730853790803707</v>
      </c>
      <c r="G221" s="8">
        <f t="shared" si="24"/>
        <v>0.10584224519449048</v>
      </c>
      <c r="H221" s="8">
        <f t="shared" si="25"/>
        <v>0.22187039325307634</v>
      </c>
      <c r="I221" s="8">
        <f t="shared" si="26"/>
        <v>2.0962366477145138</v>
      </c>
      <c r="J221" s="22">
        <f t="shared" si="27"/>
        <v>1.0678015943621175</v>
      </c>
      <c r="K221" s="8"/>
      <c r="L221" s="8">
        <v>0.99778110679115628</v>
      </c>
      <c r="M221" s="8">
        <v>1.0727779678661649</v>
      </c>
      <c r="N221" s="8">
        <v>1.1112188100423888</v>
      </c>
      <c r="O221" s="8">
        <v>0.74194035421421389</v>
      </c>
      <c r="P221" s="8">
        <f t="shared" si="28"/>
        <v>1.0352795373286605</v>
      </c>
      <c r="Q221" s="8">
        <f t="shared" si="29"/>
        <v>0.92657958212830138</v>
      </c>
      <c r="R221" s="8">
        <f t="shared" si="30"/>
        <v>0.89500424640784615</v>
      </c>
      <c r="S221" s="22">
        <f t="shared" si="31"/>
        <v>-0.16003356753057113</v>
      </c>
      <c r="T221" s="25"/>
      <c r="U221" s="1" t="s">
        <v>628</v>
      </c>
    </row>
    <row r="222" spans="1:21">
      <c r="A222" s="6" t="s">
        <v>629</v>
      </c>
      <c r="B222" s="6" t="s">
        <v>630</v>
      </c>
      <c r="C222" s="7">
        <v>1.0851873209317946</v>
      </c>
      <c r="D222" s="7">
        <v>0.99961712649397072</v>
      </c>
      <c r="E222" s="7">
        <v>1.0701417258189923</v>
      </c>
      <c r="F222" s="8">
        <v>1.0371756129595409</v>
      </c>
      <c r="G222" s="8">
        <f t="shared" si="24"/>
        <v>1.0424022237128827</v>
      </c>
      <c r="H222" s="8">
        <f t="shared" si="25"/>
        <v>1.0536586693892667</v>
      </c>
      <c r="I222" s="8">
        <f t="shared" si="26"/>
        <v>1.0107985626088654</v>
      </c>
      <c r="J222" s="22">
        <f t="shared" si="27"/>
        <v>1.5495517833655529E-2</v>
      </c>
      <c r="K222" s="8"/>
      <c r="L222" s="8">
        <v>1.123744989134452</v>
      </c>
      <c r="M222" s="8">
        <v>0.91725918685679941</v>
      </c>
      <c r="N222" s="8">
        <v>0.77376796269008818</v>
      </c>
      <c r="O222" s="8">
        <v>0.78328248085104557</v>
      </c>
      <c r="P222" s="8">
        <f t="shared" si="28"/>
        <v>1.0205020879956257</v>
      </c>
      <c r="Q222" s="8">
        <f t="shared" si="29"/>
        <v>0.77852522177056693</v>
      </c>
      <c r="R222" s="8">
        <f t="shared" si="30"/>
        <v>0.76288449668895142</v>
      </c>
      <c r="S222" s="22">
        <f t="shared" si="31"/>
        <v>-0.39046345023653761</v>
      </c>
      <c r="T222" s="25"/>
      <c r="U222" s="1" t="s">
        <v>631</v>
      </c>
    </row>
    <row r="223" spans="1:21">
      <c r="A223" s="6" t="s">
        <v>632</v>
      </c>
      <c r="B223" s="6" t="s">
        <v>633</v>
      </c>
      <c r="C223" s="7">
        <v>0.94814654777216179</v>
      </c>
      <c r="D223" s="7">
        <v>0.77566260796524655</v>
      </c>
      <c r="E223" s="7">
        <v>0.79843453714167079</v>
      </c>
      <c r="F223" s="8">
        <v>0.42979674900534542</v>
      </c>
      <c r="G223" s="8">
        <f t="shared" si="24"/>
        <v>0.86190457786870422</v>
      </c>
      <c r="H223" s="8">
        <f t="shared" si="25"/>
        <v>0.61411564307350808</v>
      </c>
      <c r="I223" s="8">
        <f t="shared" si="26"/>
        <v>0.71251001426640248</v>
      </c>
      <c r="J223" s="22">
        <f t="shared" si="27"/>
        <v>-0.48901780362655456</v>
      </c>
      <c r="K223" s="8"/>
      <c r="L223" s="8">
        <v>0.92976907520285312</v>
      </c>
      <c r="M223" s="8">
        <v>1.1197499364917467</v>
      </c>
      <c r="N223" s="8">
        <v>1.1727778680272307</v>
      </c>
      <c r="O223" s="8">
        <v>1.0820813703635976</v>
      </c>
      <c r="P223" s="8">
        <f t="shared" si="28"/>
        <v>1.0247595058473</v>
      </c>
      <c r="Q223" s="8">
        <f t="shared" si="29"/>
        <v>1.1274296191954143</v>
      </c>
      <c r="R223" s="8">
        <f t="shared" si="30"/>
        <v>1.1001894715416412</v>
      </c>
      <c r="S223" s="22">
        <f t="shared" si="31"/>
        <v>0.13775200203576132</v>
      </c>
      <c r="T223" s="25"/>
      <c r="U223" s="1" t="s">
        <v>634</v>
      </c>
    </row>
    <row r="224" spans="1:21">
      <c r="A224" s="6" t="s">
        <v>635</v>
      </c>
      <c r="B224" s="6" t="s">
        <v>636</v>
      </c>
      <c r="C224" s="7">
        <v>1.000098959460501</v>
      </c>
      <c r="D224" s="7">
        <v>1.2093083256501236</v>
      </c>
      <c r="E224" s="7">
        <v>1.0418398773049777</v>
      </c>
      <c r="F224" s="8">
        <v>0.9320158072614535</v>
      </c>
      <c r="G224" s="8">
        <f t="shared" si="24"/>
        <v>1.1047036425553123</v>
      </c>
      <c r="H224" s="8">
        <f t="shared" si="25"/>
        <v>0.98692784228321562</v>
      </c>
      <c r="I224" s="8">
        <f t="shared" si="26"/>
        <v>0.89338697209355888</v>
      </c>
      <c r="J224" s="22">
        <f t="shared" si="27"/>
        <v>-0.16264287834005639</v>
      </c>
      <c r="K224" s="8"/>
      <c r="L224" s="8">
        <v>1.0526725789107729</v>
      </c>
      <c r="M224" s="8">
        <v>1.0783322100450707</v>
      </c>
      <c r="N224" s="8">
        <v>1.3753521276599339</v>
      </c>
      <c r="O224" s="8">
        <v>1.259249239234312</v>
      </c>
      <c r="P224" s="8">
        <f t="shared" si="28"/>
        <v>1.0655023944779218</v>
      </c>
      <c r="Q224" s="8">
        <f t="shared" si="29"/>
        <v>1.3173006834471228</v>
      </c>
      <c r="R224" s="8">
        <f t="shared" si="30"/>
        <v>1.2363188391449631</v>
      </c>
      <c r="S224" s="22">
        <f t="shared" si="31"/>
        <v>0.30605085354500944</v>
      </c>
      <c r="T224" s="25"/>
      <c r="U224" s="1" t="s">
        <v>637</v>
      </c>
    </row>
    <row r="225" spans="1:21" ht="14.5">
      <c r="A225" s="6" t="s">
        <v>638</v>
      </c>
      <c r="B225" s="6" t="s">
        <v>639</v>
      </c>
      <c r="C225" s="7">
        <v>1.0595686011358987</v>
      </c>
      <c r="D225" s="7">
        <v>1.059737642944856</v>
      </c>
      <c r="E225" s="7">
        <v>0.95279967181558223</v>
      </c>
      <c r="F225" s="8">
        <v>0.92853885026271499</v>
      </c>
      <c r="G225" s="8">
        <f t="shared" si="24"/>
        <v>1.0596531220403773</v>
      </c>
      <c r="H225" s="8">
        <f t="shared" si="25"/>
        <v>0.94066926103914861</v>
      </c>
      <c r="I225" s="8">
        <f t="shared" si="26"/>
        <v>0.88771432978735199</v>
      </c>
      <c r="J225" s="22">
        <f t="shared" si="27"/>
        <v>-0.17183260897120931</v>
      </c>
      <c r="K225" s="8"/>
      <c r="L225" s="8">
        <v>0.51472964069462523</v>
      </c>
      <c r="M225" s="8">
        <v>0.4061585572150932</v>
      </c>
      <c r="N225" s="8">
        <v>0.53440524916335375</v>
      </c>
      <c r="O225" s="8">
        <v>0.46620788728873536</v>
      </c>
      <c r="P225" s="8">
        <f t="shared" si="28"/>
        <v>0.46044409895485922</v>
      </c>
      <c r="Q225" s="8">
        <f t="shared" si="29"/>
        <v>0.50030656822604458</v>
      </c>
      <c r="R225" s="8">
        <f t="shared" si="30"/>
        <v>1.0865739605777711</v>
      </c>
      <c r="S225" s="22">
        <f t="shared" si="31"/>
        <v>0.11978637877800027</v>
      </c>
      <c r="T225" s="25"/>
      <c r="U225" s="1" t="s">
        <v>640</v>
      </c>
    </row>
    <row r="226" spans="1:21">
      <c r="A226" s="6" t="s">
        <v>641</v>
      </c>
      <c r="B226" s="6" t="s">
        <v>642</v>
      </c>
      <c r="C226" s="7">
        <v>0.90033028307225771</v>
      </c>
      <c r="D226" s="7">
        <v>0.84304971628845238</v>
      </c>
      <c r="E226" s="7">
        <v>0.7573240112377343</v>
      </c>
      <c r="F226" s="8">
        <v>0.89043747138659646</v>
      </c>
      <c r="G226" s="8">
        <f t="shared" si="24"/>
        <v>0.8716899996803551</v>
      </c>
      <c r="H226" s="8">
        <f t="shared" si="25"/>
        <v>0.82388074131216538</v>
      </c>
      <c r="I226" s="8">
        <f t="shared" si="26"/>
        <v>0.94515337059537086</v>
      </c>
      <c r="J226" s="22">
        <f t="shared" si="27"/>
        <v>-8.1379639581349986E-2</v>
      </c>
      <c r="K226" s="8"/>
      <c r="L226" s="8">
        <v>1.2928471873487393</v>
      </c>
      <c r="M226" s="8">
        <v>1.1289457016886109</v>
      </c>
      <c r="N226" s="8">
        <v>1.0506108049196721</v>
      </c>
      <c r="O226" s="8">
        <v>0.98236345117947987</v>
      </c>
      <c r="P226" s="8">
        <f t="shared" si="28"/>
        <v>1.2108964445186752</v>
      </c>
      <c r="Q226" s="8">
        <f t="shared" si="29"/>
        <v>1.016487128049576</v>
      </c>
      <c r="R226" s="8">
        <f t="shared" si="30"/>
        <v>0.83945008894102757</v>
      </c>
      <c r="S226" s="22">
        <f t="shared" si="31"/>
        <v>-0.25248354527938766</v>
      </c>
      <c r="T226" s="25"/>
      <c r="U226" s="1" t="s">
        <v>643</v>
      </c>
    </row>
    <row r="227" spans="1:21">
      <c r="A227" s="6" t="s">
        <v>644</v>
      </c>
      <c r="B227" s="6" t="s">
        <v>645</v>
      </c>
      <c r="C227" s="7">
        <v>1.1707567851222602</v>
      </c>
      <c r="D227" s="7">
        <v>1.1811173718556041</v>
      </c>
      <c r="E227" s="7">
        <v>1.1822766713732078</v>
      </c>
      <c r="F227" s="8">
        <v>1.0931170140834559</v>
      </c>
      <c r="G227" s="8">
        <f t="shared" si="24"/>
        <v>1.175937078488932</v>
      </c>
      <c r="H227" s="8">
        <f t="shared" si="25"/>
        <v>1.1376968427283318</v>
      </c>
      <c r="I227" s="8">
        <f t="shared" si="26"/>
        <v>0.96748105280451013</v>
      </c>
      <c r="J227" s="22">
        <f t="shared" si="27"/>
        <v>-4.769468716275415E-2</v>
      </c>
      <c r="K227" s="8"/>
      <c r="L227" s="8">
        <v>1.1043083290778617</v>
      </c>
      <c r="M227" s="8">
        <v>1.2254644531948964</v>
      </c>
      <c r="N227" s="8">
        <v>1.2387895825938413</v>
      </c>
      <c r="O227" s="8">
        <v>1.3739159745950524</v>
      </c>
      <c r="P227" s="8">
        <f t="shared" si="28"/>
        <v>1.1648863911363789</v>
      </c>
      <c r="Q227" s="8">
        <f t="shared" si="29"/>
        <v>1.3063527785944469</v>
      </c>
      <c r="R227" s="8">
        <f t="shared" si="30"/>
        <v>1.121442218343768</v>
      </c>
      <c r="S227" s="22">
        <f t="shared" si="31"/>
        <v>0.16535528831858137</v>
      </c>
      <c r="T227" s="25"/>
      <c r="U227" s="1" t="s">
        <v>646</v>
      </c>
    </row>
    <row r="228" spans="1:21">
      <c r="A228" s="6" t="s">
        <v>647</v>
      </c>
      <c r="B228" s="6" t="s">
        <v>648</v>
      </c>
      <c r="C228" s="7">
        <v>0.94654287204158927</v>
      </c>
      <c r="D228" s="7">
        <v>0.81978872382759971</v>
      </c>
      <c r="E228" s="7">
        <v>0.84752434969767565</v>
      </c>
      <c r="F228" s="8">
        <v>0.82519999358104479</v>
      </c>
      <c r="G228" s="8">
        <f t="shared" si="24"/>
        <v>0.88316579793459449</v>
      </c>
      <c r="H228" s="8">
        <f t="shared" si="25"/>
        <v>0.83636217163936022</v>
      </c>
      <c r="I228" s="8">
        <f t="shared" si="26"/>
        <v>0.94700471145430332</v>
      </c>
      <c r="J228" s="22">
        <f t="shared" si="27"/>
        <v>-7.855649160674287E-2</v>
      </c>
      <c r="K228" s="8"/>
      <c r="L228" s="8">
        <v>1.3306135619980604</v>
      </c>
      <c r="M228" s="8">
        <v>1.2925199730104293</v>
      </c>
      <c r="N228" s="8">
        <v>0.9622925777686665</v>
      </c>
      <c r="O228" s="8">
        <v>0.89568693245805375</v>
      </c>
      <c r="P228" s="8">
        <f t="shared" si="28"/>
        <v>1.3115667675042448</v>
      </c>
      <c r="Q228" s="8">
        <f t="shared" si="29"/>
        <v>0.92898975511336013</v>
      </c>
      <c r="R228" s="8">
        <f t="shared" si="30"/>
        <v>0.70830534756619123</v>
      </c>
      <c r="S228" s="22">
        <f t="shared" si="31"/>
        <v>-0.49755666049446667</v>
      </c>
      <c r="T228" s="25"/>
      <c r="U228" s="1" t="s">
        <v>649</v>
      </c>
    </row>
    <row r="229" spans="1:21">
      <c r="A229" s="6" t="s">
        <v>650</v>
      </c>
      <c r="B229" s="6" t="s">
        <v>651</v>
      </c>
      <c r="C229" s="7">
        <v>0.83465307992310223</v>
      </c>
      <c r="D229" s="7">
        <v>0.83801444202909969</v>
      </c>
      <c r="E229" s="7">
        <v>0.81462918401539541</v>
      </c>
      <c r="F229" s="8">
        <v>0.81076435427698468</v>
      </c>
      <c r="G229" s="8">
        <f t="shared" si="24"/>
        <v>0.83633376097610101</v>
      </c>
      <c r="H229" s="8">
        <f t="shared" si="25"/>
        <v>0.81269676914619005</v>
      </c>
      <c r="I229" s="8">
        <f t="shared" si="26"/>
        <v>0.97173736977648284</v>
      </c>
      <c r="J229" s="22">
        <f t="shared" si="27"/>
        <v>-4.1361643729374044E-2</v>
      </c>
      <c r="K229" s="8"/>
      <c r="L229" s="8">
        <v>1.3986581508058888</v>
      </c>
      <c r="M229" s="8">
        <v>1.1386564297364992</v>
      </c>
      <c r="N229" s="8">
        <v>0.98537722451298226</v>
      </c>
      <c r="O229" s="8">
        <v>1.0729878768436936</v>
      </c>
      <c r="P229" s="8">
        <f t="shared" si="28"/>
        <v>1.2686572902711939</v>
      </c>
      <c r="Q229" s="8">
        <f t="shared" si="29"/>
        <v>1.0291825506783379</v>
      </c>
      <c r="R229" s="8">
        <f t="shared" si="30"/>
        <v>0.81123764358642136</v>
      </c>
      <c r="S229" s="22">
        <f t="shared" si="31"/>
        <v>-0.30180349610206425</v>
      </c>
      <c r="T229" s="25"/>
      <c r="U229" s="1" t="s">
        <v>652</v>
      </c>
    </row>
    <row r="230" spans="1:21">
      <c r="A230" s="6" t="s">
        <v>653</v>
      </c>
      <c r="B230" s="6" t="s">
        <v>654</v>
      </c>
      <c r="C230" s="7">
        <v>0.96696969165975688</v>
      </c>
      <c r="D230" s="7">
        <v>0.78683236014579738</v>
      </c>
      <c r="E230" s="7">
        <v>0.97096384675558245</v>
      </c>
      <c r="F230" s="8">
        <v>0.78242748461933453</v>
      </c>
      <c r="G230" s="8">
        <f t="shared" si="24"/>
        <v>0.87690102590277719</v>
      </c>
      <c r="H230" s="8">
        <f t="shared" si="25"/>
        <v>0.87669566568745849</v>
      </c>
      <c r="I230" s="8">
        <f t="shared" si="26"/>
        <v>0.99976581140943788</v>
      </c>
      <c r="J230" s="22">
        <f t="shared" si="27"/>
        <v>-3.3790228621134423E-4</v>
      </c>
      <c r="K230" s="8"/>
      <c r="L230" s="8">
        <v>1.1076942799084906</v>
      </c>
      <c r="M230" s="8">
        <v>0.83545365966549645</v>
      </c>
      <c r="N230" s="8">
        <v>0.89537304001548168</v>
      </c>
      <c r="O230" s="8">
        <v>1.0312021651571106</v>
      </c>
      <c r="P230" s="8">
        <f t="shared" si="28"/>
        <v>0.97157396978699351</v>
      </c>
      <c r="Q230" s="8">
        <f t="shared" si="29"/>
        <v>0.9632876025862962</v>
      </c>
      <c r="R230" s="8">
        <f t="shared" si="30"/>
        <v>0.99147119266429706</v>
      </c>
      <c r="S230" s="22">
        <f t="shared" si="31"/>
        <v>-1.2357239532707414E-2</v>
      </c>
      <c r="T230" s="25"/>
      <c r="U230" s="1" t="s">
        <v>655</v>
      </c>
    </row>
    <row r="231" spans="1:21">
      <c r="A231" s="6" t="s">
        <v>656</v>
      </c>
      <c r="B231" s="6" t="s">
        <v>657</v>
      </c>
      <c r="C231" s="7">
        <v>0.84897256780067265</v>
      </c>
      <c r="D231" s="7">
        <v>0.86003800761314408</v>
      </c>
      <c r="E231" s="7">
        <v>0.8407726456074639</v>
      </c>
      <c r="F231" s="8">
        <v>0.9072680545057269</v>
      </c>
      <c r="G231" s="8">
        <f t="shared" si="24"/>
        <v>0.85450528770690837</v>
      </c>
      <c r="H231" s="8">
        <f t="shared" si="25"/>
        <v>0.8740203500565954</v>
      </c>
      <c r="I231" s="8">
        <f t="shared" si="26"/>
        <v>1.0228378485545202</v>
      </c>
      <c r="J231" s="22">
        <f t="shared" si="27"/>
        <v>3.2577451409476765E-2</v>
      </c>
      <c r="K231" s="8"/>
      <c r="L231" s="8">
        <v>1.1082803098599456</v>
      </c>
      <c r="M231" s="8">
        <v>0.77413629733280664</v>
      </c>
      <c r="N231" s="8">
        <v>1.1538000404602744</v>
      </c>
      <c r="O231" s="8">
        <v>0.89067442139586273</v>
      </c>
      <c r="P231" s="8">
        <f t="shared" si="28"/>
        <v>0.94120830359637608</v>
      </c>
      <c r="Q231" s="8">
        <f t="shared" si="29"/>
        <v>1.0222372309280685</v>
      </c>
      <c r="R231" s="8">
        <f t="shared" si="30"/>
        <v>1.0860903234938315</v>
      </c>
      <c r="S231" s="22">
        <f t="shared" si="31"/>
        <v>0.11914408826010511</v>
      </c>
      <c r="T231" s="25"/>
      <c r="U231" s="1" t="s">
        <v>658</v>
      </c>
    </row>
    <row r="232" spans="1:21">
      <c r="A232" s="6" t="s">
        <v>659</v>
      </c>
      <c r="B232" s="6" t="s">
        <v>660</v>
      </c>
      <c r="C232" s="7">
        <v>1.1341127946786782</v>
      </c>
      <c r="D232" s="7">
        <v>1.1202267546356415</v>
      </c>
      <c r="E232" s="7">
        <v>1.2527412594156073</v>
      </c>
      <c r="F232" s="8">
        <v>1.1937112519577728</v>
      </c>
      <c r="G232" s="8">
        <f t="shared" si="24"/>
        <v>1.1271697746571598</v>
      </c>
      <c r="H232" s="8">
        <f t="shared" si="25"/>
        <v>1.22322625568669</v>
      </c>
      <c r="I232" s="8">
        <f t="shared" si="26"/>
        <v>1.0852191774382405</v>
      </c>
      <c r="J232" s="22">
        <f t="shared" si="27"/>
        <v>0.11798644752654204</v>
      </c>
      <c r="K232" s="8"/>
      <c r="L232" s="8">
        <v>1.0862716294608585</v>
      </c>
      <c r="M232" s="8">
        <v>1.0176033766849804</v>
      </c>
      <c r="N232" s="8">
        <v>1.0075972777462749</v>
      </c>
      <c r="O232" s="8">
        <v>0.73435504986346467</v>
      </c>
      <c r="P232" s="8">
        <f t="shared" si="28"/>
        <v>1.0519375030729194</v>
      </c>
      <c r="Q232" s="8">
        <f t="shared" si="29"/>
        <v>0.87097616380486986</v>
      </c>
      <c r="R232" s="8">
        <f t="shared" si="30"/>
        <v>0.82797329809097464</v>
      </c>
      <c r="S232" s="22">
        <f t="shared" si="31"/>
        <v>-0.27234385292713365</v>
      </c>
      <c r="T232" s="25"/>
      <c r="U232" s="1" t="s">
        <v>661</v>
      </c>
    </row>
    <row r="233" spans="1:21">
      <c r="A233" s="6" t="s">
        <v>662</v>
      </c>
      <c r="B233" s="6" t="s">
        <v>663</v>
      </c>
      <c r="C233" s="7">
        <v>1.0569759920381396</v>
      </c>
      <c r="D233" s="7">
        <v>1.0399980514366225</v>
      </c>
      <c r="E233" s="7">
        <v>1.1289577694420154</v>
      </c>
      <c r="F233" s="8">
        <v>1.0543756639950457</v>
      </c>
      <c r="G233" s="8">
        <f t="shared" si="24"/>
        <v>1.048487021737381</v>
      </c>
      <c r="H233" s="8">
        <f t="shared" si="25"/>
        <v>1.0916667167185305</v>
      </c>
      <c r="I233" s="8">
        <f t="shared" si="26"/>
        <v>1.0411828607182942</v>
      </c>
      <c r="J233" s="22">
        <f t="shared" si="27"/>
        <v>5.8223468333496717E-2</v>
      </c>
      <c r="K233" s="8"/>
      <c r="L233" s="8">
        <v>1.3173627736512727</v>
      </c>
      <c r="M233" s="8">
        <v>0.74743179520111336</v>
      </c>
      <c r="N233" s="8">
        <v>0.85348348440641431</v>
      </c>
      <c r="O233" s="8">
        <v>0.84982023831375764</v>
      </c>
      <c r="P233" s="8">
        <f t="shared" si="28"/>
        <v>1.0323972844261931</v>
      </c>
      <c r="Q233" s="8">
        <f t="shared" si="29"/>
        <v>0.85165186136008597</v>
      </c>
      <c r="R233" s="8">
        <f t="shared" si="30"/>
        <v>0.82492648344521224</v>
      </c>
      <c r="S233" s="22">
        <f t="shared" si="31"/>
        <v>-0.27766254121974415</v>
      </c>
      <c r="T233" s="25"/>
      <c r="U233" s="1" t="s">
        <v>664</v>
      </c>
    </row>
    <row r="234" spans="1:21">
      <c r="A234" s="6" t="s">
        <v>665</v>
      </c>
      <c r="B234" s="6" t="s">
        <v>666</v>
      </c>
      <c r="C234" s="7">
        <v>0.97962536596685834</v>
      </c>
      <c r="D234" s="7">
        <v>0.88159424708945777</v>
      </c>
      <c r="E234" s="7">
        <v>0.90892371266790273</v>
      </c>
      <c r="F234" s="8">
        <v>0.90228023763467136</v>
      </c>
      <c r="G234" s="8">
        <f t="shared" si="24"/>
        <v>0.93060980652815806</v>
      </c>
      <c r="H234" s="8">
        <f t="shared" si="25"/>
        <v>0.90560197515128704</v>
      </c>
      <c r="I234" s="8">
        <f t="shared" si="26"/>
        <v>0.97312747920616893</v>
      </c>
      <c r="J234" s="22">
        <f t="shared" si="27"/>
        <v>-3.9299285182378428E-2</v>
      </c>
      <c r="K234" s="8"/>
      <c r="L234" s="8">
        <v>1.0661838250137627</v>
      </c>
      <c r="M234" s="8">
        <v>1.0392318164280048</v>
      </c>
      <c r="N234" s="8">
        <v>1.2150997203918095</v>
      </c>
      <c r="O234" s="8">
        <v>1.2118299974158859</v>
      </c>
      <c r="P234" s="8">
        <f t="shared" si="28"/>
        <v>1.0527078207208838</v>
      </c>
      <c r="Q234" s="8">
        <f t="shared" si="29"/>
        <v>1.2134648589038477</v>
      </c>
      <c r="R234" s="8">
        <f t="shared" si="30"/>
        <v>1.1527081256724008</v>
      </c>
      <c r="S234" s="22">
        <f t="shared" si="31"/>
        <v>0.20502725804474975</v>
      </c>
      <c r="T234" s="25"/>
      <c r="U234" s="1" t="s">
        <v>667</v>
      </c>
    </row>
    <row r="235" spans="1:21">
      <c r="A235" s="6" t="s">
        <v>668</v>
      </c>
      <c r="B235" s="6" t="s">
        <v>669</v>
      </c>
      <c r="C235" s="7">
        <v>1.0158951654066402</v>
      </c>
      <c r="D235" s="7">
        <v>1.0083778454994587</v>
      </c>
      <c r="E235" s="7">
        <v>1.0247414059076885</v>
      </c>
      <c r="F235" s="8">
        <v>0.96809171023887619</v>
      </c>
      <c r="G235" s="8">
        <f t="shared" si="24"/>
        <v>1.0121365054530496</v>
      </c>
      <c r="H235" s="8">
        <f t="shared" si="25"/>
        <v>0.99641655807328233</v>
      </c>
      <c r="I235" s="8">
        <f t="shared" si="26"/>
        <v>0.9844685501460787</v>
      </c>
      <c r="J235" s="22">
        <f t="shared" si="27"/>
        <v>-2.2582976391835988E-2</v>
      </c>
      <c r="K235" s="8"/>
      <c r="L235" s="8">
        <v>1.1938732399918981</v>
      </c>
      <c r="M235" s="8">
        <v>1.0682536513893077</v>
      </c>
      <c r="N235" s="8">
        <v>0.85456422629519313</v>
      </c>
      <c r="O235" s="8">
        <v>0.93059707587348994</v>
      </c>
      <c r="P235" s="8">
        <f t="shared" si="28"/>
        <v>1.1310634456906028</v>
      </c>
      <c r="Q235" s="8">
        <f t="shared" si="29"/>
        <v>0.89258065108434148</v>
      </c>
      <c r="R235" s="8">
        <f t="shared" si="30"/>
        <v>0.78915170893826481</v>
      </c>
      <c r="S235" s="22">
        <f t="shared" si="31"/>
        <v>-0.34162541987872808</v>
      </c>
      <c r="T235" s="25"/>
      <c r="U235" s="1" t="s">
        <v>670</v>
      </c>
    </row>
    <row r="236" spans="1:21">
      <c r="A236" s="6" t="s">
        <v>671</v>
      </c>
      <c r="B236" s="6" t="s">
        <v>672</v>
      </c>
      <c r="C236" s="7">
        <v>1.0559736947065319</v>
      </c>
      <c r="D236" s="7">
        <v>1.0986244407543402</v>
      </c>
      <c r="E236" s="7">
        <v>1.0368351176297159</v>
      </c>
      <c r="F236" s="8">
        <v>0.95232994502068624</v>
      </c>
      <c r="G236" s="8">
        <f t="shared" si="24"/>
        <v>1.0772990677304359</v>
      </c>
      <c r="H236" s="8">
        <f t="shared" si="25"/>
        <v>0.99458253132520102</v>
      </c>
      <c r="I236" s="8">
        <f t="shared" si="26"/>
        <v>0.92321859464754275</v>
      </c>
      <c r="J236" s="22">
        <f t="shared" si="27"/>
        <v>-0.115255813131395</v>
      </c>
      <c r="K236" s="8"/>
      <c r="L236" s="8">
        <v>1.1145964104478492</v>
      </c>
      <c r="M236" s="8">
        <v>1.1785660506908895</v>
      </c>
      <c r="N236" s="8">
        <v>1.3099023988754881</v>
      </c>
      <c r="O236" s="8">
        <v>0.68125791940822056</v>
      </c>
      <c r="P236" s="8">
        <f t="shared" si="28"/>
        <v>1.1465812305693692</v>
      </c>
      <c r="Q236" s="8">
        <f t="shared" si="29"/>
        <v>0.99558015914185427</v>
      </c>
      <c r="R236" s="8">
        <f t="shared" si="30"/>
        <v>0.86830320660967841</v>
      </c>
      <c r="S236" s="22">
        <f t="shared" si="31"/>
        <v>-0.2037291832217675</v>
      </c>
      <c r="T236" s="25"/>
      <c r="U236" s="1" t="s">
        <v>673</v>
      </c>
    </row>
    <row r="237" spans="1:21">
      <c r="A237" s="6" t="s">
        <v>674</v>
      </c>
      <c r="B237" s="6" t="s">
        <v>675</v>
      </c>
      <c r="C237" s="7">
        <v>1.0431309248975302</v>
      </c>
      <c r="D237" s="7">
        <v>1.1367937942575899</v>
      </c>
      <c r="E237" s="7">
        <v>0.99297939335942964</v>
      </c>
      <c r="F237" s="8">
        <v>0.966158601319274</v>
      </c>
      <c r="G237" s="8">
        <f t="shared" si="24"/>
        <v>1.08996235957756</v>
      </c>
      <c r="H237" s="8">
        <f t="shared" si="25"/>
        <v>0.97956899733935177</v>
      </c>
      <c r="I237" s="8">
        <f t="shared" si="26"/>
        <v>0.89871818850607488</v>
      </c>
      <c r="J237" s="22">
        <f t="shared" si="27"/>
        <v>-0.1540592948116643</v>
      </c>
      <c r="K237" s="8"/>
      <c r="L237" s="8">
        <v>0.98560470668870281</v>
      </c>
      <c r="M237" s="8">
        <v>0.87764383038870886</v>
      </c>
      <c r="N237" s="8">
        <v>1.0492706849775864</v>
      </c>
      <c r="O237" s="8">
        <v>0.96856795613221092</v>
      </c>
      <c r="P237" s="8">
        <f t="shared" si="28"/>
        <v>0.93162426853870584</v>
      </c>
      <c r="Q237" s="8">
        <f t="shared" si="29"/>
        <v>1.0089193205548987</v>
      </c>
      <c r="R237" s="8">
        <f t="shared" si="30"/>
        <v>1.0829680533520596</v>
      </c>
      <c r="S237" s="22">
        <f t="shared" si="31"/>
        <v>0.11499068528202282</v>
      </c>
      <c r="T237" s="25"/>
      <c r="U237" s="1" t="s">
        <v>676</v>
      </c>
    </row>
    <row r="238" spans="1:21">
      <c r="A238" s="6" t="s">
        <v>677</v>
      </c>
      <c r="B238" s="6" t="s">
        <v>678</v>
      </c>
      <c r="C238" s="7">
        <v>1.3381203935541353</v>
      </c>
      <c r="D238" s="7">
        <v>1.3371055609698506</v>
      </c>
      <c r="E238" s="7">
        <v>1.4372631063645802</v>
      </c>
      <c r="F238" s="8">
        <v>1.4706538458459035</v>
      </c>
      <c r="G238" s="8">
        <f t="shared" si="24"/>
        <v>1.3376129772619929</v>
      </c>
      <c r="H238" s="8">
        <f t="shared" si="25"/>
        <v>1.453958476105242</v>
      </c>
      <c r="I238" s="8">
        <f t="shared" si="26"/>
        <v>1.0869799417477251</v>
      </c>
      <c r="J238" s="22">
        <f t="shared" si="27"/>
        <v>0.12032531827866919</v>
      </c>
      <c r="K238" s="8"/>
      <c r="L238" s="8">
        <v>0.99680439020539802</v>
      </c>
      <c r="M238" s="8">
        <v>0.7188881400300472</v>
      </c>
      <c r="N238" s="8">
        <v>0.50669502713506476</v>
      </c>
      <c r="O238" s="8">
        <v>0.47095424732107549</v>
      </c>
      <c r="P238" s="8">
        <f t="shared" si="28"/>
        <v>0.85784626511772255</v>
      </c>
      <c r="Q238" s="8">
        <f t="shared" si="29"/>
        <v>0.48882463722807012</v>
      </c>
      <c r="R238" s="8">
        <f t="shared" si="30"/>
        <v>0.56982778512300047</v>
      </c>
      <c r="S238" s="22">
        <f t="shared" si="31"/>
        <v>-0.81140212488959862</v>
      </c>
      <c r="T238" s="25"/>
      <c r="U238" s="1" t="s">
        <v>679</v>
      </c>
    </row>
    <row r="239" spans="1:21">
      <c r="A239" s="6" t="s">
        <v>680</v>
      </c>
      <c r="B239" s="6" t="s">
        <v>681</v>
      </c>
      <c r="C239" s="7">
        <v>1.060724584058353</v>
      </c>
      <c r="D239" s="7">
        <v>1.0264192660810088</v>
      </c>
      <c r="E239" s="7">
        <v>0.99958270834875762</v>
      </c>
      <c r="F239" s="8">
        <v>0.98168944908972999</v>
      </c>
      <c r="G239" s="8">
        <f t="shared" si="24"/>
        <v>1.0435719250696809</v>
      </c>
      <c r="H239" s="8">
        <f t="shared" si="25"/>
        <v>0.99063607871924386</v>
      </c>
      <c r="I239" s="8">
        <f t="shared" si="26"/>
        <v>0.94927436712433366</v>
      </c>
      <c r="J239" s="22">
        <f t="shared" si="27"/>
        <v>-7.5102967723807937E-2</v>
      </c>
      <c r="K239" s="8"/>
      <c r="L239" s="8">
        <v>1.0444030451513526</v>
      </c>
      <c r="M239" s="8">
        <v>0.69564124561237484</v>
      </c>
      <c r="N239" s="8">
        <v>0.75051039724356783</v>
      </c>
      <c r="O239" s="8">
        <v>0.77392283630129077</v>
      </c>
      <c r="P239" s="8">
        <f t="shared" si="28"/>
        <v>0.87002214538186373</v>
      </c>
      <c r="Q239" s="8">
        <f t="shared" si="29"/>
        <v>0.76221661677242936</v>
      </c>
      <c r="R239" s="8">
        <f t="shared" si="30"/>
        <v>0.87608875339360792</v>
      </c>
      <c r="S239" s="22">
        <f t="shared" si="31"/>
        <v>-0.19085106342306082</v>
      </c>
      <c r="T239" s="25"/>
      <c r="U239" s="1" t="s">
        <v>682</v>
      </c>
    </row>
    <row r="240" spans="1:21">
      <c r="A240" s="6" t="s">
        <v>683</v>
      </c>
      <c r="B240" s="6" t="s">
        <v>684</v>
      </c>
      <c r="C240" s="7">
        <v>1.1062155189489269</v>
      </c>
      <c r="D240" s="7">
        <v>0.95118634479421016</v>
      </c>
      <c r="E240" s="7">
        <v>0.99748502605899148</v>
      </c>
      <c r="F240" s="8">
        <v>1.0134504946152079</v>
      </c>
      <c r="G240" s="8">
        <f t="shared" si="24"/>
        <v>1.0287009318715685</v>
      </c>
      <c r="H240" s="8">
        <f t="shared" si="25"/>
        <v>1.0054677603370996</v>
      </c>
      <c r="I240" s="8">
        <f t="shared" si="26"/>
        <v>0.97741503792341322</v>
      </c>
      <c r="J240" s="22">
        <f t="shared" si="27"/>
        <v>-3.2956793688657976E-2</v>
      </c>
      <c r="K240" s="8"/>
      <c r="L240" s="8">
        <v>1.1605672044175399</v>
      </c>
      <c r="M240" s="8">
        <v>1.1338378487733425</v>
      </c>
      <c r="N240" s="8">
        <v>0.90743411949425334</v>
      </c>
      <c r="O240" s="8">
        <v>0.93977928640334418</v>
      </c>
      <c r="P240" s="8">
        <f t="shared" si="28"/>
        <v>1.1472025265954411</v>
      </c>
      <c r="Q240" s="8">
        <f t="shared" si="29"/>
        <v>0.92360670294879876</v>
      </c>
      <c r="R240" s="8">
        <f t="shared" si="30"/>
        <v>0.80509472524419134</v>
      </c>
      <c r="S240" s="22">
        <f t="shared" si="31"/>
        <v>-0.31276955811945339</v>
      </c>
      <c r="T240" s="25"/>
      <c r="U240" s="1" t="s">
        <v>685</v>
      </c>
    </row>
    <row r="241" spans="1:21">
      <c r="A241" s="6" t="s">
        <v>686</v>
      </c>
      <c r="B241" s="6" t="s">
        <v>687</v>
      </c>
      <c r="C241" s="7">
        <v>0.99721902512768101</v>
      </c>
      <c r="D241" s="7">
        <v>0.98999415790943013</v>
      </c>
      <c r="E241" s="7">
        <v>0.95788537100041704</v>
      </c>
      <c r="F241" s="8">
        <v>0.97428689547951264</v>
      </c>
      <c r="G241" s="8">
        <f t="shared" si="24"/>
        <v>0.99360659151855557</v>
      </c>
      <c r="H241" s="8">
        <f t="shared" si="25"/>
        <v>0.96608613323996484</v>
      </c>
      <c r="I241" s="8">
        <f t="shared" si="26"/>
        <v>0.97230246003447851</v>
      </c>
      <c r="J241" s="22">
        <f t="shared" si="27"/>
        <v>-4.0522923325270396E-2</v>
      </c>
      <c r="K241" s="8"/>
      <c r="L241" s="8">
        <v>0.94328032130584305</v>
      </c>
      <c r="M241" s="8">
        <v>0.89482151977645097</v>
      </c>
      <c r="N241" s="8">
        <v>0.91404825985357974</v>
      </c>
      <c r="O241" s="8">
        <v>0.90540144504760967</v>
      </c>
      <c r="P241" s="8">
        <f t="shared" si="28"/>
        <v>0.91905092054114701</v>
      </c>
      <c r="Q241" s="8">
        <f t="shared" si="29"/>
        <v>0.90972485245059476</v>
      </c>
      <c r="R241" s="8">
        <f t="shared" si="30"/>
        <v>0.98985250122478419</v>
      </c>
      <c r="S241" s="22">
        <f t="shared" si="31"/>
        <v>-1.4714530912481621E-2</v>
      </c>
      <c r="T241" s="25"/>
      <c r="U241" s="1" t="s">
        <v>688</v>
      </c>
    </row>
    <row r="242" spans="1:21">
      <c r="A242" s="6" t="s">
        <v>689</v>
      </c>
      <c r="B242" s="6" t="s">
        <v>690</v>
      </c>
      <c r="C242" s="7">
        <v>1.1471627059362119</v>
      </c>
      <c r="D242" s="7">
        <v>1.0173228621248971</v>
      </c>
      <c r="E242" s="7">
        <v>1.017429870209597</v>
      </c>
      <c r="F242" s="8">
        <v>0.99529378558194759</v>
      </c>
      <c r="G242" s="8">
        <f t="shared" si="24"/>
        <v>1.0822427840305546</v>
      </c>
      <c r="H242" s="8">
        <f t="shared" si="25"/>
        <v>1.0063618278957722</v>
      </c>
      <c r="I242" s="8">
        <f t="shared" si="26"/>
        <v>0.9298854589243073</v>
      </c>
      <c r="J242" s="22">
        <f t="shared" si="27"/>
        <v>-0.10487507546118778</v>
      </c>
      <c r="K242" s="8"/>
      <c r="L242" s="8">
        <v>1.2055938390209977</v>
      </c>
      <c r="M242" s="8">
        <v>1.1768740298946665</v>
      </c>
      <c r="N242" s="8">
        <v>1.052815518372781</v>
      </c>
      <c r="O242" s="8">
        <v>1.1170802307889842</v>
      </c>
      <c r="P242" s="8">
        <f t="shared" si="28"/>
        <v>1.191233934457832</v>
      </c>
      <c r="Q242" s="8">
        <f t="shared" si="29"/>
        <v>1.0849478745808825</v>
      </c>
      <c r="R242" s="8">
        <f t="shared" si="30"/>
        <v>0.91077650090171114</v>
      </c>
      <c r="S242" s="22">
        <f t="shared" si="31"/>
        <v>-0.13483102615099002</v>
      </c>
      <c r="T242" s="25"/>
      <c r="U242" s="1" t="s">
        <v>691</v>
      </c>
    </row>
    <row r="243" spans="1:21">
      <c r="A243" s="6" t="s">
        <v>692</v>
      </c>
      <c r="B243" s="6" t="s">
        <v>80</v>
      </c>
      <c r="C243" s="7">
        <v>1.3058397374941526</v>
      </c>
      <c r="D243" s="7">
        <v>1.2654730253299356</v>
      </c>
      <c r="E243" s="7">
        <v>1.015932489282497</v>
      </c>
      <c r="F243" s="8">
        <v>1.3455691632290494</v>
      </c>
      <c r="G243" s="8">
        <f t="shared" si="24"/>
        <v>1.2856563814120441</v>
      </c>
      <c r="H243" s="8">
        <f t="shared" si="25"/>
        <v>1.1807508262557733</v>
      </c>
      <c r="I243" s="8">
        <f t="shared" si="26"/>
        <v>0.91840311558127818</v>
      </c>
      <c r="J243" s="22">
        <f t="shared" si="27"/>
        <v>-0.12280055868164988</v>
      </c>
      <c r="K243" s="8"/>
      <c r="L243" s="8">
        <v>1.4789442541552211</v>
      </c>
      <c r="M243" s="8">
        <v>1.0845485473181509</v>
      </c>
      <c r="N243" s="8">
        <v>1.7016497187200368</v>
      </c>
      <c r="O243" s="8">
        <v>1.2244721713338014</v>
      </c>
      <c r="P243" s="8">
        <f t="shared" si="28"/>
        <v>1.2817464007366861</v>
      </c>
      <c r="Q243" s="8">
        <f t="shared" si="29"/>
        <v>1.463060945026919</v>
      </c>
      <c r="R243" s="8">
        <f t="shared" si="30"/>
        <v>1.1414589845432934</v>
      </c>
      <c r="S243" s="22">
        <f t="shared" si="31"/>
        <v>0.19087902087747186</v>
      </c>
      <c r="T243" s="25"/>
      <c r="U243" s="1">
        <v>0</v>
      </c>
    </row>
    <row r="244" spans="1:21">
      <c r="A244" s="6" t="s">
        <v>693</v>
      </c>
      <c r="B244" s="6" t="s">
        <v>80</v>
      </c>
      <c r="C244" s="7">
        <v>2.0582977542432022</v>
      </c>
      <c r="D244" s="7">
        <v>2.1227663148173934</v>
      </c>
      <c r="E244" s="7">
        <v>2.0192316701124802</v>
      </c>
      <c r="F244" s="8">
        <v>1.9540300403669129</v>
      </c>
      <c r="G244" s="8">
        <f t="shared" si="24"/>
        <v>2.0905320345302978</v>
      </c>
      <c r="H244" s="8">
        <f t="shared" si="25"/>
        <v>1.9866308552396965</v>
      </c>
      <c r="I244" s="8">
        <f t="shared" si="26"/>
        <v>0.95029916902758882</v>
      </c>
      <c r="J244" s="22">
        <f t="shared" si="27"/>
        <v>-7.3546326994698041E-2</v>
      </c>
      <c r="K244" s="8"/>
      <c r="L244" s="8">
        <v>1.5651883286776793</v>
      </c>
      <c r="M244" s="8">
        <v>1.7369329134444771</v>
      </c>
      <c r="N244" s="8">
        <v>1.7031195276887761</v>
      </c>
      <c r="O244" s="8">
        <v>1.8629241334410105</v>
      </c>
      <c r="P244" s="8">
        <f t="shared" si="28"/>
        <v>1.6510606210610783</v>
      </c>
      <c r="Q244" s="8">
        <f t="shared" si="29"/>
        <v>1.7830218305648933</v>
      </c>
      <c r="R244" s="8">
        <f t="shared" si="30"/>
        <v>1.0799251146932498</v>
      </c>
      <c r="S244" s="22">
        <f t="shared" si="31"/>
        <v>0.11093127497541659</v>
      </c>
      <c r="T244" s="25"/>
      <c r="U244" s="1">
        <v>0</v>
      </c>
    </row>
    <row r="245" spans="1:21">
      <c r="A245" s="6" t="s">
        <v>694</v>
      </c>
      <c r="B245" s="6" t="s">
        <v>695</v>
      </c>
      <c r="C245" s="7">
        <v>1.1436212553645311</v>
      </c>
      <c r="D245" s="7">
        <v>1.0613370830037092</v>
      </c>
      <c r="E245" s="7">
        <v>1.176597415784838</v>
      </c>
      <c r="F245" s="8">
        <v>1.120325687067891</v>
      </c>
      <c r="G245" s="8">
        <f t="shared" si="24"/>
        <v>1.1024791691841203</v>
      </c>
      <c r="H245" s="8">
        <f t="shared" si="25"/>
        <v>1.1484615514263645</v>
      </c>
      <c r="I245" s="8">
        <f t="shared" si="26"/>
        <v>1.0417081642243391</v>
      </c>
      <c r="J245" s="22">
        <f t="shared" si="27"/>
        <v>5.895116149662892E-2</v>
      </c>
      <c r="K245" s="8"/>
      <c r="L245" s="8">
        <v>1.1962824742367686</v>
      </c>
      <c r="M245" s="8">
        <v>1.2143191857762969</v>
      </c>
      <c r="N245" s="8">
        <v>0.85849812677034809</v>
      </c>
      <c r="O245" s="8">
        <v>0.80568352586349201</v>
      </c>
      <c r="P245" s="8">
        <f t="shared" si="28"/>
        <v>1.2053008300065327</v>
      </c>
      <c r="Q245" s="8">
        <f t="shared" si="29"/>
        <v>0.83209082631692</v>
      </c>
      <c r="R245" s="8">
        <f t="shared" si="30"/>
        <v>0.69035945682739641</v>
      </c>
      <c r="S245" s="22">
        <f t="shared" si="31"/>
        <v>-0.53458035393879544</v>
      </c>
      <c r="T245" s="25"/>
      <c r="U245" s="1" t="s">
        <v>696</v>
      </c>
    </row>
    <row r="246" spans="1:21">
      <c r="A246" s="6" t="s">
        <v>697</v>
      </c>
      <c r="B246" s="6" t="s">
        <v>698</v>
      </c>
      <c r="C246" s="7">
        <v>0.32668211028204452</v>
      </c>
      <c r="D246" s="7">
        <v>0.3067699704649009</v>
      </c>
      <c r="E246" s="7">
        <v>0.62171660790735794</v>
      </c>
      <c r="F246" s="8">
        <v>0.70270158637881208</v>
      </c>
      <c r="G246" s="8">
        <f t="shared" si="24"/>
        <v>0.31672604037347274</v>
      </c>
      <c r="H246" s="8">
        <f t="shared" si="25"/>
        <v>0.66220909714308496</v>
      </c>
      <c r="I246" s="8">
        <f t="shared" si="26"/>
        <v>2.090794607106603</v>
      </c>
      <c r="J246" s="22">
        <f t="shared" si="27"/>
        <v>1.0640513431981828</v>
      </c>
      <c r="K246" s="8"/>
      <c r="L246" s="8">
        <v>0.81041430842318862</v>
      </c>
      <c r="M246" s="8">
        <v>0.79605900156213072</v>
      </c>
      <c r="N246" s="8">
        <v>0.70779947779902863</v>
      </c>
      <c r="O246" s="8">
        <v>0.81845877529633271</v>
      </c>
      <c r="P246" s="8">
        <f t="shared" si="28"/>
        <v>0.80323665499265973</v>
      </c>
      <c r="Q246" s="8">
        <f t="shared" si="29"/>
        <v>0.76312912654768073</v>
      </c>
      <c r="R246" s="8">
        <f t="shared" si="30"/>
        <v>0.95006760685573355</v>
      </c>
      <c r="S246" s="22">
        <f t="shared" si="31"/>
        <v>-7.3897915543694015E-2</v>
      </c>
      <c r="T246" s="25"/>
      <c r="U246" s="1" t="s">
        <v>699</v>
      </c>
    </row>
    <row r="247" spans="1:21" ht="14.5">
      <c r="A247" s="6" t="s">
        <v>700</v>
      </c>
      <c r="B247" s="6" t="s">
        <v>701</v>
      </c>
      <c r="C247" s="7">
        <v>1.1043445639299256</v>
      </c>
      <c r="D247" s="7">
        <v>1.1321468614117036</v>
      </c>
      <c r="E247" s="7">
        <v>1.1033201797847778</v>
      </c>
      <c r="F247" s="8">
        <v>0.88979090253294113</v>
      </c>
      <c r="G247" s="8">
        <f t="shared" si="24"/>
        <v>1.1182457126708147</v>
      </c>
      <c r="H247" s="8">
        <f t="shared" si="25"/>
        <v>0.99655554115885947</v>
      </c>
      <c r="I247" s="8">
        <f t="shared" si="26"/>
        <v>0.89117760959591719</v>
      </c>
      <c r="J247" s="22">
        <f t="shared" si="27"/>
        <v>-0.16621510876543535</v>
      </c>
      <c r="K247" s="8"/>
      <c r="L247" s="8">
        <v>0.33605561993990651</v>
      </c>
      <c r="M247" s="8">
        <v>0.56215551801469565</v>
      </c>
      <c r="N247" s="8">
        <v>0.35448333951945488</v>
      </c>
      <c r="O247" s="8">
        <v>0.39461326025885729</v>
      </c>
      <c r="P247" s="8">
        <f t="shared" si="28"/>
        <v>0.44910556897730108</v>
      </c>
      <c r="Q247" s="8">
        <f t="shared" si="29"/>
        <v>0.37454829988915606</v>
      </c>
      <c r="R247" s="8">
        <f t="shared" si="30"/>
        <v>0.83398720871369703</v>
      </c>
      <c r="S247" s="22">
        <f t="shared" si="31"/>
        <v>-0.26190283839588124</v>
      </c>
      <c r="T247" s="25"/>
      <c r="U247" s="1" t="s">
        <v>702</v>
      </c>
    </row>
    <row r="248" spans="1:21">
      <c r="A248" s="6" t="s">
        <v>703</v>
      </c>
      <c r="B248" s="6" t="s">
        <v>704</v>
      </c>
      <c r="C248" s="7">
        <v>0.9985554215698248</v>
      </c>
      <c r="D248" s="7">
        <v>1.0237732788231528</v>
      </c>
      <c r="E248" s="7">
        <v>0.88738031320323119</v>
      </c>
      <c r="F248" s="8">
        <v>0.56827464359077462</v>
      </c>
      <c r="G248" s="8">
        <f t="shared" si="24"/>
        <v>1.0111643501964889</v>
      </c>
      <c r="H248" s="8">
        <f t="shared" si="25"/>
        <v>0.7278274783970029</v>
      </c>
      <c r="I248" s="8">
        <f t="shared" si="26"/>
        <v>0.71979147430936607</v>
      </c>
      <c r="J248" s="22">
        <f t="shared" si="27"/>
        <v>-0.47434908076648619</v>
      </c>
      <c r="K248" s="8"/>
      <c r="L248" s="8">
        <v>0.66579513929190937</v>
      </c>
      <c r="M248" s="8">
        <v>0.69148475974339219</v>
      </c>
      <c r="N248" s="8">
        <v>0.80372612784703723</v>
      </c>
      <c r="O248" s="8">
        <v>0.69106114900772675</v>
      </c>
      <c r="P248" s="8">
        <f t="shared" si="28"/>
        <v>0.67863994951765072</v>
      </c>
      <c r="Q248" s="8">
        <f t="shared" si="29"/>
        <v>0.74739363842738205</v>
      </c>
      <c r="R248" s="8">
        <f t="shared" si="30"/>
        <v>1.1013109955560361</v>
      </c>
      <c r="S248" s="22">
        <f t="shared" si="31"/>
        <v>0.13922192429829042</v>
      </c>
      <c r="T248" s="25"/>
      <c r="U248" s="1" t="s">
        <v>705</v>
      </c>
    </row>
    <row r="249" spans="1:21">
      <c r="A249" s="6" t="s">
        <v>706</v>
      </c>
      <c r="B249" s="6" t="s">
        <v>707</v>
      </c>
      <c r="C249" s="7">
        <v>0.9719410864245317</v>
      </c>
      <c r="D249" s="7">
        <v>1.0471330021518359</v>
      </c>
      <c r="E249" s="7">
        <v>1.0090391410505326</v>
      </c>
      <c r="F249" s="8">
        <v>0.84932756804857135</v>
      </c>
      <c r="G249" s="8">
        <f t="shared" si="24"/>
        <v>1.0095370442881837</v>
      </c>
      <c r="H249" s="8">
        <f t="shared" si="25"/>
        <v>0.92918335454955203</v>
      </c>
      <c r="I249" s="8">
        <f t="shared" si="26"/>
        <v>0.92040540741594246</v>
      </c>
      <c r="J249" s="22">
        <f t="shared" si="27"/>
        <v>-0.11965863541353033</v>
      </c>
      <c r="K249" s="8"/>
      <c r="L249" s="8">
        <v>1.0659559244770858</v>
      </c>
      <c r="M249" s="8">
        <v>1.1835685469579835</v>
      </c>
      <c r="N249" s="8">
        <v>0.88344164956336335</v>
      </c>
      <c r="O249" s="8">
        <v>0.6853389018659336</v>
      </c>
      <c r="P249" s="8">
        <f t="shared" si="28"/>
        <v>1.1247622357175346</v>
      </c>
      <c r="Q249" s="8">
        <f t="shared" si="29"/>
        <v>0.78439027571464848</v>
      </c>
      <c r="R249" s="8">
        <f t="shared" si="30"/>
        <v>0.69738318980300029</v>
      </c>
      <c r="S249" s="22">
        <f t="shared" si="31"/>
        <v>-0.51997650605255374</v>
      </c>
      <c r="T249" s="25"/>
      <c r="U249" s="1" t="s">
        <v>708</v>
      </c>
    </row>
    <row r="250" spans="1:21">
      <c r="A250" s="6" t="s">
        <v>709</v>
      </c>
      <c r="B250" s="6" t="s">
        <v>710</v>
      </c>
      <c r="C250" s="7">
        <v>0.11444899130519245</v>
      </c>
      <c r="D250" s="7">
        <v>0.10368057533767715</v>
      </c>
      <c r="E250" s="7">
        <v>0.30850768569649739</v>
      </c>
      <c r="F250" s="8">
        <v>0.31208163179188952</v>
      </c>
      <c r="G250" s="8">
        <f t="shared" si="24"/>
        <v>0.10906478332143479</v>
      </c>
      <c r="H250" s="8">
        <f t="shared" si="25"/>
        <v>0.31029465874419349</v>
      </c>
      <c r="I250" s="8">
        <f t="shared" si="26"/>
        <v>2.8450490551995662</v>
      </c>
      <c r="J250" s="22">
        <f t="shared" si="27"/>
        <v>1.5084535281322111</v>
      </c>
      <c r="K250" s="8"/>
      <c r="L250" s="8">
        <v>0.65365129640898112</v>
      </c>
      <c r="M250" s="8">
        <v>0.88753847374053463</v>
      </c>
      <c r="N250" s="8">
        <v>0.67057872714948585</v>
      </c>
      <c r="O250" s="8">
        <v>0.64457343579377868</v>
      </c>
      <c r="P250" s="8">
        <f t="shared" si="28"/>
        <v>0.77059488507475793</v>
      </c>
      <c r="Q250" s="8">
        <f t="shared" si="29"/>
        <v>0.65757608147163227</v>
      </c>
      <c r="R250" s="8">
        <f t="shared" si="30"/>
        <v>0.85333564264164385</v>
      </c>
      <c r="S250" s="22">
        <f t="shared" si="31"/>
        <v>-0.22881478625001439</v>
      </c>
      <c r="T250" s="25"/>
      <c r="U250" s="1" t="s">
        <v>711</v>
      </c>
    </row>
    <row r="251" spans="1:21">
      <c r="A251" s="6" t="s">
        <v>712</v>
      </c>
      <c r="B251" s="6" t="s">
        <v>713</v>
      </c>
      <c r="C251" s="7">
        <v>0.78392347097932469</v>
      </c>
      <c r="D251" s="7">
        <v>0.84566937531488684</v>
      </c>
      <c r="E251" s="7">
        <v>1.0051540445910303</v>
      </c>
      <c r="F251" s="8">
        <v>0.98771309565490684</v>
      </c>
      <c r="G251" s="8">
        <f t="shared" si="24"/>
        <v>0.81479642314710576</v>
      </c>
      <c r="H251" s="8">
        <f t="shared" si="25"/>
        <v>0.99643357012296851</v>
      </c>
      <c r="I251" s="8">
        <f t="shared" si="26"/>
        <v>1.2229233484780153</v>
      </c>
      <c r="J251" s="22">
        <f t="shared" si="27"/>
        <v>0.29033398012348538</v>
      </c>
      <c r="K251" s="8"/>
      <c r="L251" s="8">
        <v>1.0612025704263954</v>
      </c>
      <c r="M251" s="8">
        <v>1.2575024991407708</v>
      </c>
      <c r="N251" s="8">
        <v>1.2858234695934958</v>
      </c>
      <c r="O251" s="8">
        <v>1.4159234788065111</v>
      </c>
      <c r="P251" s="8">
        <f t="shared" si="28"/>
        <v>1.1593525347835831</v>
      </c>
      <c r="Q251" s="8">
        <f t="shared" si="29"/>
        <v>1.3508734742000035</v>
      </c>
      <c r="R251" s="8">
        <f t="shared" si="30"/>
        <v>1.1651964641213914</v>
      </c>
      <c r="S251" s="22">
        <f t="shared" si="31"/>
        <v>0.2205732286280826</v>
      </c>
      <c r="T251" s="25"/>
      <c r="U251" s="1" t="s">
        <v>714</v>
      </c>
    </row>
    <row r="252" spans="1:21">
      <c r="A252" s="6" t="s">
        <v>715</v>
      </c>
      <c r="B252" s="6" t="s">
        <v>716</v>
      </c>
      <c r="C252" s="7">
        <v>1.0503140557740531</v>
      </c>
      <c r="D252" s="7">
        <v>0.91611055848298106</v>
      </c>
      <c r="E252" s="7">
        <v>0.93089204455783237</v>
      </c>
      <c r="F252" s="8">
        <v>0.81418853014481241</v>
      </c>
      <c r="G252" s="8">
        <f t="shared" si="24"/>
        <v>0.98321230712851704</v>
      </c>
      <c r="H252" s="8">
        <f t="shared" si="25"/>
        <v>0.87254028735132239</v>
      </c>
      <c r="I252" s="8">
        <f t="shared" si="26"/>
        <v>0.88743832946882695</v>
      </c>
      <c r="J252" s="22">
        <f t="shared" si="27"/>
        <v>-0.17228122874703777</v>
      </c>
      <c r="K252" s="8"/>
      <c r="L252" s="8">
        <v>0.95223355667529408</v>
      </c>
      <c r="M252" s="8">
        <v>0.82063008616815147</v>
      </c>
      <c r="N252" s="8">
        <v>0.80623344902900407</v>
      </c>
      <c r="O252" s="8">
        <v>1.0037442505774981</v>
      </c>
      <c r="P252" s="8">
        <f t="shared" si="28"/>
        <v>0.88643182142172283</v>
      </c>
      <c r="Q252" s="8">
        <f t="shared" si="29"/>
        <v>0.90498884980325101</v>
      </c>
      <c r="R252" s="8">
        <f t="shared" si="30"/>
        <v>1.0209345241597545</v>
      </c>
      <c r="S252" s="22">
        <f t="shared" si="31"/>
        <v>2.9890344473283485E-2</v>
      </c>
      <c r="T252" s="25"/>
      <c r="U252" s="1" t="s">
        <v>717</v>
      </c>
    </row>
    <row r="253" spans="1:21">
      <c r="A253" s="6" t="s">
        <v>718</v>
      </c>
      <c r="B253" s="6" t="s">
        <v>719</v>
      </c>
      <c r="C253" s="7">
        <v>0.67506729878450389</v>
      </c>
      <c r="D253" s="7">
        <v>0.79799553026849301</v>
      </c>
      <c r="E253" s="7">
        <v>1.0909431797792448</v>
      </c>
      <c r="F253" s="8">
        <v>1.0824816162049617</v>
      </c>
      <c r="G253" s="8">
        <f t="shared" si="24"/>
        <v>0.73653141452649851</v>
      </c>
      <c r="H253" s="8">
        <f t="shared" si="25"/>
        <v>1.0867123979921032</v>
      </c>
      <c r="I253" s="8">
        <f t="shared" si="26"/>
        <v>1.4754460930776852</v>
      </c>
      <c r="J253" s="22">
        <f t="shared" si="27"/>
        <v>0.56115121140346691</v>
      </c>
      <c r="K253" s="8"/>
      <c r="L253" s="8">
        <v>0.4242205704143559</v>
      </c>
      <c r="M253" s="8">
        <v>0.42727203410709313</v>
      </c>
      <c r="N253" s="8">
        <v>0.47738530711138294</v>
      </c>
      <c r="O253" s="8">
        <v>0.49459733047282584</v>
      </c>
      <c r="P253" s="8">
        <f t="shared" si="28"/>
        <v>0.42574630226072452</v>
      </c>
      <c r="Q253" s="8">
        <f t="shared" si="29"/>
        <v>0.48599131879210439</v>
      </c>
      <c r="R253" s="8">
        <f t="shared" si="30"/>
        <v>1.1415044974236468</v>
      </c>
      <c r="S253" s="22">
        <f t="shared" si="31"/>
        <v>0.19093654366073995</v>
      </c>
      <c r="T253" s="25"/>
      <c r="U253" s="1" t="s">
        <v>720</v>
      </c>
    </row>
    <row r="254" spans="1:21">
      <c r="A254" s="6" t="s">
        <v>721</v>
      </c>
      <c r="B254" s="6" t="s">
        <v>722</v>
      </c>
      <c r="C254" s="7">
        <v>0.97243555310812479</v>
      </c>
      <c r="D254" s="7">
        <v>0.98112154392040085</v>
      </c>
      <c r="E254" s="7">
        <v>0.93155979551180934</v>
      </c>
      <c r="F254" s="8">
        <v>0.91110788177947599</v>
      </c>
      <c r="G254" s="8">
        <f t="shared" si="24"/>
        <v>0.97677854851426282</v>
      </c>
      <c r="H254" s="8">
        <f t="shared" si="25"/>
        <v>0.92133383864564267</v>
      </c>
      <c r="I254" s="8">
        <f t="shared" si="26"/>
        <v>0.94323717494312831</v>
      </c>
      <c r="J254" s="22">
        <f t="shared" si="27"/>
        <v>-8.430751583049452E-2</v>
      </c>
      <c r="K254" s="8"/>
      <c r="L254" s="8">
        <v>0.86608715381141188</v>
      </c>
      <c r="M254" s="8">
        <v>0.77321672081312032</v>
      </c>
      <c r="N254" s="8">
        <v>0.77545392003658309</v>
      </c>
      <c r="O254" s="8">
        <v>0.92230203544313849</v>
      </c>
      <c r="P254" s="8">
        <f t="shared" si="28"/>
        <v>0.81965193731226615</v>
      </c>
      <c r="Q254" s="8">
        <f t="shared" si="29"/>
        <v>0.84887797773986073</v>
      </c>
      <c r="R254" s="8">
        <f t="shared" si="30"/>
        <v>1.0356566477759208</v>
      </c>
      <c r="S254" s="22">
        <f t="shared" si="31"/>
        <v>5.0545784246249267E-2</v>
      </c>
      <c r="T254" s="25"/>
      <c r="U254" s="1" t="s">
        <v>723</v>
      </c>
    </row>
    <row r="255" spans="1:21">
      <c r="A255" s="6" t="s">
        <v>724</v>
      </c>
      <c r="B255" s="6" t="s">
        <v>725</v>
      </c>
      <c r="C255" s="7">
        <v>1.0206059628651971</v>
      </c>
      <c r="D255" s="7">
        <v>0.93643595314034189</v>
      </c>
      <c r="E255" s="7">
        <v>0.89482000312481313</v>
      </c>
      <c r="F255" s="8">
        <v>0.875896269820715</v>
      </c>
      <c r="G255" s="8">
        <f t="shared" si="24"/>
        <v>0.9785209580027695</v>
      </c>
      <c r="H255" s="8">
        <f t="shared" si="25"/>
        <v>0.88535813647276407</v>
      </c>
      <c r="I255" s="8">
        <f t="shared" si="26"/>
        <v>0.90479220627000434</v>
      </c>
      <c r="J255" s="22">
        <f t="shared" si="27"/>
        <v>-0.14434159264190291</v>
      </c>
      <c r="K255" s="8"/>
      <c r="L255" s="8">
        <v>0.72527717936458991</v>
      </c>
      <c r="M255" s="8">
        <v>0.90626105168134996</v>
      </c>
      <c r="N255" s="8">
        <v>0.76347929990891372</v>
      </c>
      <c r="O255" s="8">
        <v>0.73058457694057766</v>
      </c>
      <c r="P255" s="8">
        <f t="shared" si="28"/>
        <v>0.81576911552296993</v>
      </c>
      <c r="Q255" s="8">
        <f t="shared" si="29"/>
        <v>0.74703193842474569</v>
      </c>
      <c r="R255" s="8">
        <f t="shared" si="30"/>
        <v>0.91573942211068082</v>
      </c>
      <c r="S255" s="22">
        <f t="shared" si="31"/>
        <v>-0.12699096371640292</v>
      </c>
      <c r="T255" s="25"/>
      <c r="U255" s="1" t="s">
        <v>726</v>
      </c>
    </row>
    <row r="256" spans="1:21">
      <c r="A256" s="6" t="s">
        <v>727</v>
      </c>
      <c r="B256" s="6" t="s">
        <v>728</v>
      </c>
      <c r="C256" s="7">
        <v>0.37833383277090127</v>
      </c>
      <c r="D256" s="7">
        <v>0.37665826077314463</v>
      </c>
      <c r="E256" s="7">
        <v>0.62409757848062941</v>
      </c>
      <c r="F256" s="8">
        <v>0.64037366841470944</v>
      </c>
      <c r="G256" s="8">
        <f t="shared" si="24"/>
        <v>0.37749604677202298</v>
      </c>
      <c r="H256" s="8">
        <f t="shared" si="25"/>
        <v>0.63223562344766937</v>
      </c>
      <c r="I256" s="8">
        <f t="shared" si="26"/>
        <v>1.6748138923676954</v>
      </c>
      <c r="J256" s="22">
        <f t="shared" si="27"/>
        <v>0.74400079021190313</v>
      </c>
      <c r="K256" s="8"/>
      <c r="L256" s="8">
        <v>1.0725975972602422</v>
      </c>
      <c r="M256" s="8">
        <v>1.2080660654424293</v>
      </c>
      <c r="N256" s="8">
        <v>1.3127555574618641</v>
      </c>
      <c r="O256" s="8">
        <v>1.4067856267816321</v>
      </c>
      <c r="P256" s="8">
        <f t="shared" si="28"/>
        <v>1.1403318313513358</v>
      </c>
      <c r="Q256" s="8">
        <f t="shared" si="29"/>
        <v>1.3597705921217482</v>
      </c>
      <c r="R256" s="8">
        <f t="shared" si="30"/>
        <v>1.1924341272753645</v>
      </c>
      <c r="S256" s="22">
        <f t="shared" si="31"/>
        <v>0.25390957073555381</v>
      </c>
      <c r="T256" s="25"/>
      <c r="U256" s="1" t="s">
        <v>729</v>
      </c>
    </row>
    <row r="257" spans="1:21">
      <c r="A257" s="6" t="s">
        <v>730</v>
      </c>
      <c r="B257" s="6" t="s">
        <v>731</v>
      </c>
      <c r="C257" s="7">
        <v>1.1821696107381681</v>
      </c>
      <c r="D257" s="7">
        <v>1.1463772704949984</v>
      </c>
      <c r="E257" s="7">
        <v>0.96612096609946652</v>
      </c>
      <c r="F257" s="8">
        <v>1.0289351588961171</v>
      </c>
      <c r="G257" s="8">
        <f t="shared" si="24"/>
        <v>1.1642734406165833</v>
      </c>
      <c r="H257" s="8">
        <f t="shared" si="25"/>
        <v>0.9975280624977918</v>
      </c>
      <c r="I257" s="8">
        <f t="shared" si="26"/>
        <v>0.85678160103825318</v>
      </c>
      <c r="J257" s="22">
        <f t="shared" si="27"/>
        <v>-0.22300059563005048</v>
      </c>
      <c r="K257" s="8"/>
      <c r="L257" s="8">
        <v>0.44548043476436167</v>
      </c>
      <c r="M257" s="8">
        <v>0.41881193012597817</v>
      </c>
      <c r="N257" s="8">
        <v>0.48814949632362004</v>
      </c>
      <c r="O257" s="8">
        <v>0.5262693030250768</v>
      </c>
      <c r="P257" s="8">
        <f t="shared" si="28"/>
        <v>0.43214618244516989</v>
      </c>
      <c r="Q257" s="8">
        <f t="shared" si="29"/>
        <v>0.50720939967434842</v>
      </c>
      <c r="R257" s="8">
        <f t="shared" si="30"/>
        <v>1.1736986702149161</v>
      </c>
      <c r="S257" s="22">
        <f t="shared" si="31"/>
        <v>0.23106206535878152</v>
      </c>
      <c r="T257" s="25"/>
      <c r="U257" s="1" t="s">
        <v>732</v>
      </c>
    </row>
    <row r="258" spans="1:21">
      <c r="A258" s="6" t="s">
        <v>733</v>
      </c>
      <c r="B258" s="6" t="s">
        <v>734</v>
      </c>
      <c r="C258" s="7">
        <v>0.98637416799968436</v>
      </c>
      <c r="D258" s="7">
        <v>1.0195607617957205</v>
      </c>
      <c r="E258" s="7">
        <v>1.0578793901186876</v>
      </c>
      <c r="F258" s="8">
        <v>0.94266440042267519</v>
      </c>
      <c r="G258" s="8">
        <f t="shared" si="24"/>
        <v>1.0029674648977025</v>
      </c>
      <c r="H258" s="8">
        <f t="shared" si="25"/>
        <v>1.0002718952706813</v>
      </c>
      <c r="I258" s="8">
        <f t="shared" si="26"/>
        <v>0.99731240571467972</v>
      </c>
      <c r="J258" s="22">
        <f t="shared" si="27"/>
        <v>-3.8825987126086987E-3</v>
      </c>
      <c r="K258" s="8"/>
      <c r="L258" s="8">
        <v>0.75409031864445986</v>
      </c>
      <c r="M258" s="8">
        <v>0.86042935794017927</v>
      </c>
      <c r="N258" s="8">
        <v>0.96125506555543883</v>
      </c>
      <c r="O258" s="8">
        <v>0.88881136418690687</v>
      </c>
      <c r="P258" s="8">
        <f t="shared" si="28"/>
        <v>0.80725983829231951</v>
      </c>
      <c r="Q258" s="8">
        <f t="shared" si="29"/>
        <v>0.92503321487117285</v>
      </c>
      <c r="R258" s="8">
        <f t="shared" si="30"/>
        <v>1.1458927732958839</v>
      </c>
      <c r="S258" s="22">
        <f t="shared" si="31"/>
        <v>0.19647205048936259</v>
      </c>
      <c r="T258" s="25"/>
      <c r="U258" s="1" t="s">
        <v>735</v>
      </c>
    </row>
    <row r="259" spans="1:21">
      <c r="A259" s="6" t="s">
        <v>736</v>
      </c>
      <c r="B259" s="6" t="s">
        <v>737</v>
      </c>
      <c r="C259" s="7">
        <v>1.0302547451774751</v>
      </c>
      <c r="D259" s="7">
        <v>1.0157694964710315</v>
      </c>
      <c r="E259" s="7">
        <v>1.006975183556422</v>
      </c>
      <c r="F259" s="8">
        <v>0.89793898961727125</v>
      </c>
      <c r="G259" s="8">
        <f t="shared" si="24"/>
        <v>1.0230121208242533</v>
      </c>
      <c r="H259" s="8">
        <f t="shared" si="25"/>
        <v>0.95245708658684669</v>
      </c>
      <c r="I259" s="8">
        <f t="shared" si="26"/>
        <v>0.93103206423345253</v>
      </c>
      <c r="J259" s="22">
        <f t="shared" si="27"/>
        <v>-0.10309724062207209</v>
      </c>
      <c r="K259" s="8"/>
      <c r="L259" s="8">
        <v>1.0781648817990646</v>
      </c>
      <c r="M259" s="8">
        <v>0.85399232230237443</v>
      </c>
      <c r="N259" s="8">
        <v>0.80251569693160496</v>
      </c>
      <c r="O259" s="8">
        <v>0.96351108656504481</v>
      </c>
      <c r="P259" s="8">
        <f t="shared" si="28"/>
        <v>0.96607860205071949</v>
      </c>
      <c r="Q259" s="8">
        <f t="shared" si="29"/>
        <v>0.88301339174832494</v>
      </c>
      <c r="R259" s="8">
        <f t="shared" si="30"/>
        <v>0.91401816567920047</v>
      </c>
      <c r="S259" s="22">
        <f t="shared" si="31"/>
        <v>-0.12970525643677011</v>
      </c>
      <c r="T259" s="25"/>
      <c r="U259" s="1" t="s">
        <v>738</v>
      </c>
    </row>
    <row r="260" spans="1:21">
      <c r="A260" s="6" t="s">
        <v>739</v>
      </c>
      <c r="B260" s="6" t="s">
        <v>740</v>
      </c>
      <c r="C260" s="7">
        <v>1.1227868348315098</v>
      </c>
      <c r="D260" s="7">
        <v>1.1860736614206924</v>
      </c>
      <c r="E260" s="7">
        <v>1.1176936876931107</v>
      </c>
      <c r="F260" s="8">
        <v>1.2008301069893454</v>
      </c>
      <c r="G260" s="8">
        <f t="shared" si="24"/>
        <v>1.1544302481261011</v>
      </c>
      <c r="H260" s="8">
        <f t="shared" si="25"/>
        <v>1.1592618973412281</v>
      </c>
      <c r="I260" s="8">
        <f t="shared" si="26"/>
        <v>1.0041853106525664</v>
      </c>
      <c r="J260" s="22">
        <f t="shared" si="27"/>
        <v>6.0255263505429122E-3</v>
      </c>
      <c r="K260" s="8"/>
      <c r="L260" s="8">
        <v>0.58056033857473488</v>
      </c>
      <c r="M260" s="8">
        <v>0.60912748664027738</v>
      </c>
      <c r="N260" s="8">
        <v>0.65678846064866803</v>
      </c>
      <c r="O260" s="8">
        <v>0.67402748309727256</v>
      </c>
      <c r="P260" s="8">
        <f t="shared" si="28"/>
        <v>0.59484391260750613</v>
      </c>
      <c r="Q260" s="8">
        <f t="shared" si="29"/>
        <v>0.66540797187297029</v>
      </c>
      <c r="R260" s="8">
        <f t="shared" si="30"/>
        <v>1.1186261770018722</v>
      </c>
      <c r="S260" s="22">
        <f t="shared" si="31"/>
        <v>0.16172799637740448</v>
      </c>
      <c r="T260" s="25"/>
      <c r="U260" s="1" t="s">
        <v>741</v>
      </c>
    </row>
    <row r="261" spans="1:21">
      <c r="A261" s="6" t="s">
        <v>742</v>
      </c>
      <c r="B261" s="6" t="s">
        <v>743</v>
      </c>
      <c r="C261" s="7">
        <v>1.0957916267002055</v>
      </c>
      <c r="D261" s="7">
        <v>1.1482005005209339</v>
      </c>
      <c r="E261" s="7">
        <v>0.99482076720221468</v>
      </c>
      <c r="F261" s="8">
        <v>0.96696351356566135</v>
      </c>
      <c r="G261" s="8">
        <f t="shared" si="24"/>
        <v>1.1219960636105697</v>
      </c>
      <c r="H261" s="8">
        <f t="shared" si="25"/>
        <v>0.98089214038393802</v>
      </c>
      <c r="I261" s="8">
        <f t="shared" si="26"/>
        <v>0.87423848638776769</v>
      </c>
      <c r="J261" s="22">
        <f t="shared" si="27"/>
        <v>-0.1939012039536756</v>
      </c>
      <c r="K261" s="8"/>
      <c r="L261" s="8">
        <v>1.4291968227205984</v>
      </c>
      <c r="M261" s="8">
        <v>0.93594498173682728</v>
      </c>
      <c r="N261" s="8">
        <v>0.82317948184505607</v>
      </c>
      <c r="O261" s="8">
        <v>0.76837802317939807</v>
      </c>
      <c r="P261" s="8">
        <f t="shared" si="28"/>
        <v>1.1825709022287128</v>
      </c>
      <c r="Q261" s="8">
        <f t="shared" si="29"/>
        <v>0.79577875251222707</v>
      </c>
      <c r="R261" s="8">
        <f t="shared" si="30"/>
        <v>0.6729226560644066</v>
      </c>
      <c r="S261" s="22">
        <f t="shared" si="31"/>
        <v>-0.57148740004381293</v>
      </c>
      <c r="T261" s="25"/>
      <c r="U261" s="1" t="s">
        <v>744</v>
      </c>
    </row>
    <row r="262" spans="1:21">
      <c r="A262" s="6" t="s">
        <v>745</v>
      </c>
      <c r="B262" s="6" t="s">
        <v>746</v>
      </c>
      <c r="C262" s="7">
        <v>1.0773760837274644</v>
      </c>
      <c r="D262" s="7">
        <v>0.99820856611292308</v>
      </c>
      <c r="E262" s="7">
        <v>0.98348923586199921</v>
      </c>
      <c r="F262" s="8">
        <v>0.94858908236739459</v>
      </c>
      <c r="G262" s="8">
        <f t="shared" ref="G262:G325" si="32">AVERAGE(C262:D262)</f>
        <v>1.0377923249201937</v>
      </c>
      <c r="H262" s="8">
        <f t="shared" ref="H262:H325" si="33">AVERAGE(E262:F262)</f>
        <v>0.96603915911469684</v>
      </c>
      <c r="I262" s="8">
        <f t="shared" ref="I262:I325" si="34">H262/G262</f>
        <v>0.93085980298513515</v>
      </c>
      <c r="J262" s="22">
        <f t="shared" ref="J262:J325" si="35">LOG(I262,2)</f>
        <v>-0.10336419538326902</v>
      </c>
      <c r="K262" s="8"/>
      <c r="L262" s="8">
        <v>0.63375883527903698</v>
      </c>
      <c r="M262" s="8">
        <v>0.54644915105845182</v>
      </c>
      <c r="N262" s="8">
        <v>0.57067494695077114</v>
      </c>
      <c r="O262" s="8">
        <v>0.5743095639131548</v>
      </c>
      <c r="P262" s="8">
        <f t="shared" ref="P262:P325" si="36">AVERAGE(L262:M262)</f>
        <v>0.5901039931687444</v>
      </c>
      <c r="Q262" s="8">
        <f t="shared" ref="Q262:Q325" si="37">AVERAGE(N262:O262)</f>
        <v>0.57249225543196292</v>
      </c>
      <c r="R262" s="8">
        <f t="shared" ref="R262:R325" si="38">Q262/P262</f>
        <v>0.97015485754941289</v>
      </c>
      <c r="S262" s="22">
        <f t="shared" ref="S262:S325" si="39">LOG(R262,2)</f>
        <v>-4.3713044095906865E-2</v>
      </c>
      <c r="T262" s="25"/>
      <c r="U262" s="1" t="s">
        <v>747</v>
      </c>
    </row>
    <row r="263" spans="1:21">
      <c r="A263" s="6" t="s">
        <v>748</v>
      </c>
      <c r="B263" s="6" t="s">
        <v>749</v>
      </c>
      <c r="C263" s="7">
        <v>0.95031819199064549</v>
      </c>
      <c r="D263" s="7">
        <v>0.95508950510244039</v>
      </c>
      <c r="E263" s="7">
        <v>0.98505406638040993</v>
      </c>
      <c r="F263" s="8">
        <v>1.0192630166567422</v>
      </c>
      <c r="G263" s="8">
        <f t="shared" si="32"/>
        <v>0.95270384854654289</v>
      </c>
      <c r="H263" s="8">
        <f t="shared" si="33"/>
        <v>1.0021585415185761</v>
      </c>
      <c r="I263" s="8">
        <f t="shared" si="34"/>
        <v>1.0519098280619752</v>
      </c>
      <c r="J263" s="22">
        <f t="shared" si="35"/>
        <v>7.3011039056567389E-2</v>
      </c>
      <c r="K263" s="8"/>
      <c r="L263" s="8">
        <v>1.0591840228158282</v>
      </c>
      <c r="M263" s="8">
        <v>1.0050235698956702</v>
      </c>
      <c r="N263" s="8">
        <v>0.78077117012937491</v>
      </c>
      <c r="O263" s="8">
        <v>0.93853724826404028</v>
      </c>
      <c r="P263" s="8">
        <f t="shared" si="36"/>
        <v>1.0321037963557491</v>
      </c>
      <c r="Q263" s="8">
        <f t="shared" si="37"/>
        <v>0.85965420919670765</v>
      </c>
      <c r="R263" s="8">
        <f t="shared" si="38"/>
        <v>0.83291449196491385</v>
      </c>
      <c r="S263" s="22">
        <f t="shared" si="39"/>
        <v>-0.26375970055729236</v>
      </c>
      <c r="T263" s="25"/>
      <c r="U263" s="1" t="s">
        <v>750</v>
      </c>
    </row>
    <row r="264" spans="1:21">
      <c r="A264" s="6" t="s">
        <v>751</v>
      </c>
      <c r="B264" s="6" t="s">
        <v>752</v>
      </c>
      <c r="C264" s="7">
        <v>1.115176057093501</v>
      </c>
      <c r="D264" s="7">
        <v>0.92868887104457964</v>
      </c>
      <c r="E264" s="7">
        <v>0.85938198785011544</v>
      </c>
      <c r="F264" s="8">
        <v>0.91657732647009116</v>
      </c>
      <c r="G264" s="8">
        <f t="shared" si="32"/>
        <v>1.0219324640690404</v>
      </c>
      <c r="H264" s="8">
        <f t="shared" si="33"/>
        <v>0.8879796571601033</v>
      </c>
      <c r="I264" s="8">
        <f t="shared" si="34"/>
        <v>0.86892205540121936</v>
      </c>
      <c r="J264" s="22">
        <f t="shared" si="35"/>
        <v>-0.20270132559166573</v>
      </c>
      <c r="K264" s="8"/>
      <c r="L264" s="8">
        <v>0.92967140354427735</v>
      </c>
      <c r="M264" s="8">
        <v>0.85616252288883432</v>
      </c>
      <c r="N264" s="8">
        <v>0.89494074325997008</v>
      </c>
      <c r="O264" s="8">
        <v>0.99141258619440875</v>
      </c>
      <c r="P264" s="8">
        <f t="shared" si="36"/>
        <v>0.89291696321655589</v>
      </c>
      <c r="Q264" s="8">
        <f t="shared" si="37"/>
        <v>0.94317666472718942</v>
      </c>
      <c r="R264" s="8">
        <f t="shared" si="38"/>
        <v>1.0562870945239777</v>
      </c>
      <c r="S264" s="22">
        <f t="shared" si="39"/>
        <v>7.9002006621890455E-2</v>
      </c>
      <c r="T264" s="25"/>
      <c r="U264" s="1" t="s">
        <v>753</v>
      </c>
    </row>
    <row r="265" spans="1:21">
      <c r="A265" s="6" t="s">
        <v>754</v>
      </c>
      <c r="B265" s="6" t="s">
        <v>755</v>
      </c>
      <c r="C265" s="7">
        <v>1.0140709842631139</v>
      </c>
      <c r="D265" s="7">
        <v>0.97037304344259323</v>
      </c>
      <c r="E265" s="7">
        <v>1.059255361781428</v>
      </c>
      <c r="F265" s="8">
        <v>1.0314752508211917</v>
      </c>
      <c r="G265" s="8">
        <f t="shared" si="32"/>
        <v>0.99222201385285358</v>
      </c>
      <c r="H265" s="8">
        <f t="shared" si="33"/>
        <v>1.04536530630131</v>
      </c>
      <c r="I265" s="8">
        <f t="shared" si="34"/>
        <v>1.0535598804566912</v>
      </c>
      <c r="J265" s="22">
        <f t="shared" si="35"/>
        <v>7.5272313949092229E-2</v>
      </c>
      <c r="K265" s="8"/>
      <c r="L265" s="8">
        <v>0.26088100005604253</v>
      </c>
      <c r="M265" s="8">
        <v>0.29088044470720492</v>
      </c>
      <c r="N265" s="8">
        <v>0.32219077188274353</v>
      </c>
      <c r="O265" s="8">
        <v>0.31494538532350347</v>
      </c>
      <c r="P265" s="8">
        <f t="shared" si="36"/>
        <v>0.27588072238162376</v>
      </c>
      <c r="Q265" s="8">
        <f t="shared" si="37"/>
        <v>0.31856807860312353</v>
      </c>
      <c r="R265" s="8">
        <f t="shared" si="38"/>
        <v>1.1547312035904076</v>
      </c>
      <c r="S265" s="22">
        <f t="shared" si="39"/>
        <v>0.20755706256918838</v>
      </c>
      <c r="T265" s="25"/>
      <c r="U265" s="1" t="s">
        <v>756</v>
      </c>
    </row>
    <row r="266" spans="1:21">
      <c r="A266" s="6" t="s">
        <v>757</v>
      </c>
      <c r="B266" s="6" t="s">
        <v>758</v>
      </c>
      <c r="C266" s="7">
        <v>1.1854571459858418</v>
      </c>
      <c r="D266" s="7">
        <v>1.0864805440111955</v>
      </c>
      <c r="E266" s="7">
        <v>0.97959064948423458</v>
      </c>
      <c r="F266" s="8">
        <v>0.92759538754768733</v>
      </c>
      <c r="G266" s="8">
        <f t="shared" si="32"/>
        <v>1.1359688449985188</v>
      </c>
      <c r="H266" s="8">
        <f t="shared" si="33"/>
        <v>0.9535930185159609</v>
      </c>
      <c r="I266" s="8">
        <f t="shared" si="34"/>
        <v>0.83945349620675935</v>
      </c>
      <c r="J266" s="22">
        <f t="shared" si="35"/>
        <v>-0.25247768949896315</v>
      </c>
      <c r="K266" s="8"/>
      <c r="L266" s="8">
        <v>0.95249401443149628</v>
      </c>
      <c r="M266" s="8">
        <v>0.85263134905323856</v>
      </c>
      <c r="N266" s="8">
        <v>0.98810069407270484</v>
      </c>
      <c r="O266" s="8">
        <v>1.0789319165103626</v>
      </c>
      <c r="P266" s="8">
        <f t="shared" si="36"/>
        <v>0.90256268174236742</v>
      </c>
      <c r="Q266" s="8">
        <f t="shared" si="37"/>
        <v>1.0335163052915337</v>
      </c>
      <c r="R266" s="8">
        <f t="shared" si="38"/>
        <v>1.1450908908579787</v>
      </c>
      <c r="S266" s="22">
        <f t="shared" si="39"/>
        <v>0.19546211586443585</v>
      </c>
      <c r="T266" s="25"/>
      <c r="U266" s="1" t="s">
        <v>759</v>
      </c>
    </row>
    <row r="267" spans="1:21">
      <c r="A267" s="6" t="s">
        <v>760</v>
      </c>
      <c r="B267" s="6" t="s">
        <v>80</v>
      </c>
      <c r="C267" s="7">
        <v>1.4442636809714042</v>
      </c>
      <c r="D267" s="7">
        <v>1.0932205712550873</v>
      </c>
      <c r="E267" s="7">
        <v>0.92004615027505465</v>
      </c>
      <c r="F267" s="8">
        <v>1.3328093248314019</v>
      </c>
      <c r="G267" s="8">
        <f t="shared" si="32"/>
        <v>1.2687421261132457</v>
      </c>
      <c r="H267" s="8">
        <f t="shared" si="33"/>
        <v>1.1264277375532283</v>
      </c>
      <c r="I267" s="8">
        <f t="shared" si="34"/>
        <v>0.88783032766792946</v>
      </c>
      <c r="J267" s="22">
        <f t="shared" si="35"/>
        <v>-0.17164410392111307</v>
      </c>
      <c r="K267" s="8"/>
      <c r="L267" s="8">
        <v>1.0782625534576404</v>
      </c>
      <c r="M267" s="8">
        <v>1.4573448683990211</v>
      </c>
      <c r="N267" s="8">
        <v>1.2533147535790288</v>
      </c>
      <c r="O267" s="8">
        <v>1.0778673123909592</v>
      </c>
      <c r="P267" s="8">
        <f t="shared" si="36"/>
        <v>1.2678037109283307</v>
      </c>
      <c r="Q267" s="8">
        <f t="shared" si="37"/>
        <v>1.1655910329849939</v>
      </c>
      <c r="R267" s="8">
        <f t="shared" si="38"/>
        <v>0.91937815210487672</v>
      </c>
      <c r="S267" s="22">
        <f t="shared" si="39"/>
        <v>-0.12126971220497591</v>
      </c>
      <c r="T267" s="25"/>
      <c r="U267" s="1">
        <v>0</v>
      </c>
    </row>
    <row r="268" spans="1:21">
      <c r="A268" s="6" t="s">
        <v>761</v>
      </c>
      <c r="B268" s="6" t="s">
        <v>80</v>
      </c>
      <c r="C268" s="7">
        <v>2.1143128111156582</v>
      </c>
      <c r="D268" s="7">
        <v>2.2186932260014531</v>
      </c>
      <c r="E268" s="7">
        <v>2.0042915856371364</v>
      </c>
      <c r="F268" s="8">
        <v>1.8796482316310927</v>
      </c>
      <c r="G268" s="8">
        <f t="shared" si="32"/>
        <v>2.1665030185585556</v>
      </c>
      <c r="H268" s="8">
        <f t="shared" si="33"/>
        <v>1.9419699086341145</v>
      </c>
      <c r="I268" s="8">
        <f t="shared" si="34"/>
        <v>0.89636150607635423</v>
      </c>
      <c r="J268" s="22">
        <f t="shared" si="35"/>
        <v>-0.15784740073026116</v>
      </c>
      <c r="K268" s="8"/>
      <c r="L268" s="8">
        <v>1.6069592413286093</v>
      </c>
      <c r="M268" s="8">
        <v>1.6992302761373344</v>
      </c>
      <c r="N268" s="8">
        <v>1.7083070887549143</v>
      </c>
      <c r="O268" s="8">
        <v>1.9258244934957609</v>
      </c>
      <c r="P268" s="8">
        <f t="shared" si="36"/>
        <v>1.6530947587329718</v>
      </c>
      <c r="Q268" s="8">
        <f t="shared" si="37"/>
        <v>1.8170657911253376</v>
      </c>
      <c r="R268" s="8">
        <f t="shared" si="38"/>
        <v>1.0991903407388712</v>
      </c>
      <c r="S268" s="22">
        <f t="shared" si="39"/>
        <v>0.13644123147629422</v>
      </c>
      <c r="T268" s="25"/>
      <c r="U268" s="1">
        <v>0</v>
      </c>
    </row>
    <row r="269" spans="1:21">
      <c r="A269" s="6" t="s">
        <v>762</v>
      </c>
      <c r="B269" s="6" t="s">
        <v>763</v>
      </c>
      <c r="C269" s="7">
        <v>0.153104258394201</v>
      </c>
      <c r="D269" s="7">
        <v>0.18845748051475189</v>
      </c>
      <c r="E269" s="7">
        <v>0.20515467693094874</v>
      </c>
      <c r="F269" s="8">
        <v>0.2447197134671846</v>
      </c>
      <c r="G269" s="8">
        <f t="shared" si="32"/>
        <v>0.17078086945447646</v>
      </c>
      <c r="H269" s="8">
        <f t="shared" si="33"/>
        <v>0.22493719519906669</v>
      </c>
      <c r="I269" s="8">
        <f t="shared" si="34"/>
        <v>1.3171100247795975</v>
      </c>
      <c r="J269" s="22">
        <f t="shared" si="35"/>
        <v>0.39737586615165482</v>
      </c>
      <c r="K269" s="8"/>
      <c r="L269" s="8">
        <v>0.7440952522501999</v>
      </c>
      <c r="M269" s="8">
        <v>0.54291797722285595</v>
      </c>
      <c r="N269" s="8">
        <v>0.52813694620843665</v>
      </c>
      <c r="O269" s="8">
        <v>0.62900360054750404</v>
      </c>
      <c r="P269" s="8">
        <f t="shared" si="36"/>
        <v>0.64350661473652793</v>
      </c>
      <c r="Q269" s="8">
        <f t="shared" si="37"/>
        <v>0.57857027337797029</v>
      </c>
      <c r="R269" s="8">
        <f t="shared" si="38"/>
        <v>0.89908986190430285</v>
      </c>
      <c r="S269" s="22">
        <f t="shared" si="39"/>
        <v>-0.15346277798555411</v>
      </c>
      <c r="T269" s="25"/>
      <c r="U269" s="1" t="s">
        <v>764</v>
      </c>
    </row>
    <row r="270" spans="1:21">
      <c r="A270" s="6" t="s">
        <v>765</v>
      </c>
      <c r="B270" s="6" t="s">
        <v>766</v>
      </c>
      <c r="C270" s="7">
        <v>1.1315736414386051</v>
      </c>
      <c r="D270" s="7">
        <v>1.0751264942106944</v>
      </c>
      <c r="E270" s="7">
        <v>1.0448211492409154</v>
      </c>
      <c r="F270" s="8">
        <v>0.99310996629051984</v>
      </c>
      <c r="G270" s="8">
        <f t="shared" si="32"/>
        <v>1.1033500678246497</v>
      </c>
      <c r="H270" s="8">
        <f t="shared" si="33"/>
        <v>1.0189655577657177</v>
      </c>
      <c r="I270" s="8">
        <f t="shared" si="34"/>
        <v>0.92351973093607242</v>
      </c>
      <c r="J270" s="22">
        <f t="shared" si="35"/>
        <v>-0.11478531026921304</v>
      </c>
      <c r="K270" s="8"/>
      <c r="L270" s="8">
        <v>0.92752262705560906</v>
      </c>
      <c r="M270" s="8">
        <v>0.76368990806916903</v>
      </c>
      <c r="N270" s="8">
        <v>0.80433134330475331</v>
      </c>
      <c r="O270" s="8">
        <v>0.82835072190578918</v>
      </c>
      <c r="P270" s="8">
        <f t="shared" si="36"/>
        <v>0.84560626756238899</v>
      </c>
      <c r="Q270" s="8">
        <f t="shared" si="37"/>
        <v>0.81634103260527124</v>
      </c>
      <c r="R270" s="8">
        <f t="shared" si="38"/>
        <v>0.96539141669150585</v>
      </c>
      <c r="S270" s="22">
        <f t="shared" si="39"/>
        <v>-5.0814095069470822E-2</v>
      </c>
      <c r="T270" s="25"/>
      <c r="U270" s="1" t="s">
        <v>767</v>
      </c>
    </row>
    <row r="271" spans="1:21">
      <c r="A271" s="6" t="s">
        <v>768</v>
      </c>
      <c r="B271" s="6" t="s">
        <v>769</v>
      </c>
      <c r="C271" s="7">
        <v>0.95774855620896482</v>
      </c>
      <c r="D271" s="7">
        <v>0.96176371176777842</v>
      </c>
      <c r="E271" s="7">
        <v>0.88645625380227311</v>
      </c>
      <c r="F271" s="8">
        <v>1.0574567625119544</v>
      </c>
      <c r="G271" s="8">
        <f t="shared" si="32"/>
        <v>0.95975613398837156</v>
      </c>
      <c r="H271" s="8">
        <f t="shared" si="33"/>
        <v>0.97195650815711376</v>
      </c>
      <c r="I271" s="8">
        <f t="shared" si="34"/>
        <v>1.012711952272753</v>
      </c>
      <c r="J271" s="22">
        <f t="shared" si="35"/>
        <v>1.8223883791528433E-2</v>
      </c>
      <c r="K271" s="8"/>
      <c r="L271" s="8">
        <v>0.88829117752765063</v>
      </c>
      <c r="M271" s="8">
        <v>1.0924201223266665</v>
      </c>
      <c r="N271" s="8">
        <v>0.7857858124933087</v>
      </c>
      <c r="O271" s="8">
        <v>0.81322447170926604</v>
      </c>
      <c r="P271" s="8">
        <f t="shared" si="36"/>
        <v>0.99035564992715863</v>
      </c>
      <c r="Q271" s="8">
        <f t="shared" si="37"/>
        <v>0.79950514210128731</v>
      </c>
      <c r="R271" s="8">
        <f t="shared" si="38"/>
        <v>0.80729093852303613</v>
      </c>
      <c r="S271" s="22">
        <f t="shared" si="39"/>
        <v>-0.30883939669864952</v>
      </c>
      <c r="T271" s="25"/>
      <c r="U271" s="1" t="s">
        <v>770</v>
      </c>
    </row>
    <row r="272" spans="1:21">
      <c r="A272" s="6" t="s">
        <v>771</v>
      </c>
      <c r="B272" s="9" t="s">
        <v>772</v>
      </c>
      <c r="C272" s="10">
        <v>0.15053837722528496</v>
      </c>
      <c r="D272" s="10">
        <v>0.16934318450277791</v>
      </c>
      <c r="E272" s="10">
        <v>0.28593905244390155</v>
      </c>
      <c r="F272" s="8">
        <v>0.29893253255377622</v>
      </c>
      <c r="G272" s="8">
        <f t="shared" si="32"/>
        <v>0.15994078086403143</v>
      </c>
      <c r="H272" s="8">
        <f t="shared" si="33"/>
        <v>0.29243579249883889</v>
      </c>
      <c r="I272" s="8">
        <f t="shared" si="34"/>
        <v>1.828400429953158</v>
      </c>
      <c r="J272" s="22">
        <f t="shared" si="35"/>
        <v>0.87058206330814925</v>
      </c>
      <c r="K272" s="8"/>
      <c r="L272" s="8">
        <v>0.56701653525221973</v>
      </c>
      <c r="M272" s="8">
        <v>0.67048163203375466</v>
      </c>
      <c r="N272" s="8">
        <v>0.68657370710341248</v>
      </c>
      <c r="O272" s="8">
        <v>0.71807547853758791</v>
      </c>
      <c r="P272" s="8">
        <f t="shared" si="36"/>
        <v>0.6187490836429872</v>
      </c>
      <c r="Q272" s="8">
        <f t="shared" si="37"/>
        <v>0.70232459282050019</v>
      </c>
      <c r="R272" s="8">
        <f t="shared" si="38"/>
        <v>1.1350717300225293</v>
      </c>
      <c r="S272" s="22">
        <f t="shared" si="39"/>
        <v>0.18278347044826254</v>
      </c>
      <c r="T272" s="25"/>
      <c r="U272" s="1" t="s">
        <v>773</v>
      </c>
    </row>
    <row r="273" spans="1:21">
      <c r="A273" s="6" t="s">
        <v>774</v>
      </c>
      <c r="B273" s="6" t="s">
        <v>775</v>
      </c>
      <c r="C273" s="7">
        <v>0.94873456220670505</v>
      </c>
      <c r="D273" s="7">
        <v>1.0541231475942314</v>
      </c>
      <c r="E273" s="7">
        <v>0.94286434701550048</v>
      </c>
      <c r="F273" s="8">
        <v>0.95476447468393955</v>
      </c>
      <c r="G273" s="8">
        <f t="shared" si="32"/>
        <v>1.0014288549004682</v>
      </c>
      <c r="H273" s="8">
        <f t="shared" si="33"/>
        <v>0.94881441084972007</v>
      </c>
      <c r="I273" s="8">
        <f t="shared" si="34"/>
        <v>0.94746062708970225</v>
      </c>
      <c r="J273" s="22">
        <f t="shared" si="35"/>
        <v>-7.7862103353160739E-2</v>
      </c>
      <c r="K273" s="8"/>
      <c r="L273" s="8">
        <v>0.87360787152175079</v>
      </c>
      <c r="M273" s="8">
        <v>0.64009882382331573</v>
      </c>
      <c r="N273" s="8">
        <v>0.80675220513561796</v>
      </c>
      <c r="O273" s="8">
        <v>0.95690166932374876</v>
      </c>
      <c r="P273" s="8">
        <f t="shared" si="36"/>
        <v>0.75685334767253321</v>
      </c>
      <c r="Q273" s="8">
        <f t="shared" si="37"/>
        <v>0.88182693722968342</v>
      </c>
      <c r="R273" s="8">
        <f t="shared" si="38"/>
        <v>1.1651225959975833</v>
      </c>
      <c r="S273" s="22">
        <f t="shared" si="39"/>
        <v>0.22048176546515585</v>
      </c>
      <c r="T273" s="25"/>
      <c r="U273" s="1" t="s">
        <v>776</v>
      </c>
    </row>
    <row r="274" spans="1:21">
      <c r="A274" s="6" t="s">
        <v>777</v>
      </c>
      <c r="B274" s="6" t="s">
        <v>778</v>
      </c>
      <c r="C274" s="7">
        <v>0.92204004327488331</v>
      </c>
      <c r="D274" s="7">
        <v>0.92244249813984025</v>
      </c>
      <c r="E274" s="7">
        <v>0.94483387508177608</v>
      </c>
      <c r="F274" s="8">
        <v>0.85024464019814372</v>
      </c>
      <c r="G274" s="8">
        <f t="shared" si="32"/>
        <v>0.92224127070736173</v>
      </c>
      <c r="H274" s="8">
        <f t="shared" si="33"/>
        <v>0.8975392576399599</v>
      </c>
      <c r="I274" s="8">
        <f t="shared" si="34"/>
        <v>0.97321523786453912</v>
      </c>
      <c r="J274" s="22">
        <f t="shared" si="35"/>
        <v>-3.9169185811696081E-2</v>
      </c>
      <c r="K274" s="8"/>
      <c r="L274" s="8">
        <v>0.77600132738497107</v>
      </c>
      <c r="M274" s="8">
        <v>0.91361766383884124</v>
      </c>
      <c r="N274" s="8">
        <v>0.88253382637678912</v>
      </c>
      <c r="O274" s="8">
        <v>1.0589705892715491</v>
      </c>
      <c r="P274" s="8">
        <f t="shared" si="36"/>
        <v>0.8448094956119061</v>
      </c>
      <c r="Q274" s="8">
        <f t="shared" si="37"/>
        <v>0.97075220782416904</v>
      </c>
      <c r="R274" s="8">
        <f t="shared" si="38"/>
        <v>1.1490782393740036</v>
      </c>
      <c r="S274" s="22">
        <f t="shared" si="39"/>
        <v>0.20047703272206679</v>
      </c>
      <c r="T274" s="25"/>
      <c r="U274" s="1" t="s">
        <v>779</v>
      </c>
    </row>
    <row r="275" spans="1:21">
      <c r="A275" s="6" t="s">
        <v>780</v>
      </c>
      <c r="B275" s="6" t="s">
        <v>781</v>
      </c>
      <c r="C275" s="7">
        <v>0.9951877025356225</v>
      </c>
      <c r="D275" s="7">
        <v>0.96075665691590795</v>
      </c>
      <c r="E275" s="7">
        <v>0.94465850614436797</v>
      </c>
      <c r="F275" s="8">
        <v>0.85693464854106738</v>
      </c>
      <c r="G275" s="8">
        <f t="shared" si="32"/>
        <v>0.97797217972576522</v>
      </c>
      <c r="H275" s="8">
        <f t="shared" si="33"/>
        <v>0.90079657734271767</v>
      </c>
      <c r="I275" s="8">
        <f t="shared" si="34"/>
        <v>0.92108609632976624</v>
      </c>
      <c r="J275" s="22">
        <f t="shared" si="35"/>
        <v>-0.1185920797839332</v>
      </c>
      <c r="K275" s="8"/>
      <c r="L275" s="8">
        <v>0.87696126513285433</v>
      </c>
      <c r="M275" s="8">
        <v>0.9273745285733499</v>
      </c>
      <c r="N275" s="8">
        <v>0.77260076145020706</v>
      </c>
      <c r="O275" s="8">
        <v>0.78820627490328632</v>
      </c>
      <c r="P275" s="8">
        <f t="shared" si="36"/>
        <v>0.90216789685310217</v>
      </c>
      <c r="Q275" s="8">
        <f t="shared" si="37"/>
        <v>0.78040351817674669</v>
      </c>
      <c r="R275" s="8">
        <f t="shared" si="38"/>
        <v>0.86503135491621019</v>
      </c>
      <c r="S275" s="22">
        <f t="shared" si="39"/>
        <v>-0.20917566761512876</v>
      </c>
      <c r="T275" s="25"/>
      <c r="U275" s="1" t="s">
        <v>782</v>
      </c>
    </row>
    <row r="276" spans="1:21">
      <c r="A276" s="6" t="s">
        <v>783</v>
      </c>
      <c r="B276" s="6" t="s">
        <v>784</v>
      </c>
      <c r="C276" s="7">
        <v>0.96870032505233306</v>
      </c>
      <c r="D276" s="7">
        <v>0.89542973270143067</v>
      </c>
      <c r="E276" s="7">
        <v>0.84227677149369495</v>
      </c>
      <c r="F276" s="8">
        <v>0.77808623660193432</v>
      </c>
      <c r="G276" s="8">
        <f t="shared" si="32"/>
        <v>0.93206502887688192</v>
      </c>
      <c r="H276" s="8">
        <f t="shared" si="33"/>
        <v>0.81018150404781464</v>
      </c>
      <c r="I276" s="8">
        <f t="shared" si="34"/>
        <v>0.8692328098867369</v>
      </c>
      <c r="J276" s="22">
        <f t="shared" si="35"/>
        <v>-0.20218546366368662</v>
      </c>
      <c r="K276" s="8"/>
      <c r="L276" s="8">
        <v>0.79586123129538988</v>
      </c>
      <c r="M276" s="8">
        <v>1.2457687027495723</v>
      </c>
      <c r="N276" s="8">
        <v>0.84859853106913408</v>
      </c>
      <c r="O276" s="8">
        <v>0.91085754115955209</v>
      </c>
      <c r="P276" s="8">
        <f t="shared" si="36"/>
        <v>1.0208149670224811</v>
      </c>
      <c r="Q276" s="8">
        <f t="shared" si="37"/>
        <v>0.87972803611434314</v>
      </c>
      <c r="R276" s="8">
        <f t="shared" si="38"/>
        <v>0.86178990760719243</v>
      </c>
      <c r="S276" s="22">
        <f t="shared" si="39"/>
        <v>-0.21459189169354703</v>
      </c>
      <c r="T276" s="25"/>
      <c r="U276" s="1" t="s">
        <v>785</v>
      </c>
    </row>
    <row r="277" spans="1:21">
      <c r="A277" s="6" t="s">
        <v>786</v>
      </c>
      <c r="B277" s="6" t="s">
        <v>787</v>
      </c>
      <c r="C277" s="7">
        <v>0.83687149801706084</v>
      </c>
      <c r="D277" s="7">
        <v>0.96864196222663279</v>
      </c>
      <c r="E277" s="7">
        <v>0.90725096280339468</v>
      </c>
      <c r="F277" s="8">
        <v>0.82208590685731697</v>
      </c>
      <c r="G277" s="8">
        <f t="shared" si="32"/>
        <v>0.90275673012184687</v>
      </c>
      <c r="H277" s="8">
        <f t="shared" si="33"/>
        <v>0.86466843483035583</v>
      </c>
      <c r="I277" s="8">
        <f t="shared" si="34"/>
        <v>0.95780890463552659</v>
      </c>
      <c r="J277" s="22">
        <f t="shared" si="35"/>
        <v>-6.2190246686806033E-2</v>
      </c>
      <c r="K277" s="8"/>
      <c r="L277" s="8">
        <v>1.0419286964674315</v>
      </c>
      <c r="M277" s="8">
        <v>0.88886266392888313</v>
      </c>
      <c r="N277" s="8">
        <v>0.77804770056965233</v>
      </c>
      <c r="O277" s="8">
        <v>0.99141258619440875</v>
      </c>
      <c r="P277" s="8">
        <f t="shared" si="36"/>
        <v>0.96539568019815736</v>
      </c>
      <c r="Q277" s="8">
        <f t="shared" si="37"/>
        <v>0.88473014338203049</v>
      </c>
      <c r="R277" s="8">
        <f t="shared" si="38"/>
        <v>0.9164430311107572</v>
      </c>
      <c r="S277" s="22">
        <f t="shared" si="39"/>
        <v>-0.12588289365138147</v>
      </c>
      <c r="T277" s="25"/>
      <c r="U277" s="1" t="s">
        <v>788</v>
      </c>
    </row>
    <row r="278" spans="1:21">
      <c r="A278" s="6" t="s">
        <v>789</v>
      </c>
      <c r="B278" s="6" t="s">
        <v>790</v>
      </c>
      <c r="C278" s="7">
        <v>0.84741566594557516</v>
      </c>
      <c r="D278" s="7">
        <v>1.0518062632291436</v>
      </c>
      <c r="E278" s="7">
        <v>0.93218033175186876</v>
      </c>
      <c r="F278" s="8">
        <v>0.9164981547737252</v>
      </c>
      <c r="G278" s="8">
        <f t="shared" si="32"/>
        <v>0.94961096458735939</v>
      </c>
      <c r="H278" s="8">
        <f t="shared" si="33"/>
        <v>0.92433924326279704</v>
      </c>
      <c r="I278" s="8">
        <f t="shared" si="34"/>
        <v>0.97338728988292189</v>
      </c>
      <c r="J278" s="22">
        <f t="shared" si="35"/>
        <v>-3.8914158305254534E-2</v>
      </c>
      <c r="K278" s="8"/>
      <c r="L278" s="8">
        <v>0.79413569866055023</v>
      </c>
      <c r="M278" s="8">
        <v>0.79260139384810979</v>
      </c>
      <c r="N278" s="8">
        <v>0.80623344902900407</v>
      </c>
      <c r="O278" s="8">
        <v>0.89213825206004238</v>
      </c>
      <c r="P278" s="8">
        <f t="shared" si="36"/>
        <v>0.79336854625433006</v>
      </c>
      <c r="Q278" s="8">
        <f t="shared" si="37"/>
        <v>0.84918585054452322</v>
      </c>
      <c r="R278" s="8">
        <f t="shared" si="38"/>
        <v>1.0703548238126142</v>
      </c>
      <c r="S278" s="22">
        <f t="shared" si="39"/>
        <v>9.8089130922999618E-2</v>
      </c>
      <c r="T278" s="25"/>
      <c r="U278" s="1" t="s">
        <v>791</v>
      </c>
    </row>
    <row r="279" spans="1:21">
      <c r="A279" s="6" t="s">
        <v>792</v>
      </c>
      <c r="B279" s="6" t="s">
        <v>793</v>
      </c>
      <c r="C279" s="7">
        <v>1.0458571736395035</v>
      </c>
      <c r="D279" s="7">
        <v>1.0015654156191582</v>
      </c>
      <c r="E279" s="7">
        <v>0.89461090939174959</v>
      </c>
      <c r="F279" s="8">
        <v>0.88967874262975599</v>
      </c>
      <c r="G279" s="8">
        <f t="shared" si="32"/>
        <v>1.0237112946293307</v>
      </c>
      <c r="H279" s="8">
        <f t="shared" si="33"/>
        <v>0.89214482601075273</v>
      </c>
      <c r="I279" s="8">
        <f t="shared" si="34"/>
        <v>0.87148088595992668</v>
      </c>
      <c r="J279" s="22">
        <f t="shared" si="35"/>
        <v>-0.19845907257108908</v>
      </c>
      <c r="K279" s="8"/>
      <c r="L279" s="8">
        <v>0.65104671884695897</v>
      </c>
      <c r="M279" s="8">
        <v>0.58257011675173387</v>
      </c>
      <c r="N279" s="8">
        <v>0.54880073112188776</v>
      </c>
      <c r="O279" s="8">
        <v>1.2015388242616531</v>
      </c>
      <c r="P279" s="8">
        <f t="shared" si="36"/>
        <v>0.61680841779934648</v>
      </c>
      <c r="Q279" s="8">
        <f t="shared" si="37"/>
        <v>0.8751697776917704</v>
      </c>
      <c r="R279" s="8">
        <f t="shared" si="38"/>
        <v>1.4188680835683265</v>
      </c>
      <c r="S279" s="22">
        <f t="shared" si="39"/>
        <v>0.5047404639378581</v>
      </c>
      <c r="T279" s="25"/>
      <c r="U279" s="1" t="s">
        <v>794</v>
      </c>
    </row>
    <row r="280" spans="1:21">
      <c r="A280" s="6" t="s">
        <v>795</v>
      </c>
      <c r="B280" s="6" t="s">
        <v>796</v>
      </c>
      <c r="C280" s="7">
        <v>0.95428728942381247</v>
      </c>
      <c r="D280" s="7">
        <v>0.95539227976378716</v>
      </c>
      <c r="E280" s="7">
        <v>0.95487037426882404</v>
      </c>
      <c r="F280" s="8">
        <v>1.0471512467016519</v>
      </c>
      <c r="G280" s="8">
        <f t="shared" si="32"/>
        <v>0.95483978459379981</v>
      </c>
      <c r="H280" s="8">
        <f t="shared" si="33"/>
        <v>1.001010810485238</v>
      </c>
      <c r="I280" s="8">
        <f t="shared" si="34"/>
        <v>1.048354736193863</v>
      </c>
      <c r="J280" s="22">
        <f t="shared" si="35"/>
        <v>6.8126970264695483E-2</v>
      </c>
      <c r="K280" s="8"/>
      <c r="L280" s="8">
        <v>0.82607433101484673</v>
      </c>
      <c r="M280" s="8">
        <v>0.73179899436644436</v>
      </c>
      <c r="N280" s="8">
        <v>0.91318366634255665</v>
      </c>
      <c r="O280" s="8">
        <v>0.87976222917197799</v>
      </c>
      <c r="P280" s="8">
        <f t="shared" si="36"/>
        <v>0.77893666269064554</v>
      </c>
      <c r="Q280" s="8">
        <f t="shared" si="37"/>
        <v>0.89647294775726727</v>
      </c>
      <c r="R280" s="8">
        <f t="shared" si="38"/>
        <v>1.1508932506278771</v>
      </c>
      <c r="S280" s="22">
        <f t="shared" si="39"/>
        <v>0.20275402466745615</v>
      </c>
      <c r="T280" s="25"/>
      <c r="U280" s="1" t="s">
        <v>797</v>
      </c>
    </row>
    <row r="281" spans="1:21">
      <c r="A281" s="6" t="s">
        <v>798</v>
      </c>
      <c r="B281" s="6" t="s">
        <v>799</v>
      </c>
      <c r="C281" s="7">
        <v>1.0798484171454303</v>
      </c>
      <c r="D281" s="7">
        <v>1.1131905347882585</v>
      </c>
      <c r="E281" s="7">
        <v>0.92665621022351374</v>
      </c>
      <c r="F281" s="8">
        <v>0.97601547751683615</v>
      </c>
      <c r="G281" s="8">
        <f t="shared" si="32"/>
        <v>1.0965194759668444</v>
      </c>
      <c r="H281" s="8">
        <f t="shared" si="33"/>
        <v>0.95133584387017489</v>
      </c>
      <c r="I281" s="8">
        <f t="shared" si="34"/>
        <v>0.8675959385320946</v>
      </c>
      <c r="J281" s="22">
        <f t="shared" si="35"/>
        <v>-0.2049047955347604</v>
      </c>
      <c r="K281" s="8"/>
      <c r="L281" s="8">
        <v>1.1740458933010045</v>
      </c>
      <c r="M281" s="8">
        <v>0.79113007141661151</v>
      </c>
      <c r="N281" s="8">
        <v>0.97249478119873867</v>
      </c>
      <c r="O281" s="8">
        <v>0.94634434513966514</v>
      </c>
      <c r="P281" s="8">
        <f t="shared" si="36"/>
        <v>0.98258798235880795</v>
      </c>
      <c r="Q281" s="8">
        <f t="shared" si="37"/>
        <v>0.95941956316920196</v>
      </c>
      <c r="R281" s="8">
        <f t="shared" si="38"/>
        <v>0.9764210232512841</v>
      </c>
      <c r="S281" s="22">
        <f t="shared" si="39"/>
        <v>-3.4424736870046276E-2</v>
      </c>
      <c r="T281" s="25"/>
      <c r="U281" s="1" t="s">
        <v>800</v>
      </c>
    </row>
    <row r="282" spans="1:21">
      <c r="A282" s="6" t="s">
        <v>801</v>
      </c>
      <c r="B282" s="6" t="s">
        <v>802</v>
      </c>
      <c r="C282" s="7">
        <v>0.96081558604368478</v>
      </c>
      <c r="D282" s="7">
        <v>1.0347192410366213</v>
      </c>
      <c r="E282" s="7">
        <v>1.14240721794939</v>
      </c>
      <c r="F282" s="8">
        <v>1.0588884506879055</v>
      </c>
      <c r="G282" s="8">
        <f t="shared" si="32"/>
        <v>0.99776741354015308</v>
      </c>
      <c r="H282" s="8">
        <f t="shared" si="33"/>
        <v>1.1006478343186479</v>
      </c>
      <c r="I282" s="8">
        <f t="shared" si="34"/>
        <v>1.1031106241618649</v>
      </c>
      <c r="J282" s="22">
        <f t="shared" si="35"/>
        <v>0.14157747717314098</v>
      </c>
      <c r="K282" s="8"/>
      <c r="L282" s="8">
        <v>1.3411621011242501</v>
      </c>
      <c r="M282" s="8">
        <v>1.0273876708544438</v>
      </c>
      <c r="N282" s="8">
        <v>0.85672571007275078</v>
      </c>
      <c r="O282" s="8">
        <v>0.84964280429385708</v>
      </c>
      <c r="P282" s="8">
        <f t="shared" si="36"/>
        <v>1.184274885989347</v>
      </c>
      <c r="Q282" s="8">
        <f t="shared" si="37"/>
        <v>0.85318425718330393</v>
      </c>
      <c r="R282" s="8">
        <f t="shared" si="38"/>
        <v>0.72042755214770182</v>
      </c>
      <c r="S282" s="22">
        <f t="shared" si="39"/>
        <v>-0.47307473792585614</v>
      </c>
      <c r="T282" s="25"/>
      <c r="U282" s="1" t="s">
        <v>803</v>
      </c>
    </row>
    <row r="283" spans="1:21">
      <c r="A283" s="6" t="s">
        <v>804</v>
      </c>
      <c r="B283" s="6" t="s">
        <v>805</v>
      </c>
      <c r="C283" s="7">
        <v>1.0132758283800385</v>
      </c>
      <c r="D283" s="7">
        <v>1.1696777553029833</v>
      </c>
      <c r="E283" s="7">
        <v>0.97025562604681892</v>
      </c>
      <c r="F283" s="8">
        <v>1.0225750326213849</v>
      </c>
      <c r="G283" s="8">
        <f t="shared" si="32"/>
        <v>1.0914767918415109</v>
      </c>
      <c r="H283" s="8">
        <f t="shared" si="33"/>
        <v>0.99641532933410193</v>
      </c>
      <c r="I283" s="8">
        <f t="shared" si="34"/>
        <v>0.91290564928364282</v>
      </c>
      <c r="J283" s="22">
        <f t="shared" si="35"/>
        <v>-0.13146233253597986</v>
      </c>
      <c r="K283" s="8"/>
      <c r="L283" s="8">
        <v>1.260452753921089</v>
      </c>
      <c r="M283" s="8">
        <v>0.84696675769197027</v>
      </c>
      <c r="N283" s="8">
        <v>0.85910334222806428</v>
      </c>
      <c r="O283" s="8">
        <v>0.99930840007998389</v>
      </c>
      <c r="P283" s="8">
        <f t="shared" si="36"/>
        <v>1.0537097558065296</v>
      </c>
      <c r="Q283" s="8">
        <f t="shared" si="37"/>
        <v>0.92920587115402409</v>
      </c>
      <c r="R283" s="8">
        <f t="shared" si="38"/>
        <v>0.88184233469755835</v>
      </c>
      <c r="S283" s="22">
        <f t="shared" si="39"/>
        <v>-0.18140735665885585</v>
      </c>
      <c r="T283" s="25"/>
      <c r="U283" s="1" t="s">
        <v>806</v>
      </c>
    </row>
    <row r="284" spans="1:21">
      <c r="A284" s="6" t="s">
        <v>807</v>
      </c>
      <c r="B284" s="6" t="s">
        <v>808</v>
      </c>
      <c r="C284" s="7">
        <v>0.94324865481170495</v>
      </c>
      <c r="D284" s="7">
        <v>0.9532399468450834</v>
      </c>
      <c r="E284" s="7">
        <v>0.92772865872535559</v>
      </c>
      <c r="F284" s="8">
        <v>0.85723814004380361</v>
      </c>
      <c r="G284" s="8">
        <f t="shared" si="32"/>
        <v>0.94824430082839417</v>
      </c>
      <c r="H284" s="8">
        <f t="shared" si="33"/>
        <v>0.89248339938457955</v>
      </c>
      <c r="I284" s="8">
        <f t="shared" si="34"/>
        <v>0.94119563766942604</v>
      </c>
      <c r="J284" s="22">
        <f t="shared" si="35"/>
        <v>-8.7433461030709231E-2</v>
      </c>
      <c r="K284" s="8"/>
      <c r="L284" s="8">
        <v>1.2411463227425998</v>
      </c>
      <c r="M284" s="8">
        <v>0.83162822134360093</v>
      </c>
      <c r="N284" s="8">
        <v>0.93544694925140048</v>
      </c>
      <c r="O284" s="8">
        <v>0.95925267008743131</v>
      </c>
      <c r="P284" s="8">
        <f t="shared" si="36"/>
        <v>1.0363872720431004</v>
      </c>
      <c r="Q284" s="8">
        <f t="shared" si="37"/>
        <v>0.94734980966941595</v>
      </c>
      <c r="R284" s="8">
        <f t="shared" si="38"/>
        <v>0.9140886184387822</v>
      </c>
      <c r="S284" s="22">
        <f t="shared" si="39"/>
        <v>-0.1295940574107626</v>
      </c>
      <c r="T284" s="25"/>
      <c r="U284" s="1" t="s">
        <v>809</v>
      </c>
    </row>
    <row r="285" spans="1:21">
      <c r="A285" s="6" t="s">
        <v>810</v>
      </c>
      <c r="B285" s="6" t="s">
        <v>811</v>
      </c>
      <c r="C285" s="7">
        <v>1.0325399830935409</v>
      </c>
      <c r="D285" s="7">
        <v>1.0018945185119263</v>
      </c>
      <c r="E285" s="7">
        <v>0.97694662550485101</v>
      </c>
      <c r="F285" s="8">
        <v>1.0282292112701872</v>
      </c>
      <c r="G285" s="8">
        <f t="shared" si="32"/>
        <v>1.0172172508027337</v>
      </c>
      <c r="H285" s="8">
        <f t="shared" si="33"/>
        <v>1.002587918387519</v>
      </c>
      <c r="I285" s="8">
        <f t="shared" si="34"/>
        <v>0.98561828124358886</v>
      </c>
      <c r="J285" s="22">
        <f t="shared" si="35"/>
        <v>-2.089907950504459E-2</v>
      </c>
      <c r="K285" s="8"/>
      <c r="L285" s="8">
        <v>0.8617896008340753</v>
      </c>
      <c r="M285" s="8">
        <v>0.79749354093284142</v>
      </c>
      <c r="N285" s="8">
        <v>0.97915215123361621</v>
      </c>
      <c r="O285" s="8">
        <v>0.99456204004764381</v>
      </c>
      <c r="P285" s="8">
        <f t="shared" si="36"/>
        <v>0.82964157088345836</v>
      </c>
      <c r="Q285" s="8">
        <f t="shared" si="37"/>
        <v>0.98685709564062996</v>
      </c>
      <c r="R285" s="8">
        <f t="shared" si="38"/>
        <v>1.1894981281974069</v>
      </c>
      <c r="S285" s="22">
        <f t="shared" si="39"/>
        <v>0.25035300152980394</v>
      </c>
      <c r="T285" s="25"/>
      <c r="U285" s="1" t="s">
        <v>812</v>
      </c>
    </row>
    <row r="286" spans="1:21">
      <c r="A286" s="6" t="s">
        <v>813</v>
      </c>
      <c r="B286" s="6" t="s">
        <v>814</v>
      </c>
      <c r="C286" s="7">
        <v>1.0199377646441252</v>
      </c>
      <c r="D286" s="7">
        <v>1.0539980884949793</v>
      </c>
      <c r="E286" s="7">
        <v>0.99755922060943336</v>
      </c>
      <c r="F286" s="8">
        <v>0.89197472182436888</v>
      </c>
      <c r="G286" s="8">
        <f t="shared" si="32"/>
        <v>1.0369679265695524</v>
      </c>
      <c r="H286" s="8">
        <f t="shared" si="33"/>
        <v>0.94476697121690112</v>
      </c>
      <c r="I286" s="8">
        <f t="shared" si="34"/>
        <v>0.91108601048282556</v>
      </c>
      <c r="J286" s="22">
        <f t="shared" si="35"/>
        <v>-0.13434083774293298</v>
      </c>
      <c r="K286" s="8"/>
      <c r="L286" s="8">
        <v>1.2170214230743699</v>
      </c>
      <c r="M286" s="8">
        <v>0.81901163149350342</v>
      </c>
      <c r="N286" s="8">
        <v>0.8856895926920233</v>
      </c>
      <c r="O286" s="8">
        <v>0.89857023528143798</v>
      </c>
      <c r="P286" s="8">
        <f t="shared" si="36"/>
        <v>1.0180165272839368</v>
      </c>
      <c r="Q286" s="8">
        <f t="shared" si="37"/>
        <v>0.89212991398673069</v>
      </c>
      <c r="R286" s="8">
        <f t="shared" si="38"/>
        <v>0.87634128727450922</v>
      </c>
      <c r="S286" s="22">
        <f t="shared" si="39"/>
        <v>-0.19043526436495323</v>
      </c>
      <c r="T286" s="25"/>
      <c r="U286" s="1" t="s">
        <v>815</v>
      </c>
    </row>
    <row r="287" spans="1:21">
      <c r="A287" s="6" t="s">
        <v>816</v>
      </c>
      <c r="B287" s="6" t="s">
        <v>817</v>
      </c>
      <c r="C287" s="7">
        <v>1.0317982830681511</v>
      </c>
      <c r="D287" s="7">
        <v>0.97538857152837977</v>
      </c>
      <c r="E287" s="7">
        <v>0.99260842060722021</v>
      </c>
      <c r="F287" s="8">
        <v>1.0409692567437432</v>
      </c>
      <c r="G287" s="8">
        <f t="shared" si="32"/>
        <v>1.0035934272982654</v>
      </c>
      <c r="H287" s="8">
        <f t="shared" si="33"/>
        <v>1.0167888386754818</v>
      </c>
      <c r="I287" s="8">
        <f t="shared" si="34"/>
        <v>1.0131481644043239</v>
      </c>
      <c r="J287" s="22">
        <f t="shared" si="35"/>
        <v>1.8845171592732569E-2</v>
      </c>
      <c r="K287" s="8"/>
      <c r="L287" s="8">
        <v>0.94865226252751367</v>
      </c>
      <c r="M287" s="8">
        <v>0.81007334772215156</v>
      </c>
      <c r="N287" s="8">
        <v>0.8067089754600667</v>
      </c>
      <c r="O287" s="8">
        <v>0.88113734282620737</v>
      </c>
      <c r="P287" s="8">
        <f t="shared" si="36"/>
        <v>0.87936280512483256</v>
      </c>
      <c r="Q287" s="8">
        <f t="shared" si="37"/>
        <v>0.84392315914313709</v>
      </c>
      <c r="R287" s="8">
        <f t="shared" si="38"/>
        <v>0.95969849330087986</v>
      </c>
      <c r="S287" s="22">
        <f t="shared" si="39"/>
        <v>-5.9346866700693869E-2</v>
      </c>
      <c r="T287" s="25"/>
      <c r="U287" s="1" t="s">
        <v>818</v>
      </c>
    </row>
    <row r="288" spans="1:21">
      <c r="A288" s="6" t="s">
        <v>819</v>
      </c>
      <c r="B288" s="6" t="s">
        <v>820</v>
      </c>
      <c r="C288" s="7">
        <v>0.99041008525495855</v>
      </c>
      <c r="D288" s="7">
        <v>1.034113691713928</v>
      </c>
      <c r="E288" s="7">
        <v>0.97370230016280113</v>
      </c>
      <c r="F288" s="8">
        <v>0.91773851135012519</v>
      </c>
      <c r="G288" s="8">
        <f t="shared" si="32"/>
        <v>1.0122618884844432</v>
      </c>
      <c r="H288" s="8">
        <f t="shared" si="33"/>
        <v>0.94572040575646321</v>
      </c>
      <c r="I288" s="8">
        <f t="shared" si="34"/>
        <v>0.93426455793213181</v>
      </c>
      <c r="J288" s="22">
        <f t="shared" si="35"/>
        <v>-9.8096955689576812E-2</v>
      </c>
      <c r="K288" s="8"/>
      <c r="L288" s="8">
        <v>1.0352870236842751</v>
      </c>
      <c r="M288" s="8">
        <v>1.2243609613712725</v>
      </c>
      <c r="N288" s="8">
        <v>0.97059267547448791</v>
      </c>
      <c r="O288" s="8">
        <v>0.92975426427896224</v>
      </c>
      <c r="P288" s="8">
        <f t="shared" si="36"/>
        <v>1.1298239925277738</v>
      </c>
      <c r="Q288" s="8">
        <f t="shared" si="37"/>
        <v>0.95017346987672502</v>
      </c>
      <c r="R288" s="8">
        <f t="shared" si="38"/>
        <v>0.84099246976592024</v>
      </c>
      <c r="S288" s="22">
        <f t="shared" si="39"/>
        <v>-0.24983521221907212</v>
      </c>
      <c r="T288" s="25"/>
      <c r="U288" s="1" t="s">
        <v>821</v>
      </c>
    </row>
    <row r="289" spans="1:21">
      <c r="A289" s="6" t="s">
        <v>822</v>
      </c>
      <c r="B289" s="13" t="s">
        <v>823</v>
      </c>
      <c r="C289" s="14">
        <v>1.1233481213372101</v>
      </c>
      <c r="D289" s="14">
        <v>1.0561701675872492</v>
      </c>
      <c r="E289" s="14">
        <v>1.0346902206260322</v>
      </c>
      <c r="F289" s="8">
        <v>1.0370700506977195</v>
      </c>
      <c r="G289" s="8">
        <f t="shared" si="32"/>
        <v>1.0897591444622297</v>
      </c>
      <c r="H289" s="8">
        <f t="shared" si="33"/>
        <v>1.0358801356618759</v>
      </c>
      <c r="I289" s="8">
        <f t="shared" si="34"/>
        <v>0.95055879175306957</v>
      </c>
      <c r="J289" s="22">
        <f t="shared" si="35"/>
        <v>-7.3152235033478188E-2</v>
      </c>
      <c r="K289" s="8"/>
      <c r="L289" s="8">
        <v>0.86393837732274359</v>
      </c>
      <c r="M289" s="8">
        <v>1.0610441714749663</v>
      </c>
      <c r="N289" s="8">
        <v>0.83480826456831625</v>
      </c>
      <c r="O289" s="8">
        <v>0.90220763268939952</v>
      </c>
      <c r="P289" s="8">
        <f t="shared" si="36"/>
        <v>0.96249127439885496</v>
      </c>
      <c r="Q289" s="8">
        <f t="shared" si="37"/>
        <v>0.86850794862885783</v>
      </c>
      <c r="R289" s="8">
        <f t="shared" si="38"/>
        <v>0.90235410099826985</v>
      </c>
      <c r="S289" s="22">
        <f t="shared" si="39"/>
        <v>-0.14823440918331668</v>
      </c>
      <c r="T289" s="25"/>
      <c r="U289" s="1" t="s">
        <v>824</v>
      </c>
    </row>
    <row r="290" spans="1:21">
      <c r="A290" s="6" t="s">
        <v>825</v>
      </c>
      <c r="B290" s="6" t="s">
        <v>826</v>
      </c>
      <c r="C290" s="7">
        <v>8.9598699463529052E-2</v>
      </c>
      <c r="D290" s="7">
        <v>0.10379905237907368</v>
      </c>
      <c r="E290" s="7">
        <v>0.25044033253702414</v>
      </c>
      <c r="F290" s="8">
        <v>0.29106154640672693</v>
      </c>
      <c r="G290" s="8">
        <f t="shared" si="32"/>
        <v>9.6698875921301358E-2</v>
      </c>
      <c r="H290" s="8">
        <f t="shared" si="33"/>
        <v>0.27075093947187556</v>
      </c>
      <c r="I290" s="8">
        <f t="shared" si="34"/>
        <v>2.7999388502946707</v>
      </c>
      <c r="J290" s="22">
        <f t="shared" si="35"/>
        <v>1.4853953195488221</v>
      </c>
      <c r="K290" s="8"/>
      <c r="L290" s="8">
        <v>0.86478486503040075</v>
      </c>
      <c r="M290" s="8">
        <v>1.2188067191923666</v>
      </c>
      <c r="N290" s="8">
        <v>0.92368847750148686</v>
      </c>
      <c r="O290" s="8">
        <v>0.80475199725901403</v>
      </c>
      <c r="P290" s="8">
        <f t="shared" si="36"/>
        <v>1.0417957921113836</v>
      </c>
      <c r="Q290" s="8">
        <f t="shared" si="37"/>
        <v>0.86422023738025044</v>
      </c>
      <c r="R290" s="8">
        <f t="shared" si="38"/>
        <v>0.82954859668683734</v>
      </c>
      <c r="S290" s="22">
        <f t="shared" si="39"/>
        <v>-0.26960159514629262</v>
      </c>
      <c r="T290" s="25"/>
      <c r="U290" s="1" t="s">
        <v>827</v>
      </c>
    </row>
    <row r="291" spans="1:21">
      <c r="A291" s="6" t="s">
        <v>828</v>
      </c>
      <c r="B291" s="6" t="s">
        <v>80</v>
      </c>
      <c r="C291" s="7">
        <v>1.3528274363999275</v>
      </c>
      <c r="D291" s="7">
        <v>1.3906176913339512</v>
      </c>
      <c r="E291" s="7">
        <v>1.0430876947442278</v>
      </c>
      <c r="F291" s="8">
        <v>1.2636990315452821</v>
      </c>
      <c r="G291" s="8">
        <f t="shared" si="32"/>
        <v>1.3717225638669395</v>
      </c>
      <c r="H291" s="8">
        <f t="shared" si="33"/>
        <v>1.153393363144755</v>
      </c>
      <c r="I291" s="8">
        <f t="shared" si="34"/>
        <v>0.84083574443311193</v>
      </c>
      <c r="J291" s="22">
        <f t="shared" si="35"/>
        <v>-0.25010409444993231</v>
      </c>
      <c r="K291" s="8"/>
      <c r="L291" s="8">
        <v>1.2885821915909281</v>
      </c>
      <c r="M291" s="8">
        <v>1.0754999143644366</v>
      </c>
      <c r="N291" s="8">
        <v>1.5125198881837423</v>
      </c>
      <c r="O291" s="8">
        <v>1.1664068883213412</v>
      </c>
      <c r="P291" s="8">
        <f t="shared" si="36"/>
        <v>1.1820410529776824</v>
      </c>
      <c r="Q291" s="8">
        <f t="shared" si="37"/>
        <v>1.3394633882525417</v>
      </c>
      <c r="R291" s="8">
        <f t="shared" si="38"/>
        <v>1.133178399242815</v>
      </c>
      <c r="S291" s="22">
        <f t="shared" si="39"/>
        <v>0.18037500629715669</v>
      </c>
      <c r="T291" s="25"/>
      <c r="U291" s="1">
        <v>0</v>
      </c>
    </row>
    <row r="292" spans="1:21">
      <c r="A292" s="6" t="s">
        <v>829</v>
      </c>
      <c r="B292" s="6" t="s">
        <v>80</v>
      </c>
      <c r="C292" s="7">
        <v>2.0255827693395227</v>
      </c>
      <c r="D292" s="7">
        <v>2.0273922964931841</v>
      </c>
      <c r="E292" s="7">
        <v>1.8418392449650594</v>
      </c>
      <c r="F292" s="8">
        <v>1.8163966438760539</v>
      </c>
      <c r="G292" s="8">
        <f t="shared" si="32"/>
        <v>2.0264875329163532</v>
      </c>
      <c r="H292" s="8">
        <f t="shared" si="33"/>
        <v>1.8291179444205565</v>
      </c>
      <c r="I292" s="8">
        <f t="shared" si="34"/>
        <v>0.90260508130945238</v>
      </c>
      <c r="J292" s="22">
        <f t="shared" si="35"/>
        <v>-0.14783319451188626</v>
      </c>
      <c r="K292" s="8"/>
      <c r="L292" s="8">
        <v>1.6730829541844465</v>
      </c>
      <c r="M292" s="8">
        <v>1.7825071257601355</v>
      </c>
      <c r="N292" s="8">
        <v>1.5777966982659835</v>
      </c>
      <c r="O292" s="8">
        <v>1.8550726780604103</v>
      </c>
      <c r="P292" s="8">
        <f t="shared" si="36"/>
        <v>1.727795039972291</v>
      </c>
      <c r="Q292" s="8">
        <f t="shared" si="37"/>
        <v>1.7164346881631969</v>
      </c>
      <c r="R292" s="8">
        <f t="shared" si="38"/>
        <v>0.99342494245771407</v>
      </c>
      <c r="S292" s="22">
        <f t="shared" si="39"/>
        <v>-9.5171251322349448E-3</v>
      </c>
      <c r="T292" s="25"/>
      <c r="U292" s="1">
        <v>0</v>
      </c>
    </row>
    <row r="293" spans="1:21">
      <c r="A293" s="6" t="s">
        <v>830</v>
      </c>
      <c r="B293" s="6" t="s">
        <v>831</v>
      </c>
      <c r="C293" s="7">
        <v>1.0377519292179016</v>
      </c>
      <c r="D293" s="7">
        <v>1.0057121120680368</v>
      </c>
      <c r="E293" s="7">
        <v>1.0202087933716022</v>
      </c>
      <c r="F293" s="8">
        <v>1.0527790347849988</v>
      </c>
      <c r="G293" s="8">
        <f t="shared" si="32"/>
        <v>1.0217320206429692</v>
      </c>
      <c r="H293" s="8">
        <f t="shared" si="33"/>
        <v>1.0364939140783005</v>
      </c>
      <c r="I293" s="8">
        <f t="shared" si="34"/>
        <v>1.0144479111323552</v>
      </c>
      <c r="J293" s="22">
        <f t="shared" si="35"/>
        <v>2.0694788918795452E-2</v>
      </c>
      <c r="K293" s="8"/>
      <c r="L293" s="8">
        <v>1.1441258085572752</v>
      </c>
      <c r="M293" s="8">
        <v>0.86888946192129424</v>
      </c>
      <c r="N293" s="8">
        <v>0.6322340049356131</v>
      </c>
      <c r="O293" s="8">
        <v>1.0629184962143365</v>
      </c>
      <c r="P293" s="8">
        <f t="shared" si="36"/>
        <v>1.0065076352392848</v>
      </c>
      <c r="Q293" s="8">
        <f t="shared" si="37"/>
        <v>0.84757625057497488</v>
      </c>
      <c r="R293" s="8">
        <f t="shared" si="38"/>
        <v>0.84209619569698946</v>
      </c>
      <c r="S293" s="22">
        <f t="shared" si="39"/>
        <v>-0.24794304790451696</v>
      </c>
      <c r="T293" s="25"/>
      <c r="U293" s="1" t="s">
        <v>832</v>
      </c>
    </row>
    <row r="294" spans="1:21">
      <c r="A294" s="6" t="s">
        <v>833</v>
      </c>
      <c r="B294" s="6" t="s">
        <v>834</v>
      </c>
      <c r="C294" s="7">
        <v>0.22173489768049429</v>
      </c>
      <c r="D294" s="7">
        <v>0.22055817667535699</v>
      </c>
      <c r="E294" s="7">
        <v>0.37886435439279953</v>
      </c>
      <c r="F294" s="8">
        <v>0.36464504053752361</v>
      </c>
      <c r="G294" s="8">
        <f t="shared" si="32"/>
        <v>0.22114653717792565</v>
      </c>
      <c r="H294" s="8">
        <f t="shared" si="33"/>
        <v>0.37175469746516154</v>
      </c>
      <c r="I294" s="8">
        <f t="shared" si="34"/>
        <v>1.6810333193961007</v>
      </c>
      <c r="J294" s="22">
        <f t="shared" si="35"/>
        <v>0.74934832020235331</v>
      </c>
      <c r="K294" s="8"/>
      <c r="L294" s="8">
        <v>0.48240032170602548</v>
      </c>
      <c r="M294" s="8">
        <v>0.44724523611468198</v>
      </c>
      <c r="N294" s="8">
        <v>0.42823316600972194</v>
      </c>
      <c r="O294" s="8">
        <v>0.44704501313947431</v>
      </c>
      <c r="P294" s="8">
        <f t="shared" si="36"/>
        <v>0.46482277891035373</v>
      </c>
      <c r="Q294" s="8">
        <f t="shared" si="37"/>
        <v>0.43763908957459813</v>
      </c>
      <c r="R294" s="8">
        <f t="shared" si="38"/>
        <v>0.9415181644077768</v>
      </c>
      <c r="S294" s="22">
        <f t="shared" si="39"/>
        <v>-8.6939166326956432E-2</v>
      </c>
      <c r="T294" s="25"/>
      <c r="U294" s="1" t="s">
        <v>835</v>
      </c>
    </row>
    <row r="295" spans="1:21">
      <c r="A295" s="6" t="s">
        <v>836</v>
      </c>
      <c r="B295" s="6" t="s">
        <v>837</v>
      </c>
      <c r="C295" s="7">
        <v>0.97680556947393493</v>
      </c>
      <c r="D295" s="7">
        <v>0.98457054223661111</v>
      </c>
      <c r="E295" s="7">
        <v>1.1051480637093007</v>
      </c>
      <c r="F295" s="8">
        <v>1.0416422161628538</v>
      </c>
      <c r="G295" s="8">
        <f t="shared" si="32"/>
        <v>0.98068805585527308</v>
      </c>
      <c r="H295" s="8">
        <f t="shared" si="33"/>
        <v>1.0733951399360773</v>
      </c>
      <c r="I295" s="8">
        <f t="shared" si="34"/>
        <v>1.0945326941908688</v>
      </c>
      <c r="J295" s="22">
        <f t="shared" si="35"/>
        <v>0.13031504912147604</v>
      </c>
      <c r="K295" s="8"/>
      <c r="L295" s="8">
        <v>0.88357038069648541</v>
      </c>
      <c r="M295" s="8">
        <v>1.2563254411955722</v>
      </c>
      <c r="N295" s="8">
        <v>0.50807837675270162</v>
      </c>
      <c r="O295" s="8">
        <v>0.52578135947035021</v>
      </c>
      <c r="P295" s="8">
        <f t="shared" si="36"/>
        <v>1.0699479109460288</v>
      </c>
      <c r="Q295" s="8">
        <f t="shared" si="37"/>
        <v>0.51692986811152597</v>
      </c>
      <c r="R295" s="8">
        <f t="shared" si="38"/>
        <v>0.48313554596734137</v>
      </c>
      <c r="S295" s="22">
        <f t="shared" si="39"/>
        <v>-1.0495000941060637</v>
      </c>
      <c r="T295" s="25"/>
      <c r="U295" s="1" t="s">
        <v>838</v>
      </c>
    </row>
    <row r="296" spans="1:21">
      <c r="A296" s="6" t="s">
        <v>839</v>
      </c>
      <c r="B296" s="6" t="s">
        <v>840</v>
      </c>
      <c r="C296" s="7">
        <v>0.97238209725043911</v>
      </c>
      <c r="D296" s="7">
        <v>1.0323167899194139</v>
      </c>
      <c r="E296" s="7">
        <v>1.0254631165347141</v>
      </c>
      <c r="F296" s="8">
        <v>0.91215690675632499</v>
      </c>
      <c r="G296" s="8">
        <f t="shared" si="32"/>
        <v>1.0023494435849265</v>
      </c>
      <c r="H296" s="8">
        <f t="shared" si="33"/>
        <v>0.96881001164551961</v>
      </c>
      <c r="I296" s="8">
        <f t="shared" si="34"/>
        <v>0.96653918236393455</v>
      </c>
      <c r="J296" s="22">
        <f t="shared" si="35"/>
        <v>-4.9099876101829358E-2</v>
      </c>
      <c r="K296" s="8"/>
      <c r="L296" s="8">
        <v>1.0757556475541941</v>
      </c>
      <c r="M296" s="8">
        <v>0.65834322197389405</v>
      </c>
      <c r="N296" s="8">
        <v>0.57365779456380073</v>
      </c>
      <c r="O296" s="8">
        <v>0.64262166157487244</v>
      </c>
      <c r="P296" s="8">
        <f t="shared" si="36"/>
        <v>0.86704943476404406</v>
      </c>
      <c r="Q296" s="8">
        <f t="shared" si="37"/>
        <v>0.60813972806933658</v>
      </c>
      <c r="R296" s="8">
        <f t="shared" si="38"/>
        <v>0.70138991352302038</v>
      </c>
      <c r="S296" s="22">
        <f t="shared" si="39"/>
        <v>-0.51171141111008134</v>
      </c>
      <c r="T296" s="25"/>
      <c r="U296" s="1" t="s">
        <v>841</v>
      </c>
    </row>
    <row r="297" spans="1:21">
      <c r="A297" s="6" t="s">
        <v>842</v>
      </c>
      <c r="B297" s="6" t="s">
        <v>843</v>
      </c>
      <c r="C297" s="7">
        <v>0.96733051869913567</v>
      </c>
      <c r="D297" s="7">
        <v>0.98235897079720913</v>
      </c>
      <c r="E297" s="7">
        <v>0.88329286796979634</v>
      </c>
      <c r="F297" s="8">
        <v>0.90269588904059272</v>
      </c>
      <c r="G297" s="8">
        <f t="shared" si="32"/>
        <v>0.9748447447481724</v>
      </c>
      <c r="H297" s="8">
        <f t="shared" si="33"/>
        <v>0.89299437850519459</v>
      </c>
      <c r="I297" s="8">
        <f t="shared" si="34"/>
        <v>0.91603753655755527</v>
      </c>
      <c r="J297" s="22">
        <f t="shared" si="35"/>
        <v>-0.1265213779015088</v>
      </c>
      <c r="K297" s="8"/>
      <c r="L297" s="8">
        <v>1.2135052433656399</v>
      </c>
      <c r="M297" s="8">
        <v>1.0646856944929246</v>
      </c>
      <c r="N297" s="8">
        <v>0.83593223613264622</v>
      </c>
      <c r="O297" s="8">
        <v>0.89621923451775543</v>
      </c>
      <c r="P297" s="8">
        <f t="shared" si="36"/>
        <v>1.1390954689292823</v>
      </c>
      <c r="Q297" s="8">
        <f t="shared" si="37"/>
        <v>0.86607573532520088</v>
      </c>
      <c r="R297" s="8">
        <f t="shared" si="38"/>
        <v>0.76031883099253106</v>
      </c>
      <c r="S297" s="22">
        <f t="shared" si="39"/>
        <v>-0.39532357181072864</v>
      </c>
      <c r="T297" s="25"/>
      <c r="U297" s="1" t="s">
        <v>844</v>
      </c>
    </row>
    <row r="298" spans="1:21">
      <c r="A298" s="6" t="s">
        <v>845</v>
      </c>
      <c r="B298" s="6" t="s">
        <v>846</v>
      </c>
      <c r="C298" s="7">
        <v>0.99847523778329617</v>
      </c>
      <c r="D298" s="7">
        <v>0.90093233306851406</v>
      </c>
      <c r="E298" s="7">
        <v>0.93959978679605749</v>
      </c>
      <c r="F298" s="8">
        <v>1.0874100543037428</v>
      </c>
      <c r="G298" s="8">
        <f t="shared" si="32"/>
        <v>0.94970378542590517</v>
      </c>
      <c r="H298" s="8">
        <f t="shared" si="33"/>
        <v>1.0135049205499</v>
      </c>
      <c r="I298" s="8">
        <f t="shared" si="34"/>
        <v>1.0671800366630977</v>
      </c>
      <c r="J298" s="22">
        <f t="shared" si="35"/>
        <v>9.3803583932238574E-2</v>
      </c>
      <c r="K298" s="8"/>
      <c r="L298" s="8">
        <v>1.1990498378964172</v>
      </c>
      <c r="M298" s="8">
        <v>0.61089307355807532</v>
      </c>
      <c r="N298" s="8">
        <v>0.66664482667433089</v>
      </c>
      <c r="O298" s="8">
        <v>0.64665828552761029</v>
      </c>
      <c r="P298" s="8">
        <f t="shared" si="36"/>
        <v>0.90497145572724624</v>
      </c>
      <c r="Q298" s="8">
        <f t="shared" si="37"/>
        <v>0.65665155610097059</v>
      </c>
      <c r="R298" s="8">
        <f t="shared" si="38"/>
        <v>0.72560471597778442</v>
      </c>
      <c r="S298" s="22">
        <f t="shared" si="39"/>
        <v>-0.46274426237311478</v>
      </c>
      <c r="T298" s="25"/>
      <c r="U298" s="1" t="s">
        <v>847</v>
      </c>
    </row>
    <row r="299" spans="1:21">
      <c r="A299" s="6" t="s">
        <v>848</v>
      </c>
      <c r="B299" s="6" t="s">
        <v>849</v>
      </c>
      <c r="C299" s="7">
        <v>1.1612750523652502</v>
      </c>
      <c r="D299" s="7">
        <v>1.322295930795284</v>
      </c>
      <c r="E299" s="7">
        <v>1.1732519160558219</v>
      </c>
      <c r="F299" s="8">
        <v>1.1782331853182275</v>
      </c>
      <c r="G299" s="8">
        <f t="shared" si="32"/>
        <v>1.2417854915802671</v>
      </c>
      <c r="H299" s="8">
        <f t="shared" si="33"/>
        <v>1.1757425506870247</v>
      </c>
      <c r="I299" s="8">
        <f t="shared" si="34"/>
        <v>0.94681614389841384</v>
      </c>
      <c r="J299" s="22">
        <f t="shared" si="35"/>
        <v>-7.8843789613715826E-2</v>
      </c>
      <c r="K299" s="8"/>
      <c r="L299" s="8">
        <v>1.1674693349568985</v>
      </c>
      <c r="M299" s="8">
        <v>1.129056050870973</v>
      </c>
      <c r="N299" s="8">
        <v>1.2709524612038992</v>
      </c>
      <c r="O299" s="8">
        <v>1.327960563440806</v>
      </c>
      <c r="P299" s="8">
        <f t="shared" si="36"/>
        <v>1.1482626929139359</v>
      </c>
      <c r="Q299" s="8">
        <f t="shared" si="37"/>
        <v>1.2994565123223527</v>
      </c>
      <c r="R299" s="8">
        <f t="shared" si="38"/>
        <v>1.1316718032741564</v>
      </c>
      <c r="S299" s="22">
        <f t="shared" si="39"/>
        <v>0.17845562209170893</v>
      </c>
      <c r="T299" s="25"/>
      <c r="U299" s="1" t="s">
        <v>850</v>
      </c>
    </row>
    <row r="300" spans="1:21">
      <c r="A300" s="6" t="s">
        <v>851</v>
      </c>
      <c r="B300" s="6" t="s">
        <v>852</v>
      </c>
      <c r="C300" s="7">
        <v>1.0260718243135651</v>
      </c>
      <c r="D300" s="7">
        <v>1.0016378182555672</v>
      </c>
      <c r="E300" s="7">
        <v>1.110854299134195</v>
      </c>
      <c r="F300" s="8">
        <v>0.77761780406510239</v>
      </c>
      <c r="G300" s="8">
        <f t="shared" si="32"/>
        <v>1.0138548212845662</v>
      </c>
      <c r="H300" s="8">
        <f t="shared" si="33"/>
        <v>0.94423605159964863</v>
      </c>
      <c r="I300" s="8">
        <f t="shared" si="34"/>
        <v>0.93133260480360525</v>
      </c>
      <c r="J300" s="22">
        <f t="shared" si="35"/>
        <v>-0.10263160851347619</v>
      </c>
      <c r="K300" s="8"/>
      <c r="L300" s="8">
        <v>0.37994275185997956</v>
      </c>
      <c r="M300" s="8">
        <v>0.45633065212918367</v>
      </c>
      <c r="N300" s="8">
        <v>0.39382234427100415</v>
      </c>
      <c r="O300" s="8">
        <v>0.617692181778843</v>
      </c>
      <c r="P300" s="8">
        <f t="shared" si="36"/>
        <v>0.41813670199458164</v>
      </c>
      <c r="Q300" s="8">
        <f t="shared" si="37"/>
        <v>0.50575726302492363</v>
      </c>
      <c r="R300" s="8">
        <f t="shared" si="38"/>
        <v>1.2095500361780664</v>
      </c>
      <c r="S300" s="22">
        <f t="shared" si="39"/>
        <v>0.27447045137888854</v>
      </c>
      <c r="T300" s="25"/>
      <c r="U300" s="1" t="s">
        <v>853</v>
      </c>
    </row>
    <row r="301" spans="1:21">
      <c r="A301" s="6" t="s">
        <v>854</v>
      </c>
      <c r="B301" s="6" t="s">
        <v>855</v>
      </c>
      <c r="C301" s="7">
        <v>1.1979190428088324</v>
      </c>
      <c r="D301" s="7">
        <v>0.93266443398921883</v>
      </c>
      <c r="E301" s="7">
        <v>1.010401622795011</v>
      </c>
      <c r="F301" s="8">
        <v>0.91069882801491853</v>
      </c>
      <c r="G301" s="8">
        <f t="shared" si="32"/>
        <v>1.0652917383990257</v>
      </c>
      <c r="H301" s="8">
        <f t="shared" si="33"/>
        <v>0.96055022540496471</v>
      </c>
      <c r="I301" s="8">
        <f t="shared" si="34"/>
        <v>0.9016780950995904</v>
      </c>
      <c r="J301" s="22">
        <f t="shared" si="35"/>
        <v>-0.14931562093263409</v>
      </c>
      <c r="K301" s="8"/>
      <c r="L301" s="8">
        <v>0.67341352866082416</v>
      </c>
      <c r="M301" s="8">
        <v>0.75846671343735028</v>
      </c>
      <c r="N301" s="8">
        <v>0.7879905259464175</v>
      </c>
      <c r="O301" s="8">
        <v>0.85807092023913389</v>
      </c>
      <c r="P301" s="8">
        <f t="shared" si="36"/>
        <v>0.71594012104908722</v>
      </c>
      <c r="Q301" s="8">
        <f t="shared" si="37"/>
        <v>0.8230307230927757</v>
      </c>
      <c r="R301" s="8">
        <f t="shared" si="38"/>
        <v>1.1495803893302776</v>
      </c>
      <c r="S301" s="22">
        <f t="shared" si="39"/>
        <v>0.20110735621088477</v>
      </c>
      <c r="T301" s="25"/>
      <c r="U301" s="1" t="s">
        <v>856</v>
      </c>
    </row>
    <row r="302" spans="1:21">
      <c r="A302" s="6" t="s">
        <v>857</v>
      </c>
      <c r="B302" s="6" t="s">
        <v>858</v>
      </c>
      <c r="C302" s="7">
        <v>0.97307034141814308</v>
      </c>
      <c r="D302" s="7">
        <v>1.0379444493857493</v>
      </c>
      <c r="E302" s="7">
        <v>0.99314801733770663</v>
      </c>
      <c r="F302" s="8">
        <v>1.0293112244538554</v>
      </c>
      <c r="G302" s="8">
        <f t="shared" si="32"/>
        <v>1.0055073954019462</v>
      </c>
      <c r="H302" s="8">
        <f t="shared" si="33"/>
        <v>1.0112296208957809</v>
      </c>
      <c r="I302" s="8">
        <f t="shared" si="34"/>
        <v>1.0056908835479497</v>
      </c>
      <c r="J302" s="22">
        <f t="shared" si="35"/>
        <v>8.1869360556867631E-3</v>
      </c>
      <c r="K302" s="8"/>
      <c r="L302" s="8">
        <v>1.0655326806232572</v>
      </c>
      <c r="M302" s="8">
        <v>1.0696514076992312</v>
      </c>
      <c r="N302" s="8">
        <v>0.85508298240180702</v>
      </c>
      <c r="O302" s="8">
        <v>0.99584843669192291</v>
      </c>
      <c r="P302" s="8">
        <f t="shared" si="36"/>
        <v>1.0675920441612443</v>
      </c>
      <c r="Q302" s="8">
        <f t="shared" si="37"/>
        <v>0.92546570954686502</v>
      </c>
      <c r="R302" s="8">
        <f t="shared" si="38"/>
        <v>0.86687205530269651</v>
      </c>
      <c r="S302" s="22">
        <f t="shared" si="39"/>
        <v>-0.20610901816623339</v>
      </c>
      <c r="T302" s="25"/>
      <c r="U302" s="1" t="s">
        <v>859</v>
      </c>
    </row>
    <row r="303" spans="1:21">
      <c r="A303" s="6" t="s">
        <v>860</v>
      </c>
      <c r="B303" s="6" t="s">
        <v>861</v>
      </c>
      <c r="C303" s="7">
        <v>1.104144104463604</v>
      </c>
      <c r="D303" s="7">
        <v>0.87553217180466847</v>
      </c>
      <c r="E303" s="7">
        <v>1.0737570239132515</v>
      </c>
      <c r="F303" s="8">
        <v>0.98396563536025139</v>
      </c>
      <c r="G303" s="8">
        <f t="shared" si="32"/>
        <v>0.98983813813413624</v>
      </c>
      <c r="H303" s="8">
        <f t="shared" si="33"/>
        <v>1.0288613296367515</v>
      </c>
      <c r="I303" s="8">
        <f t="shared" si="34"/>
        <v>1.0394238108224185</v>
      </c>
      <c r="J303" s="22">
        <f t="shared" si="35"/>
        <v>5.578401334104266E-2</v>
      </c>
      <c r="K303" s="8"/>
      <c r="L303" s="8">
        <v>0.54735197465895258</v>
      </c>
      <c r="M303" s="8">
        <v>0.4128898573391977</v>
      </c>
      <c r="N303" s="8">
        <v>0.56094826995176172</v>
      </c>
      <c r="O303" s="8">
        <v>0.52689032209472875</v>
      </c>
      <c r="P303" s="8">
        <f t="shared" si="36"/>
        <v>0.48012091599907514</v>
      </c>
      <c r="Q303" s="8">
        <f t="shared" si="37"/>
        <v>0.54391929602324529</v>
      </c>
      <c r="R303" s="8">
        <f t="shared" si="38"/>
        <v>1.1328798181837449</v>
      </c>
      <c r="S303" s="22">
        <f t="shared" si="39"/>
        <v>0.17999482064049172</v>
      </c>
      <c r="T303" s="25"/>
      <c r="U303" s="1" t="s">
        <v>862</v>
      </c>
    </row>
    <row r="304" spans="1:21">
      <c r="A304" s="6" t="s">
        <v>863</v>
      </c>
      <c r="B304" s="13" t="s">
        <v>864</v>
      </c>
      <c r="C304" s="14">
        <v>0.16938824904172284</v>
      </c>
      <c r="D304" s="14">
        <v>0.15507328307235102</v>
      </c>
      <c r="E304" s="14">
        <v>0.43620999692524715</v>
      </c>
      <c r="F304" s="8">
        <v>0.29267137089950146</v>
      </c>
      <c r="G304" s="8">
        <f t="shared" si="32"/>
        <v>0.16223076605703693</v>
      </c>
      <c r="H304" s="8">
        <f t="shared" si="33"/>
        <v>0.36444068391237427</v>
      </c>
      <c r="I304" s="8">
        <f t="shared" si="34"/>
        <v>2.2464338471054535</v>
      </c>
      <c r="J304" s="22">
        <f t="shared" si="35"/>
        <v>1.1676365780607179</v>
      </c>
      <c r="K304" s="8"/>
      <c r="L304" s="8">
        <v>1.1219543420605618</v>
      </c>
      <c r="M304" s="8">
        <v>0.93649672764863912</v>
      </c>
      <c r="N304" s="8">
        <v>0.8390015430967781</v>
      </c>
      <c r="O304" s="8">
        <v>0.82267283326897112</v>
      </c>
      <c r="P304" s="8">
        <f t="shared" si="36"/>
        <v>1.0292255348546004</v>
      </c>
      <c r="Q304" s="8">
        <f t="shared" si="37"/>
        <v>0.83083718818287466</v>
      </c>
      <c r="R304" s="8">
        <f t="shared" si="38"/>
        <v>0.80724502069436876</v>
      </c>
      <c r="S304" s="22">
        <f t="shared" si="39"/>
        <v>-0.30892145795389314</v>
      </c>
      <c r="T304" s="25"/>
      <c r="U304" s="1" t="s">
        <v>865</v>
      </c>
    </row>
    <row r="305" spans="1:21">
      <c r="A305" s="6" t="s">
        <v>866</v>
      </c>
      <c r="B305" s="6" t="s">
        <v>867</v>
      </c>
      <c r="C305" s="7">
        <v>0.90012982360593619</v>
      </c>
      <c r="D305" s="7">
        <v>0.90915990538771785</v>
      </c>
      <c r="E305" s="7">
        <v>0.95764255247169816</v>
      </c>
      <c r="F305" s="8">
        <v>0.82681641571518316</v>
      </c>
      <c r="G305" s="8">
        <f t="shared" si="32"/>
        <v>0.90464486449682702</v>
      </c>
      <c r="H305" s="8">
        <f t="shared" si="33"/>
        <v>0.89222948409344061</v>
      </c>
      <c r="I305" s="8">
        <f t="shared" si="34"/>
        <v>0.98627596210332547</v>
      </c>
      <c r="J305" s="22">
        <f t="shared" si="35"/>
        <v>-1.9936722671544192E-2</v>
      </c>
      <c r="K305" s="8"/>
      <c r="L305" s="8">
        <v>4.3431330846719171E-2</v>
      </c>
      <c r="M305" s="8">
        <v>1.0754263482428619</v>
      </c>
      <c r="N305" s="8">
        <v>0.67408033086912922</v>
      </c>
      <c r="O305" s="8">
        <v>0.76389781417690883</v>
      </c>
      <c r="P305" s="8">
        <f t="shared" si="36"/>
        <v>0.5594288395447905</v>
      </c>
      <c r="Q305" s="8">
        <f t="shared" si="37"/>
        <v>0.71898907252301902</v>
      </c>
      <c r="R305" s="8">
        <f t="shared" si="38"/>
        <v>1.2852198916095625</v>
      </c>
      <c r="S305" s="22">
        <f t="shared" si="39"/>
        <v>0.36201521497922318</v>
      </c>
      <c r="T305" s="25"/>
      <c r="U305" s="1" t="s">
        <v>868</v>
      </c>
    </row>
    <row r="306" spans="1:21">
      <c r="A306" s="6" t="s">
        <v>869</v>
      </c>
      <c r="B306" s="6" t="s">
        <v>870</v>
      </c>
      <c r="C306" s="7">
        <v>1.0474808953167083</v>
      </c>
      <c r="D306" s="7">
        <v>0.96091462630443669</v>
      </c>
      <c r="E306" s="7">
        <v>1.1480864735377601</v>
      </c>
      <c r="F306" s="8">
        <v>0.95390678130664164</v>
      </c>
      <c r="G306" s="8">
        <f t="shared" si="32"/>
        <v>1.0041977608105725</v>
      </c>
      <c r="H306" s="8">
        <f t="shared" si="33"/>
        <v>1.0509966274222009</v>
      </c>
      <c r="I306" s="8">
        <f t="shared" si="34"/>
        <v>1.0466032373681584</v>
      </c>
      <c r="J306" s="22">
        <f t="shared" si="35"/>
        <v>6.571462663717878E-2</v>
      </c>
      <c r="K306" s="8"/>
      <c r="L306" s="8">
        <v>1.19703129028585</v>
      </c>
      <c r="M306" s="8">
        <v>0.98677917174509189</v>
      </c>
      <c r="N306" s="8">
        <v>0.8666253057739649</v>
      </c>
      <c r="O306" s="8">
        <v>0.92079384627398375</v>
      </c>
      <c r="P306" s="8">
        <f t="shared" si="36"/>
        <v>1.0919052310154709</v>
      </c>
      <c r="Q306" s="8">
        <f t="shared" si="37"/>
        <v>0.89370957602397438</v>
      </c>
      <c r="R306" s="8">
        <f t="shared" si="38"/>
        <v>0.81848639482459962</v>
      </c>
      <c r="S306" s="22">
        <f t="shared" si="39"/>
        <v>-0.28896965898477228</v>
      </c>
      <c r="T306" s="25"/>
      <c r="U306" s="1" t="s">
        <v>871</v>
      </c>
    </row>
    <row r="307" spans="1:21">
      <c r="A307" s="6" t="s">
        <v>872</v>
      </c>
      <c r="B307" s="6" t="s">
        <v>873</v>
      </c>
      <c r="C307" s="7">
        <v>1.1045049315029829</v>
      </c>
      <c r="D307" s="7">
        <v>1.1787939054326608</v>
      </c>
      <c r="E307" s="7">
        <v>0.91063018732806611</v>
      </c>
      <c r="F307" s="8">
        <v>0.94163516836991767</v>
      </c>
      <c r="G307" s="8">
        <f t="shared" si="32"/>
        <v>1.1416494184678219</v>
      </c>
      <c r="H307" s="8">
        <f t="shared" si="33"/>
        <v>0.92613267784899189</v>
      </c>
      <c r="I307" s="8">
        <f t="shared" si="34"/>
        <v>0.81122336057590305</v>
      </c>
      <c r="J307" s="22">
        <f t="shared" si="35"/>
        <v>-0.30182889705578997</v>
      </c>
      <c r="K307" s="8"/>
      <c r="L307" s="8">
        <v>0.70105460803778408</v>
      </c>
      <c r="M307" s="8">
        <v>0.87801166099658345</v>
      </c>
      <c r="N307" s="8">
        <v>0.82750244940017137</v>
      </c>
      <c r="O307" s="8">
        <v>0.86263984625157342</v>
      </c>
      <c r="P307" s="8">
        <f t="shared" si="36"/>
        <v>0.78953313451718377</v>
      </c>
      <c r="Q307" s="8">
        <f t="shared" si="37"/>
        <v>0.84507114782587234</v>
      </c>
      <c r="R307" s="8">
        <f t="shared" si="38"/>
        <v>1.0703428531123664</v>
      </c>
      <c r="S307" s="22">
        <f t="shared" si="39"/>
        <v>9.8072995931057783E-2</v>
      </c>
      <c r="T307" s="25"/>
      <c r="U307" s="1" t="s">
        <v>874</v>
      </c>
    </row>
    <row r="308" spans="1:21">
      <c r="A308" s="6" t="s">
        <v>875</v>
      </c>
      <c r="B308" s="6" t="s">
        <v>876</v>
      </c>
      <c r="C308" s="7">
        <v>1.0311701767403436</v>
      </c>
      <c r="D308" s="7">
        <v>1.0361541296490906</v>
      </c>
      <c r="E308" s="7">
        <v>1.0431821241720629</v>
      </c>
      <c r="F308" s="8">
        <v>0.90782885402165248</v>
      </c>
      <c r="G308" s="8">
        <f t="shared" si="32"/>
        <v>1.033662153194717</v>
      </c>
      <c r="H308" s="8">
        <f t="shared" si="33"/>
        <v>0.97550548909685775</v>
      </c>
      <c r="I308" s="8">
        <f t="shared" si="34"/>
        <v>0.94373726084667442</v>
      </c>
      <c r="J308" s="22">
        <f t="shared" si="35"/>
        <v>-8.3542829827047457E-2</v>
      </c>
      <c r="K308" s="8"/>
      <c r="L308" s="8">
        <v>1.0386729745149039</v>
      </c>
      <c r="M308" s="8">
        <v>1.3836316145809586</v>
      </c>
      <c r="N308" s="8">
        <v>0.84946312458015716</v>
      </c>
      <c r="O308" s="8">
        <v>0.84671514296549766</v>
      </c>
      <c r="P308" s="8">
        <f t="shared" si="36"/>
        <v>1.2111522945479312</v>
      </c>
      <c r="Q308" s="8">
        <f t="shared" si="37"/>
        <v>0.84808913377282735</v>
      </c>
      <c r="R308" s="8">
        <f t="shared" si="38"/>
        <v>0.700233271728541</v>
      </c>
      <c r="S308" s="22">
        <f t="shared" si="39"/>
        <v>-0.51409248153945108</v>
      </c>
      <c r="T308" s="25"/>
      <c r="U308" s="1" t="s">
        <v>877</v>
      </c>
    </row>
    <row r="309" spans="1:21">
      <c r="A309" s="6" t="s">
        <v>878</v>
      </c>
      <c r="B309" s="6" t="s">
        <v>879</v>
      </c>
      <c r="C309" s="7">
        <v>1.3879212069706228</v>
      </c>
      <c r="D309" s="7">
        <v>1.0439867784969723</v>
      </c>
      <c r="E309" s="7">
        <v>1.0539808037409231</v>
      </c>
      <c r="F309" s="8">
        <v>1.0328013767353215</v>
      </c>
      <c r="G309" s="8">
        <f t="shared" si="32"/>
        <v>1.2159539927337977</v>
      </c>
      <c r="H309" s="8">
        <f t="shared" si="33"/>
        <v>1.0433910902381223</v>
      </c>
      <c r="I309" s="8">
        <f t="shared" si="34"/>
        <v>0.85808434897466246</v>
      </c>
      <c r="J309" s="22">
        <f t="shared" si="35"/>
        <v>-0.22080862447460622</v>
      </c>
      <c r="K309" s="8"/>
      <c r="L309" s="8">
        <v>0.98387917405386305</v>
      </c>
      <c r="M309" s="8">
        <v>0.80462945472560798</v>
      </c>
      <c r="N309" s="8">
        <v>0.90073351978382465</v>
      </c>
      <c r="O309" s="8">
        <v>0.88876700568193168</v>
      </c>
      <c r="P309" s="8">
        <f t="shared" si="36"/>
        <v>0.89425431438973546</v>
      </c>
      <c r="Q309" s="8">
        <f t="shared" si="37"/>
        <v>0.89475026273287817</v>
      </c>
      <c r="R309" s="8">
        <f t="shared" si="38"/>
        <v>1.0005545942973517</v>
      </c>
      <c r="S309" s="22">
        <f t="shared" si="39"/>
        <v>7.998886561474671E-4</v>
      </c>
      <c r="T309" s="25"/>
      <c r="U309" s="1" t="s">
        <v>880</v>
      </c>
    </row>
    <row r="310" spans="1:21">
      <c r="A310" s="6" t="s">
        <v>881</v>
      </c>
      <c r="B310" s="6" t="s">
        <v>882</v>
      </c>
      <c r="C310" s="7">
        <v>1.1502965555930391</v>
      </c>
      <c r="D310" s="7">
        <v>1.2379007849738202</v>
      </c>
      <c r="E310" s="7">
        <v>1.0255238211668938</v>
      </c>
      <c r="F310" s="8">
        <v>1.1645430794882801</v>
      </c>
      <c r="G310" s="8">
        <f t="shared" si="32"/>
        <v>1.1940986702834295</v>
      </c>
      <c r="H310" s="8">
        <f t="shared" si="33"/>
        <v>1.0950334503275869</v>
      </c>
      <c r="I310" s="8">
        <f t="shared" si="34"/>
        <v>0.91703765993447706</v>
      </c>
      <c r="J310" s="22">
        <f t="shared" si="35"/>
        <v>-0.1249471127736036</v>
      </c>
      <c r="K310" s="8"/>
      <c r="L310" s="8">
        <v>1.2636759186540913</v>
      </c>
      <c r="M310" s="8">
        <v>0.98608029359013027</v>
      </c>
      <c r="N310" s="8">
        <v>0.99462837508092894</v>
      </c>
      <c r="O310" s="8">
        <v>1.0808393322242937</v>
      </c>
      <c r="P310" s="8">
        <f t="shared" si="36"/>
        <v>1.1248781061221109</v>
      </c>
      <c r="Q310" s="8">
        <f t="shared" si="37"/>
        <v>1.0377338536526113</v>
      </c>
      <c r="R310" s="8">
        <f t="shared" si="38"/>
        <v>0.92253004837126795</v>
      </c>
      <c r="S310" s="22">
        <f t="shared" si="39"/>
        <v>-0.11633219192006798</v>
      </c>
      <c r="T310" s="25"/>
      <c r="U310" s="1" t="s">
        <v>883</v>
      </c>
    </row>
    <row r="311" spans="1:21">
      <c r="A311" s="6" t="s">
        <v>884</v>
      </c>
      <c r="B311" s="6" t="s">
        <v>885</v>
      </c>
      <c r="C311" s="7">
        <v>1.1661595813612857</v>
      </c>
      <c r="D311" s="7">
        <v>1.2031014450925164</v>
      </c>
      <c r="E311" s="7">
        <v>1.1289105547280978</v>
      </c>
      <c r="F311" s="8">
        <v>1.182640409749266</v>
      </c>
      <c r="G311" s="8">
        <f t="shared" si="32"/>
        <v>1.184630513226901</v>
      </c>
      <c r="H311" s="8">
        <f t="shared" si="33"/>
        <v>1.1557754822386819</v>
      </c>
      <c r="I311" s="8">
        <f t="shared" si="34"/>
        <v>0.97564216802957504</v>
      </c>
      <c r="J311" s="22">
        <f t="shared" si="35"/>
        <v>-3.5575980979945056E-2</v>
      </c>
      <c r="K311" s="8"/>
      <c r="L311" s="8">
        <v>1.1444839379720533</v>
      </c>
      <c r="M311" s="8">
        <v>0.68273039127597757</v>
      </c>
      <c r="N311" s="8">
        <v>0.81211268490396094</v>
      </c>
      <c r="O311" s="8">
        <v>0.8142447173236943</v>
      </c>
      <c r="P311" s="8">
        <f t="shared" si="36"/>
        <v>0.91360716462401537</v>
      </c>
      <c r="Q311" s="8">
        <f t="shared" si="37"/>
        <v>0.81317870111382762</v>
      </c>
      <c r="R311" s="8">
        <f t="shared" si="38"/>
        <v>0.89007478553266606</v>
      </c>
      <c r="S311" s="22">
        <f t="shared" si="39"/>
        <v>-0.16800153612931601</v>
      </c>
      <c r="T311" s="25"/>
      <c r="U311" s="1" t="s">
        <v>886</v>
      </c>
    </row>
    <row r="312" spans="1:21">
      <c r="A312" s="6" t="s">
        <v>887</v>
      </c>
      <c r="B312" s="6" t="s">
        <v>888</v>
      </c>
      <c r="C312" s="7">
        <v>0.90741986619783044</v>
      </c>
      <c r="D312" s="7">
        <v>1.2295218253239431</v>
      </c>
      <c r="E312" s="7">
        <v>0.67064454144421692</v>
      </c>
      <c r="F312" s="8">
        <v>0.54625831435967365</v>
      </c>
      <c r="G312" s="8">
        <f t="shared" si="32"/>
        <v>1.0684708457608867</v>
      </c>
      <c r="H312" s="8">
        <f t="shared" si="33"/>
        <v>0.60845142790194529</v>
      </c>
      <c r="I312" s="8">
        <f t="shared" si="34"/>
        <v>0.56946001878848718</v>
      </c>
      <c r="J312" s="22">
        <f t="shared" si="35"/>
        <v>-0.81233353955692966</v>
      </c>
      <c r="K312" s="8"/>
      <c r="L312" s="8">
        <v>1.2240537824918296</v>
      </c>
      <c r="M312" s="8">
        <v>0.82118183207996331</v>
      </c>
      <c r="N312" s="8">
        <v>1.0380741990098379</v>
      </c>
      <c r="O312" s="8">
        <v>0.94150926809737479</v>
      </c>
      <c r="P312" s="8">
        <f t="shared" si="36"/>
        <v>1.0226178072858965</v>
      </c>
      <c r="Q312" s="8">
        <f t="shared" si="37"/>
        <v>0.98979173355360639</v>
      </c>
      <c r="R312" s="8">
        <f t="shared" si="38"/>
        <v>0.96789995881314361</v>
      </c>
      <c r="S312" s="22">
        <f t="shared" si="39"/>
        <v>-4.7070155220915205E-2</v>
      </c>
      <c r="T312" s="25"/>
      <c r="U312" s="1" t="s">
        <v>889</v>
      </c>
    </row>
    <row r="313" spans="1:21">
      <c r="A313" s="6" t="s">
        <v>890</v>
      </c>
      <c r="B313" s="6" t="s">
        <v>891</v>
      </c>
      <c r="C313" s="7">
        <v>1.4228546099682611</v>
      </c>
      <c r="D313" s="7">
        <v>0.89117114126901087</v>
      </c>
      <c r="E313" s="7">
        <v>1.0133154451396378</v>
      </c>
      <c r="F313" s="8">
        <v>0.91218329732178027</v>
      </c>
      <c r="G313" s="8">
        <f t="shared" si="32"/>
        <v>1.157012875618636</v>
      </c>
      <c r="H313" s="8">
        <f t="shared" si="33"/>
        <v>0.96274937123070903</v>
      </c>
      <c r="I313" s="8">
        <f t="shared" si="34"/>
        <v>0.83209909891101475</v>
      </c>
      <c r="J313" s="22">
        <f t="shared" si="35"/>
        <v>-0.26517273840361771</v>
      </c>
      <c r="K313" s="8"/>
      <c r="L313" s="8">
        <v>1.1857990495496293</v>
      </c>
      <c r="M313" s="8">
        <v>1.0087386590352034</v>
      </c>
      <c r="N313" s="8">
        <v>1.0748194232283179</v>
      </c>
      <c r="O313" s="8">
        <v>1.3732505970204254</v>
      </c>
      <c r="P313" s="8">
        <f t="shared" si="36"/>
        <v>1.0972688542924165</v>
      </c>
      <c r="Q313" s="8">
        <f t="shared" si="37"/>
        <v>1.2240350101243718</v>
      </c>
      <c r="R313" s="8">
        <f t="shared" si="38"/>
        <v>1.1155288016570029</v>
      </c>
      <c r="S313" s="22">
        <f t="shared" si="39"/>
        <v>0.15772776277193296</v>
      </c>
      <c r="T313" s="25"/>
      <c r="U313" s="1" t="s">
        <v>892</v>
      </c>
    </row>
    <row r="314" spans="1:21">
      <c r="A314" s="6" t="s">
        <v>893</v>
      </c>
      <c r="B314" s="11" t="s">
        <v>894</v>
      </c>
      <c r="C314" s="12">
        <v>2.259178185444043E-2</v>
      </c>
      <c r="D314" s="12">
        <v>2.3866541783546046E-2</v>
      </c>
      <c r="E314" s="12">
        <v>4.7491257241938784E-2</v>
      </c>
      <c r="F314" s="8">
        <v>4.3649995263099678E-2</v>
      </c>
      <c r="G314" s="8">
        <f t="shared" si="32"/>
        <v>2.3229161818993239E-2</v>
      </c>
      <c r="H314" s="8">
        <f t="shared" si="33"/>
        <v>4.5570626252519231E-2</v>
      </c>
      <c r="I314" s="8">
        <f t="shared" si="34"/>
        <v>1.9617852166864918</v>
      </c>
      <c r="J314" s="22">
        <f t="shared" si="35"/>
        <v>0.97216709875220109</v>
      </c>
      <c r="K314" s="8"/>
      <c r="L314" s="8">
        <v>3.1287487963790946E-2</v>
      </c>
      <c r="M314" s="8">
        <v>3.6488796301156715E-2</v>
      </c>
      <c r="N314" s="8">
        <v>3.4799888818678189E-2</v>
      </c>
      <c r="O314" s="8">
        <v>3.3224520226380859E-2</v>
      </c>
      <c r="P314" s="8">
        <f t="shared" si="36"/>
        <v>3.3888142132473834E-2</v>
      </c>
      <c r="Q314" s="8">
        <f t="shared" si="37"/>
        <v>3.4012204522529524E-2</v>
      </c>
      <c r="R314" s="8">
        <f t="shared" si="38"/>
        <v>1.0036609380818433</v>
      </c>
      <c r="S314" s="22">
        <f t="shared" si="39"/>
        <v>5.2719729098482755E-3</v>
      </c>
      <c r="T314" s="25"/>
      <c r="U314" s="1" t="s">
        <v>895</v>
      </c>
    </row>
    <row r="315" spans="1:21">
      <c r="A315" s="6" t="s">
        <v>896</v>
      </c>
      <c r="B315" s="6" t="s">
        <v>80</v>
      </c>
      <c r="C315" s="7">
        <v>1.2616918810279332</v>
      </c>
      <c r="D315" s="7">
        <v>1.1960323149558565</v>
      </c>
      <c r="E315" s="7">
        <v>2.0627568913853436</v>
      </c>
      <c r="F315" s="8">
        <v>1.9263529348456456</v>
      </c>
      <c r="G315" s="8">
        <f t="shared" si="32"/>
        <v>1.2288620979918949</v>
      </c>
      <c r="H315" s="8">
        <f t="shared" si="33"/>
        <v>1.9945549131154947</v>
      </c>
      <c r="I315" s="8">
        <f t="shared" si="34"/>
        <v>1.6230909199452337</v>
      </c>
      <c r="J315" s="22">
        <f t="shared" si="35"/>
        <v>0.6987438169408442</v>
      </c>
      <c r="K315" s="8"/>
      <c r="L315" s="8">
        <v>1.2098913919983343</v>
      </c>
      <c r="M315" s="8">
        <v>0.96279661611167033</v>
      </c>
      <c r="N315" s="8">
        <v>1.2166127590360998</v>
      </c>
      <c r="O315" s="8">
        <v>1.3765331263885858</v>
      </c>
      <c r="P315" s="8">
        <f t="shared" si="36"/>
        <v>1.0863440040550023</v>
      </c>
      <c r="Q315" s="8">
        <f t="shared" si="37"/>
        <v>1.2965729427123427</v>
      </c>
      <c r="R315" s="8">
        <f t="shared" si="38"/>
        <v>1.1935196750500925</v>
      </c>
      <c r="S315" s="22">
        <f t="shared" si="39"/>
        <v>0.25522234929629922</v>
      </c>
      <c r="T315" s="25"/>
      <c r="U315" s="1">
        <v>0</v>
      </c>
    </row>
    <row r="316" spans="1:21">
      <c r="A316" s="6" t="s">
        <v>897</v>
      </c>
      <c r="B316" s="6" t="s">
        <v>80</v>
      </c>
      <c r="C316" s="7">
        <v>2.1477761780269384</v>
      </c>
      <c r="D316" s="7">
        <v>2.2369518544922298</v>
      </c>
      <c r="E316" s="7">
        <v>1.9062940744216659</v>
      </c>
      <c r="F316" s="8">
        <v>1.7949872976504253</v>
      </c>
      <c r="G316" s="8">
        <f t="shared" si="32"/>
        <v>2.1923640162595843</v>
      </c>
      <c r="H316" s="8">
        <f t="shared" si="33"/>
        <v>1.8506406860360456</v>
      </c>
      <c r="I316" s="8">
        <f t="shared" si="34"/>
        <v>0.84413020479757894</v>
      </c>
      <c r="J316" s="22">
        <f t="shared" si="35"/>
        <v>-0.24446254698847059</v>
      </c>
      <c r="K316" s="8"/>
      <c r="L316" s="8">
        <v>1.573392747998049</v>
      </c>
      <c r="M316" s="8">
        <v>1.5811566510095993</v>
      </c>
      <c r="N316" s="8">
        <v>1.7097336680481026</v>
      </c>
      <c r="O316" s="8">
        <v>1.4697303453413577</v>
      </c>
      <c r="P316" s="8">
        <f t="shared" si="36"/>
        <v>1.5772746995038243</v>
      </c>
      <c r="Q316" s="8">
        <f t="shared" si="37"/>
        <v>1.5897320066947302</v>
      </c>
      <c r="R316" s="8">
        <f t="shared" si="38"/>
        <v>1.0078979946833768</v>
      </c>
      <c r="S316" s="22">
        <f t="shared" si="39"/>
        <v>1.1349636842738117E-2</v>
      </c>
      <c r="T316" s="25"/>
      <c r="U316" s="1">
        <v>0</v>
      </c>
    </row>
    <row r="317" spans="1:21">
      <c r="A317" s="6" t="s">
        <v>898</v>
      </c>
      <c r="B317" s="6" t="s">
        <v>899</v>
      </c>
      <c r="C317" s="7">
        <v>0.21844736243282062</v>
      </c>
      <c r="D317" s="7">
        <v>0.21791877147535646</v>
      </c>
      <c r="E317" s="7">
        <v>1.1831939858150349</v>
      </c>
      <c r="F317" s="8">
        <v>1.1639426941241715</v>
      </c>
      <c r="G317" s="8">
        <f t="shared" si="32"/>
        <v>0.21818306695408854</v>
      </c>
      <c r="H317" s="8">
        <f t="shared" si="33"/>
        <v>1.1735683399696031</v>
      </c>
      <c r="I317" s="8">
        <f t="shared" si="34"/>
        <v>5.3788241056147257</v>
      </c>
      <c r="J317" s="22">
        <f t="shared" si="35"/>
        <v>2.4272908117371705</v>
      </c>
      <c r="K317" s="8"/>
      <c r="L317" s="8">
        <v>0.90430932953408671</v>
      </c>
      <c r="M317" s="8">
        <v>0.93715882274281326</v>
      </c>
      <c r="N317" s="8">
        <v>0.48460466292842552</v>
      </c>
      <c r="O317" s="8">
        <v>0.87701200186351924</v>
      </c>
      <c r="P317" s="8">
        <f t="shared" si="36"/>
        <v>0.92073407613844993</v>
      </c>
      <c r="Q317" s="8">
        <f t="shared" si="37"/>
        <v>0.68080833239597238</v>
      </c>
      <c r="R317" s="8">
        <f t="shared" si="38"/>
        <v>0.73941906793683154</v>
      </c>
      <c r="S317" s="22">
        <f t="shared" si="39"/>
        <v>-0.43553584705708903</v>
      </c>
      <c r="T317" s="25"/>
      <c r="U317" s="1" t="s">
        <v>900</v>
      </c>
    </row>
    <row r="318" spans="1:21">
      <c r="A318" s="6" t="s">
        <v>901</v>
      </c>
      <c r="B318" s="6" t="s">
        <v>902</v>
      </c>
      <c r="C318" s="7">
        <v>1.0343173903615921</v>
      </c>
      <c r="D318" s="7">
        <v>1.0296378923722811</v>
      </c>
      <c r="E318" s="7">
        <v>0.98101383586089264</v>
      </c>
      <c r="F318" s="8">
        <v>0.9151126500873209</v>
      </c>
      <c r="G318" s="8">
        <f t="shared" si="32"/>
        <v>1.0319776413669366</v>
      </c>
      <c r="H318" s="8">
        <f t="shared" si="33"/>
        <v>0.94806324297410671</v>
      </c>
      <c r="I318" s="8">
        <f t="shared" si="34"/>
        <v>0.91868583675739468</v>
      </c>
      <c r="J318" s="22">
        <f t="shared" si="35"/>
        <v>-0.12235650784629058</v>
      </c>
      <c r="K318" s="8"/>
      <c r="L318" s="8">
        <v>0.95649855243310533</v>
      </c>
      <c r="M318" s="8">
        <v>0.72194113407540605</v>
      </c>
      <c r="N318" s="8">
        <v>0.66093850950157873</v>
      </c>
      <c r="O318" s="8">
        <v>0.69846901933857541</v>
      </c>
      <c r="P318" s="8">
        <f t="shared" si="36"/>
        <v>0.83921984325425569</v>
      </c>
      <c r="Q318" s="8">
        <f t="shared" si="37"/>
        <v>0.67970376442007707</v>
      </c>
      <c r="R318" s="8">
        <f t="shared" si="38"/>
        <v>0.80992337095412248</v>
      </c>
      <c r="S318" s="22">
        <f t="shared" si="39"/>
        <v>-0.30414267772237052</v>
      </c>
      <c r="T318" s="25"/>
      <c r="U318" s="1" t="s">
        <v>903</v>
      </c>
    </row>
    <row r="319" spans="1:21">
      <c r="A319" s="6" t="s">
        <v>904</v>
      </c>
      <c r="B319" s="6" t="s">
        <v>905</v>
      </c>
      <c r="C319" s="7">
        <v>1.0614195102082677</v>
      </c>
      <c r="D319" s="7">
        <v>1.0081935478795088</v>
      </c>
      <c r="E319" s="7">
        <v>1.1488958686334898</v>
      </c>
      <c r="F319" s="8">
        <v>0.99246339743686451</v>
      </c>
      <c r="G319" s="8">
        <f t="shared" si="32"/>
        <v>1.0348065290438884</v>
      </c>
      <c r="H319" s="8">
        <f t="shared" si="33"/>
        <v>1.0706796330351771</v>
      </c>
      <c r="I319" s="8">
        <f t="shared" si="34"/>
        <v>1.0346664840087874</v>
      </c>
      <c r="J319" s="22">
        <f t="shared" si="35"/>
        <v>4.9165802113510827E-2</v>
      </c>
      <c r="K319" s="8"/>
      <c r="L319" s="8">
        <v>0.70476613106366559</v>
      </c>
      <c r="M319" s="8">
        <v>0.56469354920903014</v>
      </c>
      <c r="N319" s="8">
        <v>0.67775485329097729</v>
      </c>
      <c r="O319" s="8">
        <v>0.7848793870301507</v>
      </c>
      <c r="P319" s="8">
        <f t="shared" si="36"/>
        <v>0.63472984013634792</v>
      </c>
      <c r="Q319" s="8">
        <f t="shared" si="37"/>
        <v>0.73131712016056394</v>
      </c>
      <c r="R319" s="8">
        <f t="shared" si="38"/>
        <v>1.152170693603231</v>
      </c>
      <c r="S319" s="22">
        <f t="shared" si="39"/>
        <v>0.20435446727711945</v>
      </c>
      <c r="T319" s="25"/>
      <c r="U319" s="1" t="s">
        <v>906</v>
      </c>
    </row>
    <row r="320" spans="1:21">
      <c r="A320" s="6" t="s">
        <v>907</v>
      </c>
      <c r="B320" s="6" t="s">
        <v>908</v>
      </c>
      <c r="C320" s="7">
        <v>1.0405383157997714</v>
      </c>
      <c r="D320" s="7">
        <v>1.0058569173408549</v>
      </c>
      <c r="E320" s="7">
        <v>1.0255912707582044</v>
      </c>
      <c r="F320" s="8">
        <v>1.0354932144117641</v>
      </c>
      <c r="G320" s="8">
        <f t="shared" si="32"/>
        <v>1.0231976165703132</v>
      </c>
      <c r="H320" s="8">
        <f t="shared" si="33"/>
        <v>1.0305422425849842</v>
      </c>
      <c r="I320" s="8">
        <f t="shared" si="34"/>
        <v>1.0071781109491729</v>
      </c>
      <c r="J320" s="22">
        <f t="shared" si="35"/>
        <v>1.0318834348844334E-2</v>
      </c>
      <c r="K320" s="8"/>
      <c r="L320" s="8">
        <v>0.76372725562394173</v>
      </c>
      <c r="M320" s="8">
        <v>0.7265757997346256</v>
      </c>
      <c r="N320" s="8">
        <v>0.83943383985228959</v>
      </c>
      <c r="O320" s="8">
        <v>0.73457684238834042</v>
      </c>
      <c r="P320" s="8">
        <f t="shared" si="36"/>
        <v>0.74515152767928372</v>
      </c>
      <c r="Q320" s="8">
        <f t="shared" si="37"/>
        <v>0.78700534112031506</v>
      </c>
      <c r="R320" s="8">
        <f t="shared" si="38"/>
        <v>1.0561681911481571</v>
      </c>
      <c r="S320" s="22">
        <f t="shared" si="39"/>
        <v>7.8839597209500928E-2</v>
      </c>
      <c r="T320" s="25"/>
      <c r="U320" s="1" t="s">
        <v>909</v>
      </c>
    </row>
    <row r="321" spans="1:21">
      <c r="A321" s="6" t="s">
        <v>910</v>
      </c>
      <c r="B321" s="6" t="s">
        <v>911</v>
      </c>
      <c r="C321" s="7">
        <v>1.020485687185404</v>
      </c>
      <c r="D321" s="7">
        <v>0.88628725434033151</v>
      </c>
      <c r="E321" s="7">
        <v>0.96665381787082194</v>
      </c>
      <c r="F321" s="8">
        <v>0.97380526765995312</v>
      </c>
      <c r="G321" s="8">
        <f t="shared" si="32"/>
        <v>0.95338647076286775</v>
      </c>
      <c r="H321" s="8">
        <f t="shared" si="33"/>
        <v>0.97022954276538753</v>
      </c>
      <c r="I321" s="8">
        <f t="shared" si="34"/>
        <v>1.0176665733352002</v>
      </c>
      <c r="J321" s="22">
        <f t="shared" si="35"/>
        <v>2.5264956512187232E-2</v>
      </c>
      <c r="K321" s="8"/>
      <c r="L321" s="8">
        <v>1.2134401289265895</v>
      </c>
      <c r="M321" s="8">
        <v>0.98365261157815809</v>
      </c>
      <c r="N321" s="8">
        <v>0.82862642096450134</v>
      </c>
      <c r="O321" s="8">
        <v>0.94873970440832278</v>
      </c>
      <c r="P321" s="8">
        <f t="shared" si="36"/>
        <v>1.0985463702523739</v>
      </c>
      <c r="Q321" s="8">
        <f t="shared" si="37"/>
        <v>0.88868306268641206</v>
      </c>
      <c r="R321" s="8">
        <f t="shared" si="38"/>
        <v>0.80896272269531144</v>
      </c>
      <c r="S321" s="22">
        <f t="shared" si="39"/>
        <v>-0.30585487062727523</v>
      </c>
      <c r="T321" s="25"/>
      <c r="U321" s="1" t="s">
        <v>912</v>
      </c>
    </row>
    <row r="322" spans="1:21">
      <c r="A322" s="6" t="s">
        <v>913</v>
      </c>
      <c r="B322" s="6" t="s">
        <v>914</v>
      </c>
      <c r="C322" s="7">
        <v>1.0824343442609785</v>
      </c>
      <c r="D322" s="7">
        <v>0.90394033350841496</v>
      </c>
      <c r="E322" s="7">
        <v>1.0514919138215542</v>
      </c>
      <c r="F322" s="8">
        <v>0.9726110945730998</v>
      </c>
      <c r="G322" s="8">
        <f t="shared" si="32"/>
        <v>0.99318733888469679</v>
      </c>
      <c r="H322" s="8">
        <f t="shared" si="33"/>
        <v>1.012051504197327</v>
      </c>
      <c r="I322" s="8">
        <f t="shared" si="34"/>
        <v>1.018993562014004</v>
      </c>
      <c r="J322" s="22">
        <f t="shared" si="35"/>
        <v>2.7144936606954939E-2</v>
      </c>
      <c r="K322" s="8"/>
      <c r="L322" s="8">
        <v>1.2404951783520943</v>
      </c>
      <c r="M322" s="8">
        <v>0.93554036806816521</v>
      </c>
      <c r="N322" s="8">
        <v>0.90652629630767911</v>
      </c>
      <c r="O322" s="8">
        <v>0.80222356247543092</v>
      </c>
      <c r="P322" s="8">
        <f t="shared" si="36"/>
        <v>1.0880177732101297</v>
      </c>
      <c r="Q322" s="8">
        <f t="shared" si="37"/>
        <v>0.85437492939155502</v>
      </c>
      <c r="R322" s="8">
        <f t="shared" si="38"/>
        <v>0.78525824708798109</v>
      </c>
      <c r="S322" s="22">
        <f t="shared" si="39"/>
        <v>-0.3487609051852858</v>
      </c>
      <c r="T322" s="25"/>
      <c r="U322" s="1" t="s">
        <v>915</v>
      </c>
    </row>
    <row r="323" spans="1:21">
      <c r="A323" s="6" t="s">
        <v>916</v>
      </c>
      <c r="B323" s="6" t="s">
        <v>917</v>
      </c>
      <c r="C323" s="7">
        <v>1.1339123352123566</v>
      </c>
      <c r="D323" s="7">
        <v>1.0614358138715396</v>
      </c>
      <c r="E323" s="7">
        <v>0.97548296937340651</v>
      </c>
      <c r="F323" s="8">
        <v>1.106431054355665</v>
      </c>
      <c r="G323" s="8">
        <f t="shared" si="32"/>
        <v>1.0976740745419482</v>
      </c>
      <c r="H323" s="8">
        <f t="shared" si="33"/>
        <v>1.0409570118645357</v>
      </c>
      <c r="I323" s="8">
        <f t="shared" si="34"/>
        <v>0.94832977839885657</v>
      </c>
      <c r="J323" s="22">
        <f t="shared" si="35"/>
        <v>-7.6539256304539449E-2</v>
      </c>
      <c r="K323" s="8"/>
      <c r="L323" s="8">
        <v>1.0192037572387884</v>
      </c>
      <c r="M323" s="8">
        <v>0.72227218162249318</v>
      </c>
      <c r="N323" s="8">
        <v>0.81379864225045584</v>
      </c>
      <c r="O323" s="8">
        <v>0.80160254340577897</v>
      </c>
      <c r="P323" s="8">
        <f t="shared" si="36"/>
        <v>0.87073796943064075</v>
      </c>
      <c r="Q323" s="8">
        <f t="shared" si="37"/>
        <v>0.80770059282811735</v>
      </c>
      <c r="R323" s="8">
        <f t="shared" si="38"/>
        <v>0.92760465396525393</v>
      </c>
      <c r="S323" s="22">
        <f t="shared" si="39"/>
        <v>-0.10841803661566125</v>
      </c>
      <c r="T323" s="25"/>
      <c r="U323" s="1" t="s">
        <v>918</v>
      </c>
    </row>
    <row r="324" spans="1:21">
      <c r="A324" s="6" t="s">
        <v>919</v>
      </c>
      <c r="B324" s="6" t="s">
        <v>920</v>
      </c>
      <c r="C324" s="7">
        <v>0.33417261234026036</v>
      </c>
      <c r="D324" s="7">
        <v>0.25561421681302005</v>
      </c>
      <c r="E324" s="7">
        <v>0.45032045142746785</v>
      </c>
      <c r="F324" s="8">
        <v>0.67883131992447487</v>
      </c>
      <c r="G324" s="8">
        <f t="shared" si="32"/>
        <v>0.2948934145766402</v>
      </c>
      <c r="H324" s="8">
        <f t="shared" si="33"/>
        <v>0.56457588567597139</v>
      </c>
      <c r="I324" s="8">
        <f t="shared" si="34"/>
        <v>1.9145082859395055</v>
      </c>
      <c r="J324" s="22">
        <f t="shared" si="35"/>
        <v>0.93697390414626902</v>
      </c>
      <c r="K324" s="8"/>
      <c r="L324" s="8">
        <v>4.2812743675738917E-2</v>
      </c>
      <c r="M324" s="8">
        <v>5.1753766527951106E-2</v>
      </c>
      <c r="N324" s="8">
        <v>2.8272207810454083E-2</v>
      </c>
      <c r="O324" s="8">
        <v>2.2134893982595525E-2</v>
      </c>
      <c r="P324" s="8">
        <f t="shared" si="36"/>
        <v>4.7283255101845015E-2</v>
      </c>
      <c r="Q324" s="8">
        <f t="shared" si="37"/>
        <v>2.5203550896524804E-2</v>
      </c>
      <c r="R324" s="8">
        <f t="shared" si="38"/>
        <v>0.53303332949979898</v>
      </c>
      <c r="S324" s="22">
        <f t="shared" si="39"/>
        <v>-0.90770235026925894</v>
      </c>
      <c r="T324" s="25"/>
      <c r="U324" s="1" t="s">
        <v>921</v>
      </c>
    </row>
    <row r="325" spans="1:21">
      <c r="A325" s="6" t="s">
        <v>922</v>
      </c>
      <c r="B325" s="6" t="s">
        <v>923</v>
      </c>
      <c r="C325" s="7">
        <v>0.54696033584060211</v>
      </c>
      <c r="D325" s="7">
        <v>0.5659319164619615</v>
      </c>
      <c r="E325" s="7">
        <v>0.98784647946067727</v>
      </c>
      <c r="F325" s="8">
        <v>0.97996086705240648</v>
      </c>
      <c r="G325" s="8">
        <f t="shared" si="32"/>
        <v>0.55644612615128186</v>
      </c>
      <c r="H325" s="8">
        <f t="shared" si="33"/>
        <v>0.98390367325654182</v>
      </c>
      <c r="I325" s="8">
        <f t="shared" si="34"/>
        <v>1.768192151973121</v>
      </c>
      <c r="J325" s="22">
        <f t="shared" si="35"/>
        <v>0.82227506298466424</v>
      </c>
      <c r="K325" s="8"/>
      <c r="L325" s="8">
        <v>4.8054456019308467E-2</v>
      </c>
      <c r="M325" s="8">
        <v>4.4433937431247288E-2</v>
      </c>
      <c r="N325" s="8">
        <v>3.363268757879706E-2</v>
      </c>
      <c r="O325" s="8">
        <v>0.44886371184345514</v>
      </c>
      <c r="P325" s="8">
        <f t="shared" si="36"/>
        <v>4.6244196725277881E-2</v>
      </c>
      <c r="Q325" s="8">
        <f t="shared" si="37"/>
        <v>0.2412481997111261</v>
      </c>
      <c r="R325" s="8">
        <f t="shared" si="38"/>
        <v>5.2168318793448876</v>
      </c>
      <c r="S325" s="22">
        <f t="shared" si="39"/>
        <v>2.3831739409862069</v>
      </c>
      <c r="T325" s="25"/>
      <c r="U325" s="1" t="s">
        <v>924</v>
      </c>
    </row>
    <row r="326" spans="1:21">
      <c r="A326" s="6" t="s">
        <v>925</v>
      </c>
      <c r="B326" s="6" t="s">
        <v>926</v>
      </c>
      <c r="C326" s="7">
        <v>0.53821362112677118</v>
      </c>
      <c r="D326" s="7">
        <v>0.79393440057173403</v>
      </c>
      <c r="E326" s="7">
        <v>0.77915744394504227</v>
      </c>
      <c r="F326" s="8">
        <v>0.36454607591706617</v>
      </c>
      <c r="G326" s="8">
        <f t="shared" ref="G326:G389" si="40">AVERAGE(C326:D326)</f>
        <v>0.66607401084925266</v>
      </c>
      <c r="H326" s="8">
        <f t="shared" ref="H326:H389" si="41">AVERAGE(E326:F326)</f>
        <v>0.57185175993105419</v>
      </c>
      <c r="I326" s="8">
        <f t="shared" ref="I326:I389" si="42">H326/G326</f>
        <v>0.8585408687571161</v>
      </c>
      <c r="J326" s="22">
        <f t="shared" ref="J326:J389" si="43">LOG(I326,2)</f>
        <v>-0.22004128302472281</v>
      </c>
      <c r="K326" s="8"/>
      <c r="L326" s="8">
        <v>4.81521276778843E-2</v>
      </c>
      <c r="M326" s="8">
        <v>2.5968840915944195E-2</v>
      </c>
      <c r="N326" s="8">
        <v>1.7827485900539999</v>
      </c>
      <c r="O326" s="8">
        <v>1.5773440784110506</v>
      </c>
      <c r="P326" s="8">
        <f t="shared" ref="P326:P389" si="44">AVERAGE(L326:M326)</f>
        <v>3.7060484296914248E-2</v>
      </c>
      <c r="Q326" s="8">
        <f t="shared" ref="Q326:Q389" si="45">AVERAGE(N326:O326)</f>
        <v>1.6800463342325251</v>
      </c>
      <c r="R326" s="8">
        <f t="shared" ref="R326:R389" si="46">Q326/P326</f>
        <v>45.332552072785788</v>
      </c>
      <c r="S326" s="22">
        <f t="shared" ref="S326:S389" si="47">LOG(R326,2)</f>
        <v>5.502475477357935</v>
      </c>
      <c r="T326" s="25"/>
      <c r="U326" s="1" t="s">
        <v>927</v>
      </c>
    </row>
    <row r="327" spans="1:21">
      <c r="A327" s="6" t="s">
        <v>928</v>
      </c>
      <c r="B327" s="6" t="s">
        <v>929</v>
      </c>
      <c r="C327" s="7">
        <v>1.1451647932552071</v>
      </c>
      <c r="D327" s="7">
        <v>0.9535624676799962</v>
      </c>
      <c r="E327" s="7">
        <v>1.0490974533300206</v>
      </c>
      <c r="F327" s="8">
        <v>0.99263493611232412</v>
      </c>
      <c r="G327" s="8">
        <f t="shared" si="40"/>
        <v>1.0493636304676017</v>
      </c>
      <c r="H327" s="8">
        <f t="shared" si="41"/>
        <v>1.0208661947211723</v>
      </c>
      <c r="I327" s="8">
        <f t="shared" si="42"/>
        <v>0.97284312613947677</v>
      </c>
      <c r="J327" s="22">
        <f t="shared" si="43"/>
        <v>-3.9720910011624297E-2</v>
      </c>
      <c r="K327" s="8"/>
      <c r="L327" s="8">
        <v>1.4542333245355361</v>
      </c>
      <c r="M327" s="8">
        <v>1.1312630345182206</v>
      </c>
      <c r="N327" s="8">
        <v>0.96164413263539927</v>
      </c>
      <c r="O327" s="8">
        <v>0.96404338862474648</v>
      </c>
      <c r="P327" s="8">
        <f t="shared" si="44"/>
        <v>1.2927481795268783</v>
      </c>
      <c r="Q327" s="8">
        <f t="shared" si="45"/>
        <v>0.96284376063007282</v>
      </c>
      <c r="R327" s="8">
        <f t="shared" si="46"/>
        <v>0.74480380315248684</v>
      </c>
      <c r="S327" s="22">
        <f t="shared" si="47"/>
        <v>-0.42506765521403911</v>
      </c>
      <c r="T327" s="25"/>
      <c r="U327" s="1" t="s">
        <v>930</v>
      </c>
    </row>
    <row r="328" spans="1:21">
      <c r="A328" s="6" t="s">
        <v>931</v>
      </c>
      <c r="B328" s="6" t="s">
        <v>932</v>
      </c>
      <c r="C328" s="7">
        <v>1.0276287261686625</v>
      </c>
      <c r="D328" s="7">
        <v>1.0517865170555776</v>
      </c>
      <c r="E328" s="7">
        <v>1.2226789765683808</v>
      </c>
      <c r="F328" s="8">
        <v>1.0279389150501788</v>
      </c>
      <c r="G328" s="8">
        <f t="shared" si="40"/>
        <v>1.0397076216121199</v>
      </c>
      <c r="H328" s="8">
        <f t="shared" si="41"/>
        <v>1.1253089458092798</v>
      </c>
      <c r="I328" s="8">
        <f t="shared" si="42"/>
        <v>1.0823321118531675</v>
      </c>
      <c r="J328" s="22">
        <f t="shared" si="43"/>
        <v>0.11414325573126598</v>
      </c>
      <c r="K328" s="8"/>
      <c r="L328" s="8">
        <v>1.0739650004803039</v>
      </c>
      <c r="M328" s="8">
        <v>1.0556002784784229</v>
      </c>
      <c r="N328" s="8">
        <v>0.90773672722311138</v>
      </c>
      <c r="O328" s="8">
        <v>1.0060952513411805</v>
      </c>
      <c r="P328" s="8">
        <f t="shared" si="44"/>
        <v>1.0647826394793634</v>
      </c>
      <c r="Q328" s="8">
        <f t="shared" si="45"/>
        <v>0.95691598928214594</v>
      </c>
      <c r="R328" s="8">
        <f t="shared" si="46"/>
        <v>0.89869608481787422</v>
      </c>
      <c r="S328" s="22">
        <f t="shared" si="47"/>
        <v>-0.15409477787400261</v>
      </c>
      <c r="T328" s="25"/>
      <c r="U328" s="1" t="s">
        <v>933</v>
      </c>
    </row>
    <row r="329" spans="1:21">
      <c r="A329" s="6" t="s">
        <v>934</v>
      </c>
      <c r="B329" s="6" t="s">
        <v>935</v>
      </c>
      <c r="C329" s="7">
        <v>1.1079595163059246</v>
      </c>
      <c r="D329" s="7">
        <v>1.023398101525397</v>
      </c>
      <c r="E329" s="7">
        <v>1.084940166152583</v>
      </c>
      <c r="F329" s="8">
        <v>0.96150066651640997</v>
      </c>
      <c r="G329" s="8">
        <f t="shared" si="40"/>
        <v>1.0656788089156608</v>
      </c>
      <c r="H329" s="8">
        <f t="shared" si="41"/>
        <v>1.0232204163344965</v>
      </c>
      <c r="I329" s="8">
        <f t="shared" si="42"/>
        <v>0.96015835894835311</v>
      </c>
      <c r="J329" s="22">
        <f t="shared" si="43"/>
        <v>-5.8655725690887832E-2</v>
      </c>
      <c r="K329" s="8"/>
      <c r="L329" s="8">
        <v>0.80588885490917517</v>
      </c>
      <c r="M329" s="8">
        <v>0.90618748555977502</v>
      </c>
      <c r="N329" s="8">
        <v>0.81673826018793427</v>
      </c>
      <c r="O329" s="8">
        <v>0.99088028413470708</v>
      </c>
      <c r="P329" s="8">
        <f t="shared" si="44"/>
        <v>0.85603817023447504</v>
      </c>
      <c r="Q329" s="8">
        <f t="shared" si="45"/>
        <v>0.90380927216132068</v>
      </c>
      <c r="R329" s="8">
        <f t="shared" si="46"/>
        <v>1.0558048736468852</v>
      </c>
      <c r="S329" s="22">
        <f t="shared" si="47"/>
        <v>7.8343230687350746E-2</v>
      </c>
      <c r="T329" s="25"/>
      <c r="U329" s="1" t="s">
        <v>936</v>
      </c>
    </row>
    <row r="330" spans="1:21">
      <c r="A330" s="6" t="s">
        <v>937</v>
      </c>
      <c r="B330" s="6" t="s">
        <v>938</v>
      </c>
      <c r="C330" s="7">
        <v>1.0870181840575317</v>
      </c>
      <c r="D330" s="7">
        <v>0.96977407617775513</v>
      </c>
      <c r="E330" s="7">
        <v>1.026710933973964</v>
      </c>
      <c r="F330" s="8">
        <v>1.0775267875407255</v>
      </c>
      <c r="G330" s="8">
        <f t="shared" si="40"/>
        <v>1.0283961301176434</v>
      </c>
      <c r="H330" s="8">
        <f t="shared" si="41"/>
        <v>1.0521188607573446</v>
      </c>
      <c r="I330" s="8">
        <f t="shared" si="42"/>
        <v>1.0230676973054997</v>
      </c>
      <c r="J330" s="22">
        <f t="shared" si="43"/>
        <v>3.2901612664387889E-2</v>
      </c>
      <c r="K330" s="8"/>
      <c r="L330" s="8">
        <v>0.97626078468494837</v>
      </c>
      <c r="M330" s="8">
        <v>1.0627361922711893</v>
      </c>
      <c r="N330" s="8">
        <v>0.84946312458015716</v>
      </c>
      <c r="O330" s="8">
        <v>1.0237942948262619</v>
      </c>
      <c r="P330" s="8">
        <f t="shared" si="44"/>
        <v>1.0194984884780689</v>
      </c>
      <c r="Q330" s="8">
        <f t="shared" si="45"/>
        <v>0.93662870970320955</v>
      </c>
      <c r="R330" s="8">
        <f t="shared" si="46"/>
        <v>0.91871515288014871</v>
      </c>
      <c r="S330" s="22">
        <f t="shared" si="47"/>
        <v>-0.12231047083514554</v>
      </c>
      <c r="T330" s="25"/>
      <c r="U330" s="1" t="s">
        <v>939</v>
      </c>
    </row>
    <row r="331" spans="1:21">
      <c r="A331" s="6" t="s">
        <v>940</v>
      </c>
      <c r="B331" s="6" t="s">
        <v>941</v>
      </c>
      <c r="C331" s="7">
        <v>1.0865638092672028</v>
      </c>
      <c r="D331" s="7">
        <v>1.1627665945548522</v>
      </c>
      <c r="E331" s="7">
        <v>1.0457654435192667</v>
      </c>
      <c r="F331" s="8">
        <v>0.86479243940538897</v>
      </c>
      <c r="G331" s="8">
        <f t="shared" si="40"/>
        <v>1.1246652019110275</v>
      </c>
      <c r="H331" s="8">
        <f t="shared" si="41"/>
        <v>0.95527894146232784</v>
      </c>
      <c r="I331" s="8">
        <f t="shared" si="42"/>
        <v>0.84938961376160738</v>
      </c>
      <c r="J331" s="22">
        <f t="shared" si="43"/>
        <v>-0.23550162720303</v>
      </c>
      <c r="K331" s="8"/>
      <c r="L331" s="8">
        <v>0.85117594726883505</v>
      </c>
      <c r="M331" s="8">
        <v>0.84704032381354522</v>
      </c>
      <c r="N331" s="8">
        <v>0.99225074292561555</v>
      </c>
      <c r="O331" s="8">
        <v>1.0161202734655626</v>
      </c>
      <c r="P331" s="8">
        <f t="shared" si="44"/>
        <v>0.84910813554119013</v>
      </c>
      <c r="Q331" s="8">
        <f t="shared" si="45"/>
        <v>1.004185508195589</v>
      </c>
      <c r="R331" s="8">
        <f t="shared" si="46"/>
        <v>1.1826355986514701</v>
      </c>
      <c r="S331" s="22">
        <f t="shared" si="47"/>
        <v>0.24200560959973841</v>
      </c>
      <c r="T331" s="25"/>
      <c r="U331" s="1" t="s">
        <v>942</v>
      </c>
    </row>
    <row r="332" spans="1:21">
      <c r="A332" s="6" t="s">
        <v>943</v>
      </c>
      <c r="B332" s="6" t="s">
        <v>944</v>
      </c>
      <c r="C332" s="7">
        <v>1.0690236059640659</v>
      </c>
      <c r="D332" s="7">
        <v>1.1469038351234275</v>
      </c>
      <c r="E332" s="7">
        <v>1.0200604042707184</v>
      </c>
      <c r="F332" s="8">
        <v>1.0189463298712784</v>
      </c>
      <c r="G332" s="8">
        <f t="shared" si="40"/>
        <v>1.1079637205437467</v>
      </c>
      <c r="H332" s="8">
        <f t="shared" si="41"/>
        <v>1.0195033670709983</v>
      </c>
      <c r="I332" s="8">
        <f t="shared" si="42"/>
        <v>0.92015952162284209</v>
      </c>
      <c r="J332" s="22">
        <f t="shared" si="43"/>
        <v>-0.12004410208286054</v>
      </c>
      <c r="K332" s="8"/>
      <c r="L332" s="8">
        <v>3.1696406641028423</v>
      </c>
      <c r="M332" s="8">
        <v>3.4562099577109748</v>
      </c>
      <c r="N332" s="8">
        <v>3.4188188909629376</v>
      </c>
      <c r="O332" s="8">
        <v>3.9486610373721556</v>
      </c>
      <c r="P332" s="8">
        <f t="shared" si="44"/>
        <v>3.3129253109069086</v>
      </c>
      <c r="Q332" s="8">
        <f t="shared" si="45"/>
        <v>3.6837399641675468</v>
      </c>
      <c r="R332" s="8">
        <f t="shared" si="46"/>
        <v>1.1119296749733028</v>
      </c>
      <c r="S332" s="22">
        <f t="shared" si="47"/>
        <v>0.15306554635675496</v>
      </c>
      <c r="T332" s="25"/>
      <c r="U332" s="1" t="s">
        <v>945</v>
      </c>
    </row>
    <row r="333" spans="1:21">
      <c r="A333" s="6" t="s">
        <v>946</v>
      </c>
      <c r="B333" s="6" t="s">
        <v>947</v>
      </c>
      <c r="C333" s="7">
        <v>1.0887822273611614</v>
      </c>
      <c r="D333" s="7">
        <v>1.2719497702596128</v>
      </c>
      <c r="E333" s="7">
        <v>1.0673560576978558</v>
      </c>
      <c r="F333" s="8">
        <v>1.0306967291402598</v>
      </c>
      <c r="G333" s="8">
        <f t="shared" si="40"/>
        <v>1.180365998810387</v>
      </c>
      <c r="H333" s="8">
        <f t="shared" si="41"/>
        <v>1.0490263934190578</v>
      </c>
      <c r="I333" s="8">
        <f t="shared" si="42"/>
        <v>0.88872976218927202</v>
      </c>
      <c r="J333" s="22">
        <f t="shared" si="43"/>
        <v>-0.17018329227525816</v>
      </c>
      <c r="K333" s="8"/>
      <c r="L333" s="8">
        <v>1.2974377553018035</v>
      </c>
      <c r="M333" s="8">
        <v>1.0731457984740396</v>
      </c>
      <c r="N333" s="8">
        <v>0.96004463464000656</v>
      </c>
      <c r="O333" s="8">
        <v>0.95561527267946966</v>
      </c>
      <c r="P333" s="8">
        <f t="shared" si="44"/>
        <v>1.1852917768879214</v>
      </c>
      <c r="Q333" s="8">
        <f t="shared" si="45"/>
        <v>0.95782995365973811</v>
      </c>
      <c r="R333" s="8">
        <f t="shared" si="46"/>
        <v>0.80809634584203172</v>
      </c>
      <c r="S333" s="22">
        <f t="shared" si="47"/>
        <v>-0.3074007853482455</v>
      </c>
      <c r="T333" s="25"/>
      <c r="U333" s="1" t="s">
        <v>948</v>
      </c>
    </row>
    <row r="334" spans="1:21">
      <c r="A334" s="6" t="s">
        <v>949</v>
      </c>
      <c r="B334" s="6" t="s">
        <v>950</v>
      </c>
      <c r="C334" s="7">
        <v>1.1013042620240485</v>
      </c>
      <c r="D334" s="7">
        <v>1.0637592802944826</v>
      </c>
      <c r="E334" s="7">
        <v>1.052571107282527</v>
      </c>
      <c r="F334" s="8">
        <v>1.1266330322117126</v>
      </c>
      <c r="G334" s="8">
        <f t="shared" si="40"/>
        <v>1.0825317711592657</v>
      </c>
      <c r="H334" s="8">
        <f t="shared" si="41"/>
        <v>1.0896020697471198</v>
      </c>
      <c r="I334" s="8">
        <f t="shared" si="42"/>
        <v>1.0065312619695981</v>
      </c>
      <c r="J334" s="22">
        <f t="shared" si="43"/>
        <v>9.3919817854267122E-3</v>
      </c>
      <c r="K334" s="8"/>
      <c r="L334" s="8">
        <v>1.2115518101941234</v>
      </c>
      <c r="M334" s="8">
        <v>1.2873703445001854</v>
      </c>
      <c r="N334" s="8">
        <v>1.403364957417081</v>
      </c>
      <c r="O334" s="8">
        <v>1.0409610362516415</v>
      </c>
      <c r="P334" s="8">
        <f t="shared" si="44"/>
        <v>1.2494610773471544</v>
      </c>
      <c r="Q334" s="8">
        <f t="shared" si="45"/>
        <v>1.2221629968343612</v>
      </c>
      <c r="R334" s="8">
        <f t="shared" si="46"/>
        <v>0.97815211613413988</v>
      </c>
      <c r="S334" s="22">
        <f t="shared" si="47"/>
        <v>-3.1869253301704779E-2</v>
      </c>
      <c r="T334" s="25"/>
      <c r="U334" s="1" t="s">
        <v>951</v>
      </c>
    </row>
    <row r="335" spans="1:21">
      <c r="A335" s="6" t="s">
        <v>952</v>
      </c>
      <c r="B335" s="6" t="s">
        <v>953</v>
      </c>
      <c r="C335" s="7">
        <v>1.1572925909676619</v>
      </c>
      <c r="D335" s="7">
        <v>0.98928987771890631</v>
      </c>
      <c r="E335" s="7">
        <v>1.0116561851933918</v>
      </c>
      <c r="F335" s="8">
        <v>1.013061233774742</v>
      </c>
      <c r="G335" s="8">
        <f t="shared" si="40"/>
        <v>1.0732912343432841</v>
      </c>
      <c r="H335" s="8">
        <f t="shared" si="41"/>
        <v>1.0123587094840669</v>
      </c>
      <c r="I335" s="8">
        <f t="shared" si="42"/>
        <v>0.94322834016575186</v>
      </c>
      <c r="J335" s="22">
        <f t="shared" si="43"/>
        <v>-8.4321028814862781E-2</v>
      </c>
      <c r="K335" s="8"/>
      <c r="L335" s="8">
        <v>0.94920573525944341</v>
      </c>
      <c r="M335" s="8">
        <v>0.8378077755558937</v>
      </c>
      <c r="N335" s="8">
        <v>0.91223261348043128</v>
      </c>
      <c r="O335" s="8">
        <v>0.81597469901772479</v>
      </c>
      <c r="P335" s="8">
        <f t="shared" si="44"/>
        <v>0.89350675540766855</v>
      </c>
      <c r="Q335" s="8">
        <f t="shared" si="45"/>
        <v>0.86410365624907803</v>
      </c>
      <c r="R335" s="8">
        <f t="shared" si="46"/>
        <v>0.9670924713432355</v>
      </c>
      <c r="S335" s="22">
        <f t="shared" si="47"/>
        <v>-4.8274251131457308E-2</v>
      </c>
      <c r="T335" s="25"/>
      <c r="U335" s="1" t="s">
        <v>954</v>
      </c>
    </row>
    <row r="336" spans="1:21">
      <c r="A336" s="6" t="s">
        <v>955</v>
      </c>
      <c r="B336" s="6" t="s">
        <v>956</v>
      </c>
      <c r="C336" s="7">
        <v>1.0343040263971706</v>
      </c>
      <c r="D336" s="7">
        <v>1.0961232587693024</v>
      </c>
      <c r="E336" s="7">
        <v>1.0350409585008484</v>
      </c>
      <c r="F336" s="8">
        <v>0.98042929958923841</v>
      </c>
      <c r="G336" s="8">
        <f t="shared" si="40"/>
        <v>1.0652136425832364</v>
      </c>
      <c r="H336" s="8">
        <f t="shared" si="41"/>
        <v>1.0077351290450434</v>
      </c>
      <c r="I336" s="8">
        <f t="shared" si="42"/>
        <v>0.9460403892323398</v>
      </c>
      <c r="J336" s="22">
        <f t="shared" si="43"/>
        <v>-8.002631713522905E-2</v>
      </c>
      <c r="K336" s="8"/>
      <c r="L336" s="8">
        <v>1.1614136921251972</v>
      </c>
      <c r="M336" s="8">
        <v>1.0350017644374472</v>
      </c>
      <c r="N336" s="8">
        <v>0.86264817562325879</v>
      </c>
      <c r="O336" s="8">
        <v>0.94026722995807077</v>
      </c>
      <c r="P336" s="8">
        <f t="shared" si="44"/>
        <v>1.0982077282813223</v>
      </c>
      <c r="Q336" s="8">
        <f t="shared" si="45"/>
        <v>0.90145770279066473</v>
      </c>
      <c r="R336" s="8">
        <f t="shared" si="46"/>
        <v>0.82084443550714381</v>
      </c>
      <c r="S336" s="22">
        <f t="shared" si="47"/>
        <v>-0.28481926312540373</v>
      </c>
      <c r="T336" s="25"/>
      <c r="U336" s="1" t="s">
        <v>957</v>
      </c>
    </row>
    <row r="337" spans="1:21">
      <c r="A337" s="6" t="s">
        <v>958</v>
      </c>
      <c r="B337" s="6" t="s">
        <v>959</v>
      </c>
      <c r="C337" s="7">
        <v>1.0456299862443392</v>
      </c>
      <c r="D337" s="7">
        <v>1.0021446367104301</v>
      </c>
      <c r="E337" s="7">
        <v>0.93321905545805517</v>
      </c>
      <c r="F337" s="8">
        <v>0.98182799955837041</v>
      </c>
      <c r="G337" s="8">
        <f t="shared" si="40"/>
        <v>1.0238873114773845</v>
      </c>
      <c r="H337" s="8">
        <f t="shared" si="41"/>
        <v>0.95752352750821279</v>
      </c>
      <c r="I337" s="8">
        <f t="shared" si="42"/>
        <v>0.93518448443958713</v>
      </c>
      <c r="J337" s="22">
        <f t="shared" si="43"/>
        <v>-9.6677100440965141E-2</v>
      </c>
      <c r="K337" s="8"/>
      <c r="L337" s="8">
        <v>1.328920586582746</v>
      </c>
      <c r="M337" s="8">
        <v>0.82566936549603309</v>
      </c>
      <c r="N337" s="8">
        <v>0.91210292445377783</v>
      </c>
      <c r="O337" s="8">
        <v>0.99198924675908562</v>
      </c>
      <c r="P337" s="8">
        <f t="shared" si="44"/>
        <v>1.0772949760393895</v>
      </c>
      <c r="Q337" s="8">
        <f t="shared" si="45"/>
        <v>0.95204608560643167</v>
      </c>
      <c r="R337" s="8">
        <f t="shared" si="46"/>
        <v>0.88373760834434789</v>
      </c>
      <c r="S337" s="22">
        <f t="shared" si="47"/>
        <v>-0.17831001410874231</v>
      </c>
      <c r="T337" s="25"/>
      <c r="U337" s="1" t="s">
        <v>960</v>
      </c>
    </row>
    <row r="338" spans="1:21">
      <c r="A338" s="6" t="s">
        <v>961</v>
      </c>
      <c r="B338" s="6" t="s">
        <v>962</v>
      </c>
      <c r="C338" s="7">
        <v>0.17941790434001181</v>
      </c>
      <c r="D338" s="7">
        <v>0.21425256524991929</v>
      </c>
      <c r="E338" s="7">
        <v>0.34625247699402467</v>
      </c>
      <c r="F338" s="8">
        <v>0.39634010964936323</v>
      </c>
      <c r="G338" s="8">
        <f t="shared" si="40"/>
        <v>0.19683523479496556</v>
      </c>
      <c r="H338" s="8">
        <f t="shared" si="41"/>
        <v>0.37129629332169395</v>
      </c>
      <c r="I338" s="8">
        <f t="shared" si="42"/>
        <v>1.8863304311774092</v>
      </c>
      <c r="J338" s="22">
        <f t="shared" si="43"/>
        <v>0.91558241708695298</v>
      </c>
      <c r="K338" s="8"/>
      <c r="L338" s="8">
        <v>1.0821368625811483</v>
      </c>
      <c r="M338" s="8">
        <v>0.84446550955842326</v>
      </c>
      <c r="N338" s="8">
        <v>0.76992052156603552</v>
      </c>
      <c r="O338" s="8">
        <v>0.784036575435623</v>
      </c>
      <c r="P338" s="8">
        <f t="shared" si="44"/>
        <v>0.96330118606978576</v>
      </c>
      <c r="Q338" s="8">
        <f t="shared" si="45"/>
        <v>0.77697854850082926</v>
      </c>
      <c r="R338" s="8">
        <f t="shared" si="46"/>
        <v>0.80657904270922542</v>
      </c>
      <c r="S338" s="22">
        <f t="shared" si="47"/>
        <v>-0.31011217410794756</v>
      </c>
      <c r="T338" s="25"/>
      <c r="U338" s="1" t="s">
        <v>963</v>
      </c>
    </row>
    <row r="339" spans="1:21">
      <c r="A339" s="6" t="s">
        <v>964</v>
      </c>
      <c r="B339" s="6" t="s">
        <v>80</v>
      </c>
      <c r="C339" s="7">
        <v>1.1042576981611862</v>
      </c>
      <c r="D339" s="7">
        <v>1.823348502976933</v>
      </c>
      <c r="E339" s="7">
        <v>1.0581559334430619</v>
      </c>
      <c r="F339" s="8">
        <v>1.8661626526834241</v>
      </c>
      <c r="G339" s="8">
        <f t="shared" si="40"/>
        <v>1.4638031005690597</v>
      </c>
      <c r="H339" s="8">
        <f t="shared" si="41"/>
        <v>1.462159293063243</v>
      </c>
      <c r="I339" s="8">
        <f t="shared" si="42"/>
        <v>0.99887702963248426</v>
      </c>
      <c r="J339" s="22">
        <f t="shared" si="43"/>
        <v>-1.6210141261404265E-3</v>
      </c>
      <c r="K339" s="8"/>
      <c r="L339" s="8">
        <v>1.2308907985921378</v>
      </c>
      <c r="M339" s="8">
        <v>0.99435648226730788</v>
      </c>
      <c r="N339" s="8">
        <v>1.5427806610695494</v>
      </c>
      <c r="O339" s="8">
        <v>1.2554787663114251</v>
      </c>
      <c r="P339" s="8">
        <f t="shared" si="44"/>
        <v>1.1126236404297227</v>
      </c>
      <c r="Q339" s="8">
        <f t="shared" si="45"/>
        <v>1.3991297136904872</v>
      </c>
      <c r="R339" s="8">
        <f t="shared" si="46"/>
        <v>1.2575049305532542</v>
      </c>
      <c r="S339" s="22">
        <f t="shared" si="47"/>
        <v>0.33056405670736971</v>
      </c>
      <c r="T339" s="25"/>
      <c r="U339" s="1">
        <v>0</v>
      </c>
    </row>
    <row r="340" spans="1:21">
      <c r="A340" s="6" t="s">
        <v>965</v>
      </c>
      <c r="B340" s="6" t="s">
        <v>80</v>
      </c>
      <c r="C340" s="7">
        <v>2.0254624936597296</v>
      </c>
      <c r="D340" s="7">
        <v>1.9300304966966555</v>
      </c>
      <c r="E340" s="7">
        <v>2.0456988897428405</v>
      </c>
      <c r="F340" s="8">
        <v>1.929447228645282</v>
      </c>
      <c r="G340" s="8">
        <f t="shared" si="40"/>
        <v>1.9777464951781925</v>
      </c>
      <c r="H340" s="8">
        <f t="shared" si="41"/>
        <v>1.9875730591940612</v>
      </c>
      <c r="I340" s="8">
        <f t="shared" si="42"/>
        <v>1.0049685660117849</v>
      </c>
      <c r="J340" s="22">
        <f t="shared" si="43"/>
        <v>7.1503766597836339E-3</v>
      </c>
      <c r="K340" s="8"/>
      <c r="L340" s="8">
        <v>1.5182733753417554</v>
      </c>
      <c r="M340" s="8">
        <v>1.5902420670241011</v>
      </c>
      <c r="N340" s="8">
        <v>1.6581606651155769</v>
      </c>
      <c r="O340" s="8">
        <v>1.6624680494583468</v>
      </c>
      <c r="P340" s="8">
        <f t="shared" si="44"/>
        <v>1.5542577211829283</v>
      </c>
      <c r="Q340" s="8">
        <f t="shared" si="45"/>
        <v>1.6603143572869619</v>
      </c>
      <c r="R340" s="8">
        <f t="shared" si="46"/>
        <v>1.0682361970338581</v>
      </c>
      <c r="S340" s="22">
        <f t="shared" si="47"/>
        <v>9.5230675690257324E-2</v>
      </c>
      <c r="T340" s="25"/>
      <c r="U340" s="1">
        <v>0</v>
      </c>
    </row>
    <row r="341" spans="1:21">
      <c r="A341" s="6" t="s">
        <v>966</v>
      </c>
      <c r="B341" s="6" t="s">
        <v>967</v>
      </c>
      <c r="C341" s="7">
        <v>1.1164990895712232</v>
      </c>
      <c r="D341" s="7">
        <v>1.1571520992042275</v>
      </c>
      <c r="E341" s="7">
        <v>1.3179582692540259</v>
      </c>
      <c r="F341" s="8">
        <v>1.1605712993872543</v>
      </c>
      <c r="G341" s="8">
        <f t="shared" si="40"/>
        <v>1.1368255943877252</v>
      </c>
      <c r="H341" s="8">
        <f t="shared" si="41"/>
        <v>1.2392647843206401</v>
      </c>
      <c r="I341" s="8">
        <f t="shared" si="42"/>
        <v>1.090109855406701</v>
      </c>
      <c r="J341" s="22">
        <f t="shared" si="43"/>
        <v>0.12447352937322705</v>
      </c>
      <c r="K341" s="8"/>
      <c r="L341" s="8">
        <v>1.1020293237110923</v>
      </c>
      <c r="M341" s="8">
        <v>0.97191881518695955</v>
      </c>
      <c r="N341" s="8">
        <v>1.0182750076074096</v>
      </c>
      <c r="O341" s="8">
        <v>0.87652405830879265</v>
      </c>
      <c r="P341" s="8">
        <f t="shared" si="44"/>
        <v>1.0369740694490259</v>
      </c>
      <c r="Q341" s="8">
        <f t="shared" si="45"/>
        <v>0.94739953295810109</v>
      </c>
      <c r="R341" s="8">
        <f t="shared" si="46"/>
        <v>0.9136193091708471</v>
      </c>
      <c r="S341" s="22">
        <f t="shared" si="47"/>
        <v>-0.13033495277828358</v>
      </c>
      <c r="T341" s="25"/>
      <c r="U341" s="1" t="s">
        <v>968</v>
      </c>
    </row>
    <row r="342" spans="1:21">
      <c r="A342" s="6" t="s">
        <v>969</v>
      </c>
      <c r="B342" s="6" t="s">
        <v>970</v>
      </c>
      <c r="C342" s="7">
        <v>1.0937402581615148</v>
      </c>
      <c r="D342" s="7">
        <v>1.0679849614376258</v>
      </c>
      <c r="E342" s="7">
        <v>1.1708642005234193</v>
      </c>
      <c r="F342" s="8">
        <v>1.1818552904269701</v>
      </c>
      <c r="G342" s="8">
        <f t="shared" si="40"/>
        <v>1.0808626097995702</v>
      </c>
      <c r="H342" s="8">
        <f t="shared" si="41"/>
        <v>1.1763597454751946</v>
      </c>
      <c r="I342" s="8">
        <f t="shared" si="42"/>
        <v>1.088352705339056</v>
      </c>
      <c r="J342" s="22">
        <f t="shared" si="43"/>
        <v>0.12214617035945564</v>
      </c>
      <c r="K342" s="8"/>
      <c r="L342" s="8">
        <v>1.0931086455611665</v>
      </c>
      <c r="M342" s="8">
        <v>0.57727335599834018</v>
      </c>
      <c r="N342" s="8">
        <v>0.70204993095072521</v>
      </c>
      <c r="O342" s="8">
        <v>0.633395092540043</v>
      </c>
      <c r="P342" s="8">
        <f t="shared" si="44"/>
        <v>0.83519100077975339</v>
      </c>
      <c r="Q342" s="8">
        <f t="shared" si="45"/>
        <v>0.66772251174538411</v>
      </c>
      <c r="R342" s="8">
        <f t="shared" si="46"/>
        <v>0.79948480182614889</v>
      </c>
      <c r="S342" s="22">
        <f t="shared" si="47"/>
        <v>-0.32285748649564311</v>
      </c>
      <c r="T342" s="25"/>
      <c r="U342" s="1" t="s">
        <v>971</v>
      </c>
    </row>
    <row r="343" spans="1:21">
      <c r="A343" s="6" t="s">
        <v>972</v>
      </c>
      <c r="B343" s="6" t="s">
        <v>973</v>
      </c>
      <c r="C343" s="7">
        <v>1.0928381905630677</v>
      </c>
      <c r="D343" s="7">
        <v>1.0388396092540786</v>
      </c>
      <c r="E343" s="7">
        <v>1.1781622463032486</v>
      </c>
      <c r="F343" s="8">
        <v>1.2056331899022137</v>
      </c>
      <c r="G343" s="8">
        <f t="shared" si="40"/>
        <v>1.0658388999085733</v>
      </c>
      <c r="H343" s="8">
        <f t="shared" si="41"/>
        <v>1.191897718102731</v>
      </c>
      <c r="I343" s="8">
        <f t="shared" si="42"/>
        <v>1.1182719247767847</v>
      </c>
      <c r="J343" s="22">
        <f t="shared" si="43"/>
        <v>0.16127104401804232</v>
      </c>
      <c r="K343" s="8"/>
      <c r="L343" s="8">
        <v>1.1791573767664729</v>
      </c>
      <c r="M343" s="8">
        <v>0.7444891503381168</v>
      </c>
      <c r="N343" s="8">
        <v>0.7687533203261544</v>
      </c>
      <c r="O343" s="8">
        <v>0.75373971653760152</v>
      </c>
      <c r="P343" s="8">
        <f t="shared" si="44"/>
        <v>0.96182326355229486</v>
      </c>
      <c r="Q343" s="8">
        <f t="shared" si="45"/>
        <v>0.76124651843187796</v>
      </c>
      <c r="R343" s="8">
        <f t="shared" si="46"/>
        <v>0.79146195281279819</v>
      </c>
      <c r="S343" s="22">
        <f t="shared" si="47"/>
        <v>-0.33740809614540301</v>
      </c>
      <c r="T343" s="25"/>
      <c r="U343" s="1" t="s">
        <v>974</v>
      </c>
    </row>
    <row r="344" spans="1:21">
      <c r="A344" s="6" t="s">
        <v>975</v>
      </c>
      <c r="B344" s="6" t="s">
        <v>976</v>
      </c>
      <c r="C344" s="7">
        <v>1.0181870853049169</v>
      </c>
      <c r="D344" s="7">
        <v>1.0858881588042129</v>
      </c>
      <c r="E344" s="7">
        <v>1.0993743786930956</v>
      </c>
      <c r="F344" s="8">
        <v>0.93089420822960234</v>
      </c>
      <c r="G344" s="8">
        <f t="shared" si="40"/>
        <v>1.0520376220545649</v>
      </c>
      <c r="H344" s="8">
        <f t="shared" si="41"/>
        <v>1.015134293461349</v>
      </c>
      <c r="I344" s="8">
        <f t="shared" si="42"/>
        <v>0.96492204478282251</v>
      </c>
      <c r="J344" s="22">
        <f t="shared" si="43"/>
        <v>-5.1515701882924619E-2</v>
      </c>
      <c r="K344" s="8"/>
      <c r="L344" s="8">
        <v>1.1393398972870596</v>
      </c>
      <c r="M344" s="8">
        <v>0.86532150502491101</v>
      </c>
      <c r="N344" s="8">
        <v>0.85361317343306775</v>
      </c>
      <c r="O344" s="8">
        <v>0.87368511399038362</v>
      </c>
      <c r="P344" s="8">
        <f t="shared" si="44"/>
        <v>1.0023307011559854</v>
      </c>
      <c r="Q344" s="8">
        <f t="shared" si="45"/>
        <v>0.86364914371172574</v>
      </c>
      <c r="R344" s="8">
        <f t="shared" si="46"/>
        <v>0.86164091623221895</v>
      </c>
      <c r="S344" s="22">
        <f t="shared" si="47"/>
        <v>-0.21484133497304708</v>
      </c>
      <c r="T344" s="25"/>
      <c r="U344" s="1" t="s">
        <v>977</v>
      </c>
    </row>
    <row r="345" spans="1:21">
      <c r="A345" s="6" t="s">
        <v>978</v>
      </c>
      <c r="B345" s="6" t="s">
        <v>979</v>
      </c>
      <c r="C345" s="7">
        <v>0.18540496040081592</v>
      </c>
      <c r="D345" s="7">
        <v>0.19233431259156067</v>
      </c>
      <c r="E345" s="7">
        <v>0.18966150580685651</v>
      </c>
      <c r="F345" s="8">
        <v>0.28177866500781806</v>
      </c>
      <c r="G345" s="8">
        <f t="shared" si="40"/>
        <v>0.18886963649618829</v>
      </c>
      <c r="H345" s="8">
        <f t="shared" si="41"/>
        <v>0.2357200854073373</v>
      </c>
      <c r="I345" s="8">
        <f t="shared" si="42"/>
        <v>1.2480570714292369</v>
      </c>
      <c r="J345" s="22">
        <f t="shared" si="43"/>
        <v>0.31968390758586102</v>
      </c>
      <c r="K345" s="8"/>
      <c r="L345" s="8">
        <v>0.44437348930050224</v>
      </c>
      <c r="M345" s="8">
        <v>0.64153336319402643</v>
      </c>
      <c r="N345" s="8">
        <v>0.45175010950954919</v>
      </c>
      <c r="O345" s="8">
        <v>0.47193013443052861</v>
      </c>
      <c r="P345" s="8">
        <f t="shared" si="44"/>
        <v>0.54295342624726439</v>
      </c>
      <c r="Q345" s="8">
        <f t="shared" si="45"/>
        <v>0.46184012197003887</v>
      </c>
      <c r="R345" s="8">
        <f t="shared" si="46"/>
        <v>0.85060725219498656</v>
      </c>
      <c r="S345" s="22">
        <f t="shared" si="47"/>
        <v>-0.23343493959316552</v>
      </c>
      <c r="T345" s="25"/>
      <c r="U345" s="1" t="s">
        <v>980</v>
      </c>
    </row>
    <row r="346" spans="1:21">
      <c r="A346" s="6" t="s">
        <v>981</v>
      </c>
      <c r="B346" s="6" t="s">
        <v>982</v>
      </c>
      <c r="C346" s="7">
        <v>0.18767683435246033</v>
      </c>
      <c r="D346" s="7">
        <v>0.1829877904369453</v>
      </c>
      <c r="E346" s="7">
        <v>0.37520184158462278</v>
      </c>
      <c r="F346" s="8">
        <v>0.40824885231107649</v>
      </c>
      <c r="G346" s="8">
        <f t="shared" si="40"/>
        <v>0.18533231239470283</v>
      </c>
      <c r="H346" s="8">
        <f t="shared" si="41"/>
        <v>0.39172534694784966</v>
      </c>
      <c r="I346" s="8">
        <f t="shared" si="42"/>
        <v>2.1136376160547274</v>
      </c>
      <c r="J346" s="22">
        <f t="shared" si="43"/>
        <v>1.0797280473279169</v>
      </c>
      <c r="K346" s="8"/>
      <c r="L346" s="8">
        <v>0.84674816541339748</v>
      </c>
      <c r="M346" s="8">
        <v>0.70406456653270233</v>
      </c>
      <c r="N346" s="8">
        <v>0.71441361815835502</v>
      </c>
      <c r="O346" s="8">
        <v>0.87510458614958819</v>
      </c>
      <c r="P346" s="8">
        <f t="shared" si="44"/>
        <v>0.7754063659730499</v>
      </c>
      <c r="Q346" s="8">
        <f t="shared" si="45"/>
        <v>0.79475910215397161</v>
      </c>
      <c r="R346" s="8">
        <f t="shared" si="46"/>
        <v>1.0249581858367078</v>
      </c>
      <c r="S346" s="22">
        <f t="shared" si="47"/>
        <v>3.5565054787780867E-2</v>
      </c>
      <c r="T346" s="25"/>
      <c r="U346" s="1" t="s">
        <v>983</v>
      </c>
    </row>
    <row r="347" spans="1:21">
      <c r="A347" s="6" t="s">
        <v>984</v>
      </c>
      <c r="B347" s="6" t="s">
        <v>985</v>
      </c>
      <c r="C347" s="7">
        <v>0.94280764398579742</v>
      </c>
      <c r="D347" s="7">
        <v>0.96221129170194319</v>
      </c>
      <c r="E347" s="7">
        <v>0.97547622441427539</v>
      </c>
      <c r="F347" s="8">
        <v>0.92875657242772147</v>
      </c>
      <c r="G347" s="8">
        <f t="shared" si="40"/>
        <v>0.95250946784387036</v>
      </c>
      <c r="H347" s="8">
        <f t="shared" si="41"/>
        <v>0.95211639842099838</v>
      </c>
      <c r="I347" s="8">
        <f t="shared" si="42"/>
        <v>0.99958733279180756</v>
      </c>
      <c r="J347" s="22">
        <f t="shared" si="43"/>
        <v>-5.9547580991899248E-4</v>
      </c>
      <c r="K347" s="8"/>
      <c r="L347" s="8">
        <v>0.55848654373659723</v>
      </c>
      <c r="M347" s="8">
        <v>0.45828015435091884</v>
      </c>
      <c r="N347" s="8">
        <v>0.60508576868948905</v>
      </c>
      <c r="O347" s="8">
        <v>0.58837120999027459</v>
      </c>
      <c r="P347" s="8">
        <f t="shared" si="44"/>
        <v>0.50838334904375804</v>
      </c>
      <c r="Q347" s="8">
        <f t="shared" si="45"/>
        <v>0.59672848933988187</v>
      </c>
      <c r="R347" s="8">
        <f t="shared" si="46"/>
        <v>1.1737766204622877</v>
      </c>
      <c r="S347" s="22">
        <f t="shared" si="47"/>
        <v>0.23115787760081616</v>
      </c>
      <c r="T347" s="25"/>
      <c r="U347" s="1" t="s">
        <v>986</v>
      </c>
    </row>
    <row r="348" spans="1:21">
      <c r="A348" s="6" t="s">
        <v>987</v>
      </c>
      <c r="B348" s="9" t="s">
        <v>988</v>
      </c>
      <c r="C348" s="10">
        <v>0.96222548429014643</v>
      </c>
      <c r="D348" s="10">
        <v>0.99998572173387112</v>
      </c>
      <c r="E348" s="10">
        <v>1.0010800892758576</v>
      </c>
      <c r="F348" s="8">
        <v>1.0569355488442118</v>
      </c>
      <c r="G348" s="8">
        <f t="shared" si="40"/>
        <v>0.98110560301200878</v>
      </c>
      <c r="H348" s="8">
        <f t="shared" si="41"/>
        <v>1.0290078190600347</v>
      </c>
      <c r="I348" s="8">
        <f t="shared" si="42"/>
        <v>1.0488247298771562</v>
      </c>
      <c r="J348" s="22">
        <f t="shared" si="43"/>
        <v>6.8773607882942123E-2</v>
      </c>
      <c r="K348" s="8"/>
      <c r="L348" s="8">
        <v>0.81461418974194932</v>
      </c>
      <c r="M348" s="8">
        <v>0.98232842138980969</v>
      </c>
      <c r="N348" s="8">
        <v>0.81812160980557114</v>
      </c>
      <c r="O348" s="8">
        <v>0.83003634509484459</v>
      </c>
      <c r="P348" s="8">
        <f t="shared" si="44"/>
        <v>0.89847130556587951</v>
      </c>
      <c r="Q348" s="8">
        <f t="shared" si="45"/>
        <v>0.82407897745020786</v>
      </c>
      <c r="R348" s="8">
        <f t="shared" si="46"/>
        <v>0.91720121983326164</v>
      </c>
      <c r="S348" s="22">
        <f t="shared" si="47"/>
        <v>-0.12468982125275203</v>
      </c>
      <c r="T348" s="25"/>
      <c r="U348" s="1" t="s">
        <v>989</v>
      </c>
    </row>
    <row r="349" spans="1:21">
      <c r="A349" s="6" t="s">
        <v>990</v>
      </c>
      <c r="B349" s="6" t="s">
        <v>991</v>
      </c>
      <c r="C349" s="7">
        <v>1.0246084702094176</v>
      </c>
      <c r="D349" s="7">
        <v>1.0177309497119296</v>
      </c>
      <c r="E349" s="7">
        <v>0.99030838954352174</v>
      </c>
      <c r="F349" s="8">
        <v>0.9175405821092103</v>
      </c>
      <c r="G349" s="8">
        <f t="shared" si="40"/>
        <v>1.0211697099606736</v>
      </c>
      <c r="H349" s="8">
        <f t="shared" si="41"/>
        <v>0.95392448582636602</v>
      </c>
      <c r="I349" s="8">
        <f t="shared" si="42"/>
        <v>0.93414882611735783</v>
      </c>
      <c r="J349" s="22">
        <f t="shared" si="43"/>
        <v>-9.82756802875554E-2</v>
      </c>
      <c r="K349" s="8"/>
      <c r="L349" s="8">
        <v>0.96763312151074998</v>
      </c>
      <c r="M349" s="8">
        <v>1.0855049068986249</v>
      </c>
      <c r="N349" s="8">
        <v>0.88283643410564727</v>
      </c>
      <c r="O349" s="8">
        <v>1.0117731399779986</v>
      </c>
      <c r="P349" s="8">
        <f t="shared" si="44"/>
        <v>1.0265690142046875</v>
      </c>
      <c r="Q349" s="8">
        <f t="shared" si="45"/>
        <v>0.94730478704182297</v>
      </c>
      <c r="R349" s="8">
        <f t="shared" si="46"/>
        <v>0.92278723976071619</v>
      </c>
      <c r="S349" s="22">
        <f t="shared" si="47"/>
        <v>-0.11593004021758811</v>
      </c>
      <c r="T349" s="25"/>
      <c r="U349" s="1" t="s">
        <v>992</v>
      </c>
    </row>
    <row r="350" spans="1:21">
      <c r="A350" s="6" t="s">
        <v>993</v>
      </c>
      <c r="B350" s="6" t="s">
        <v>994</v>
      </c>
      <c r="C350" s="7">
        <v>1.037838794986641</v>
      </c>
      <c r="D350" s="7">
        <v>1.0070614339283863</v>
      </c>
      <c r="E350" s="7">
        <v>1.0512221154563111</v>
      </c>
      <c r="F350" s="8">
        <v>0.92062168062611893</v>
      </c>
      <c r="G350" s="8">
        <f t="shared" si="40"/>
        <v>1.0224501144575138</v>
      </c>
      <c r="H350" s="8">
        <f t="shared" si="41"/>
        <v>0.98592189804121499</v>
      </c>
      <c r="I350" s="8">
        <f t="shared" si="42"/>
        <v>0.9642738399656009</v>
      </c>
      <c r="J350" s="22">
        <f t="shared" si="43"/>
        <v>-5.2485185508584928E-2</v>
      </c>
      <c r="K350" s="8"/>
      <c r="L350" s="8">
        <v>1.0232082952403974</v>
      </c>
      <c r="M350" s="8">
        <v>1.3514464363919343</v>
      </c>
      <c r="N350" s="8">
        <v>0.9008632088104781</v>
      </c>
      <c r="O350" s="8">
        <v>1.3641571035005213</v>
      </c>
      <c r="P350" s="8">
        <f t="shared" si="44"/>
        <v>1.1873273658161658</v>
      </c>
      <c r="Q350" s="8">
        <f t="shared" si="45"/>
        <v>1.1325101561554998</v>
      </c>
      <c r="R350" s="8">
        <f t="shared" si="46"/>
        <v>0.95383142742356919</v>
      </c>
      <c r="S350" s="22">
        <f t="shared" si="47"/>
        <v>-6.8193776569880321E-2</v>
      </c>
      <c r="T350" s="25"/>
      <c r="U350" s="1" t="s">
        <v>995</v>
      </c>
    </row>
    <row r="351" spans="1:21">
      <c r="A351" s="6" t="s">
        <v>996</v>
      </c>
      <c r="B351" s="6" t="s">
        <v>997</v>
      </c>
      <c r="C351" s="7">
        <v>1.0282902424075238</v>
      </c>
      <c r="D351" s="7">
        <v>1.0195805079692866</v>
      </c>
      <c r="E351" s="7">
        <v>1.0492863121856908</v>
      </c>
      <c r="F351" s="8">
        <v>0.97466955867861482</v>
      </c>
      <c r="G351" s="8">
        <f t="shared" si="40"/>
        <v>1.0239353751884051</v>
      </c>
      <c r="H351" s="8">
        <f t="shared" si="41"/>
        <v>1.0119779354321528</v>
      </c>
      <c r="I351" s="8">
        <f t="shared" si="42"/>
        <v>0.98832207574227804</v>
      </c>
      <c r="J351" s="22">
        <f t="shared" si="43"/>
        <v>-1.69468290324605E-2</v>
      </c>
      <c r="K351" s="8"/>
      <c r="L351" s="8">
        <v>0.97863746171029353</v>
      </c>
      <c r="M351" s="8">
        <v>0.89452725529015131</v>
      </c>
      <c r="N351" s="8">
        <v>1.2138028301252748</v>
      </c>
      <c r="O351" s="8">
        <v>1.1393925587914802</v>
      </c>
      <c r="P351" s="8">
        <f t="shared" si="44"/>
        <v>0.93658235850022242</v>
      </c>
      <c r="Q351" s="8">
        <f t="shared" si="45"/>
        <v>1.1765976944583776</v>
      </c>
      <c r="R351" s="8">
        <f t="shared" si="46"/>
        <v>1.2562671971982251</v>
      </c>
      <c r="S351" s="22">
        <f t="shared" si="47"/>
        <v>0.32914334565895337</v>
      </c>
      <c r="T351" s="25"/>
      <c r="U351" s="1" t="s">
        <v>998</v>
      </c>
    </row>
    <row r="352" spans="1:21">
      <c r="A352" s="6" t="s">
        <v>999</v>
      </c>
      <c r="B352" s="6" t="s">
        <v>1000</v>
      </c>
      <c r="C352" s="7">
        <v>1.0353063237287785</v>
      </c>
      <c r="D352" s="7">
        <v>1.0251752571463451</v>
      </c>
      <c r="E352" s="7">
        <v>0.92265644945878289</v>
      </c>
      <c r="F352" s="8">
        <v>0.9328800982801152</v>
      </c>
      <c r="G352" s="8">
        <f t="shared" si="40"/>
        <v>1.0302407904375617</v>
      </c>
      <c r="H352" s="8">
        <f t="shared" si="41"/>
        <v>0.92776827386944904</v>
      </c>
      <c r="I352" s="8">
        <f t="shared" si="42"/>
        <v>0.90053537239135062</v>
      </c>
      <c r="J352" s="22">
        <f t="shared" si="43"/>
        <v>-0.15114514960386127</v>
      </c>
      <c r="K352" s="8"/>
      <c r="L352" s="8">
        <v>1.2046171224352393</v>
      </c>
      <c r="M352" s="8">
        <v>0.90059646032008167</v>
      </c>
      <c r="N352" s="8">
        <v>0.996876318209589</v>
      </c>
      <c r="O352" s="8">
        <v>1.3243231660328445</v>
      </c>
      <c r="P352" s="8">
        <f t="shared" si="44"/>
        <v>1.0526067913776604</v>
      </c>
      <c r="Q352" s="8">
        <f t="shared" si="45"/>
        <v>1.1605997421212169</v>
      </c>
      <c r="R352" s="8">
        <f t="shared" si="46"/>
        <v>1.1025957191499918</v>
      </c>
      <c r="S352" s="22">
        <f t="shared" si="47"/>
        <v>0.14090390526008498</v>
      </c>
      <c r="T352" s="25"/>
      <c r="U352" s="1" t="s">
        <v>1001</v>
      </c>
    </row>
    <row r="353" spans="1:21">
      <c r="A353" s="6" t="s">
        <v>1002</v>
      </c>
      <c r="B353" s="6" t="s">
        <v>1003</v>
      </c>
      <c r="C353" s="7">
        <v>1.0665846824571534</v>
      </c>
      <c r="D353" s="7">
        <v>1.0074497753418528</v>
      </c>
      <c r="E353" s="7">
        <v>1.0023211617559764</v>
      </c>
      <c r="F353" s="8">
        <v>1.0938295593507494</v>
      </c>
      <c r="G353" s="8">
        <f t="shared" si="40"/>
        <v>1.037017228899503</v>
      </c>
      <c r="H353" s="8">
        <f t="shared" si="41"/>
        <v>1.048075360553363</v>
      </c>
      <c r="I353" s="8">
        <f t="shared" si="42"/>
        <v>1.0106634020589949</v>
      </c>
      <c r="J353" s="22">
        <f t="shared" si="43"/>
        <v>1.5302592655026578E-2</v>
      </c>
      <c r="K353" s="8"/>
      <c r="L353" s="8">
        <v>1.0429054130531898</v>
      </c>
      <c r="M353" s="8">
        <v>1.1541420983280184</v>
      </c>
      <c r="N353" s="8">
        <v>1.257897099187451</v>
      </c>
      <c r="O353" s="8">
        <v>1.402039266749292</v>
      </c>
      <c r="P353" s="8">
        <f t="shared" si="44"/>
        <v>1.098523755690604</v>
      </c>
      <c r="Q353" s="8">
        <f t="shared" si="45"/>
        <v>1.3299681829683716</v>
      </c>
      <c r="R353" s="8">
        <f t="shared" si="46"/>
        <v>1.2106867749366663</v>
      </c>
      <c r="S353" s="22">
        <f t="shared" si="47"/>
        <v>0.27582566379684631</v>
      </c>
      <c r="T353" s="25"/>
      <c r="U353" s="1" t="s">
        <v>1004</v>
      </c>
    </row>
    <row r="354" spans="1:21">
      <c r="A354" s="6" t="s">
        <v>1005</v>
      </c>
      <c r="B354" s="6" t="s">
        <v>1006</v>
      </c>
      <c r="C354" s="7">
        <v>1.0135564716328886</v>
      </c>
      <c r="D354" s="7">
        <v>0.97469087339571125</v>
      </c>
      <c r="E354" s="7">
        <v>0.93410264510422669</v>
      </c>
      <c r="F354" s="8">
        <v>1.0050319042349607</v>
      </c>
      <c r="G354" s="8">
        <f t="shared" si="40"/>
        <v>0.99412367251429989</v>
      </c>
      <c r="H354" s="8">
        <f t="shared" si="41"/>
        <v>0.96956727466959369</v>
      </c>
      <c r="I354" s="8">
        <f t="shared" si="42"/>
        <v>0.97529844774483732</v>
      </c>
      <c r="J354" s="22">
        <f t="shared" si="43"/>
        <v>-3.608433428538687E-2</v>
      </c>
      <c r="K354" s="8"/>
      <c r="L354" s="8">
        <v>1.2699269048029445</v>
      </c>
      <c r="M354" s="8">
        <v>0.90247239642024191</v>
      </c>
      <c r="N354" s="8">
        <v>0.96134152490654112</v>
      </c>
      <c r="O354" s="8">
        <v>1.0527603985750291</v>
      </c>
      <c r="P354" s="8">
        <f t="shared" si="44"/>
        <v>1.0861996506115932</v>
      </c>
      <c r="Q354" s="8">
        <f t="shared" si="45"/>
        <v>1.0070509617407852</v>
      </c>
      <c r="R354" s="8">
        <f t="shared" si="46"/>
        <v>0.92713246701355256</v>
      </c>
      <c r="S354" s="22">
        <f t="shared" si="47"/>
        <v>-0.10915261164584118</v>
      </c>
      <c r="T354" s="25"/>
      <c r="U354" s="1" t="s">
        <v>1007</v>
      </c>
    </row>
    <row r="355" spans="1:21">
      <c r="A355" s="6" t="s">
        <v>1008</v>
      </c>
      <c r="B355" s="6" t="s">
        <v>1009</v>
      </c>
      <c r="C355" s="7">
        <v>0.24506837956032451</v>
      </c>
      <c r="D355" s="7">
        <v>0.25188219000902928</v>
      </c>
      <c r="E355" s="7">
        <v>0.51026964818451259</v>
      </c>
      <c r="F355" s="8">
        <v>0.51691860321472138</v>
      </c>
      <c r="G355" s="8">
        <f t="shared" si="40"/>
        <v>0.2484752847846769</v>
      </c>
      <c r="H355" s="8">
        <f t="shared" si="41"/>
        <v>0.51359412569961704</v>
      </c>
      <c r="I355" s="8">
        <f t="shared" si="42"/>
        <v>2.0669827429504153</v>
      </c>
      <c r="J355" s="22">
        <f t="shared" si="43"/>
        <v>1.0475263438848961</v>
      </c>
      <c r="K355" s="8"/>
      <c r="L355" s="8">
        <v>0.49200470146598213</v>
      </c>
      <c r="M355" s="8">
        <v>1.1671265187859905</v>
      </c>
      <c r="N355" s="8">
        <v>0.7411295576489676</v>
      </c>
      <c r="O355" s="8">
        <v>0.75875222759979244</v>
      </c>
      <c r="P355" s="8">
        <f t="shared" si="44"/>
        <v>0.82956561012598629</v>
      </c>
      <c r="Q355" s="8">
        <f t="shared" si="45"/>
        <v>0.74994089262438002</v>
      </c>
      <c r="R355" s="8">
        <f t="shared" si="46"/>
        <v>0.90401637130363488</v>
      </c>
      <c r="S355" s="22">
        <f t="shared" si="47"/>
        <v>-0.14557919549390921</v>
      </c>
      <c r="T355" s="25"/>
      <c r="U355" s="1" t="s">
        <v>1010</v>
      </c>
    </row>
    <row r="356" spans="1:21">
      <c r="A356" s="6" t="s">
        <v>1011</v>
      </c>
      <c r="B356" s="6" t="s">
        <v>1012</v>
      </c>
      <c r="C356" s="7">
        <v>0.99636373140470902</v>
      </c>
      <c r="D356" s="7">
        <v>0.97678396779371668</v>
      </c>
      <c r="E356" s="7">
        <v>1.0486927557821557</v>
      </c>
      <c r="F356" s="8">
        <v>1.0426120694433367</v>
      </c>
      <c r="G356" s="8">
        <f t="shared" si="40"/>
        <v>0.9865738495992129</v>
      </c>
      <c r="H356" s="8">
        <f t="shared" si="41"/>
        <v>1.0456524126127462</v>
      </c>
      <c r="I356" s="8">
        <f t="shared" si="42"/>
        <v>1.059882555206114</v>
      </c>
      <c r="J356" s="22">
        <f t="shared" si="43"/>
        <v>8.3904409685676598E-2</v>
      </c>
      <c r="K356" s="8"/>
      <c r="L356" s="8">
        <v>0.93943856940186032</v>
      </c>
      <c r="M356" s="8">
        <v>1.3271696162722131</v>
      </c>
      <c r="N356" s="8">
        <v>1.0215604629492974</v>
      </c>
      <c r="O356" s="8">
        <v>1.1509257700850171</v>
      </c>
      <c r="P356" s="8">
        <f t="shared" si="44"/>
        <v>1.1333040928370366</v>
      </c>
      <c r="Q356" s="8">
        <f t="shared" si="45"/>
        <v>1.0862431165171573</v>
      </c>
      <c r="R356" s="8">
        <f t="shared" si="46"/>
        <v>0.95847453775440794</v>
      </c>
      <c r="S356" s="22">
        <f t="shared" si="47"/>
        <v>-6.1187988234803495E-2</v>
      </c>
      <c r="T356" s="25"/>
      <c r="U356" s="1" t="s">
        <v>1013</v>
      </c>
    </row>
    <row r="357" spans="1:21">
      <c r="A357" s="6" t="s">
        <v>1014</v>
      </c>
      <c r="B357" s="6" t="s">
        <v>1015</v>
      </c>
      <c r="C357" s="7">
        <v>0.18276557742758195</v>
      </c>
      <c r="D357" s="7">
        <v>0.20594600823645126</v>
      </c>
      <c r="E357" s="7">
        <v>0.31322241212912277</v>
      </c>
      <c r="F357" s="8">
        <v>0.33600467937713729</v>
      </c>
      <c r="G357" s="8">
        <f t="shared" si="40"/>
        <v>0.19435579283201659</v>
      </c>
      <c r="H357" s="8">
        <f t="shared" si="41"/>
        <v>0.32461354575313006</v>
      </c>
      <c r="I357" s="8">
        <f t="shared" si="42"/>
        <v>1.670202575509012</v>
      </c>
      <c r="J357" s="22">
        <f t="shared" si="43"/>
        <v>0.74002309488977625</v>
      </c>
      <c r="K357" s="8"/>
      <c r="L357" s="8">
        <v>0.56428172881209648</v>
      </c>
      <c r="M357" s="8">
        <v>0.50131633547224286</v>
      </c>
      <c r="N357" s="8">
        <v>0.78068471077827262</v>
      </c>
      <c r="O357" s="8">
        <v>1.4207585558488016</v>
      </c>
      <c r="P357" s="8">
        <f t="shared" si="44"/>
        <v>0.53279903214216962</v>
      </c>
      <c r="Q357" s="8">
        <f t="shared" si="45"/>
        <v>1.1007216333135372</v>
      </c>
      <c r="R357" s="8">
        <f t="shared" si="46"/>
        <v>2.0659227342962323</v>
      </c>
      <c r="S357" s="22">
        <f t="shared" si="47"/>
        <v>1.0467862982822849</v>
      </c>
      <c r="T357" s="25"/>
      <c r="U357" s="1" t="s">
        <v>1016</v>
      </c>
    </row>
    <row r="358" spans="1:21">
      <c r="A358" s="6" t="s">
        <v>1017</v>
      </c>
      <c r="B358" s="6" t="s">
        <v>1018</v>
      </c>
      <c r="C358" s="7">
        <v>7.5005250315319086E-2</v>
      </c>
      <c r="D358" s="7">
        <v>7.9991749116225891E-2</v>
      </c>
      <c r="E358" s="7">
        <v>0.15817603658297208</v>
      </c>
      <c r="F358" s="8">
        <v>0.1460849750779252</v>
      </c>
      <c r="G358" s="8">
        <f t="shared" si="40"/>
        <v>7.7498499715772495E-2</v>
      </c>
      <c r="H358" s="8">
        <f t="shared" si="41"/>
        <v>0.15213050583044863</v>
      </c>
      <c r="I358" s="8">
        <f t="shared" si="42"/>
        <v>1.9630122697651013</v>
      </c>
      <c r="J358" s="22">
        <f t="shared" si="43"/>
        <v>0.97306919036595008</v>
      </c>
      <c r="K358" s="8"/>
      <c r="L358" s="8">
        <v>0.92296461632207027</v>
      </c>
      <c r="M358" s="8">
        <v>1.0282336812525552</v>
      </c>
      <c r="N358" s="8">
        <v>1.1486124793941361</v>
      </c>
      <c r="O358" s="8">
        <v>1.2659917319905336</v>
      </c>
      <c r="P358" s="8">
        <f t="shared" si="44"/>
        <v>0.9755991487873128</v>
      </c>
      <c r="Q358" s="8">
        <f t="shared" si="45"/>
        <v>1.2073021056923348</v>
      </c>
      <c r="R358" s="8">
        <f t="shared" si="46"/>
        <v>1.23749811302422</v>
      </c>
      <c r="S358" s="22">
        <f t="shared" si="47"/>
        <v>0.30742632532745884</v>
      </c>
      <c r="T358" s="25"/>
      <c r="U358" s="1" t="s">
        <v>1019</v>
      </c>
    </row>
    <row r="359" spans="1:21">
      <c r="A359" s="6" t="s">
        <v>1020</v>
      </c>
      <c r="B359" s="6" t="s">
        <v>1021</v>
      </c>
      <c r="C359" s="7">
        <v>1.0058788740727727</v>
      </c>
      <c r="D359" s="7">
        <v>1.0018813543962157</v>
      </c>
      <c r="E359" s="7">
        <v>0.92509137970510302</v>
      </c>
      <c r="F359" s="8">
        <v>1.1403297356830238</v>
      </c>
      <c r="G359" s="8">
        <f t="shared" si="40"/>
        <v>1.0038801142344942</v>
      </c>
      <c r="H359" s="8">
        <f t="shared" si="41"/>
        <v>1.0327105576940634</v>
      </c>
      <c r="I359" s="8">
        <f t="shared" si="42"/>
        <v>1.028719010418444</v>
      </c>
      <c r="J359" s="22">
        <f t="shared" si="43"/>
        <v>4.0848970924876507E-2</v>
      </c>
      <c r="K359" s="8"/>
      <c r="L359" s="8">
        <v>1.0226222652889425</v>
      </c>
      <c r="M359" s="8">
        <v>1.420414675368415</v>
      </c>
      <c r="N359" s="8">
        <v>1.1113052693934911</v>
      </c>
      <c r="O359" s="8">
        <v>1.2245608883437515</v>
      </c>
      <c r="P359" s="8">
        <f t="shared" si="44"/>
        <v>1.2215184703286788</v>
      </c>
      <c r="Q359" s="8">
        <f t="shared" si="45"/>
        <v>1.1679330788686213</v>
      </c>
      <c r="R359" s="8">
        <f t="shared" si="46"/>
        <v>0.95613214800948609</v>
      </c>
      <c r="S359" s="22">
        <f t="shared" si="47"/>
        <v>-6.471806653235801E-2</v>
      </c>
      <c r="T359" s="25"/>
      <c r="U359" s="1" t="s">
        <v>1022</v>
      </c>
    </row>
    <row r="360" spans="1:21">
      <c r="A360" s="6" t="s">
        <v>1023</v>
      </c>
      <c r="B360" s="6" t="s">
        <v>1024</v>
      </c>
      <c r="C360" s="7">
        <v>0.210001336918472</v>
      </c>
      <c r="D360" s="7">
        <v>0.24444446463246913</v>
      </c>
      <c r="E360" s="7">
        <v>0.54246333811716052</v>
      </c>
      <c r="F360" s="8">
        <v>0.56297673757561906</v>
      </c>
      <c r="G360" s="8">
        <f t="shared" si="40"/>
        <v>0.22722290077547058</v>
      </c>
      <c r="H360" s="8">
        <f t="shared" si="41"/>
        <v>0.55272003784638979</v>
      </c>
      <c r="I360" s="8">
        <f t="shared" si="42"/>
        <v>2.4325014598443047</v>
      </c>
      <c r="J360" s="22">
        <f t="shared" si="43"/>
        <v>1.2824406708273557</v>
      </c>
      <c r="K360" s="8"/>
      <c r="L360" s="8">
        <v>0.68855263574007775</v>
      </c>
      <c r="M360" s="8">
        <v>0.73227717415668137</v>
      </c>
      <c r="N360" s="8">
        <v>0.80869754053541976</v>
      </c>
      <c r="O360" s="8">
        <v>0.9363193230152832</v>
      </c>
      <c r="P360" s="8">
        <f t="shared" si="44"/>
        <v>0.71041490494837956</v>
      </c>
      <c r="Q360" s="8">
        <f t="shared" si="45"/>
        <v>0.87250843177535153</v>
      </c>
      <c r="R360" s="8">
        <f t="shared" si="46"/>
        <v>1.2281674070995878</v>
      </c>
      <c r="S360" s="22">
        <f t="shared" si="47"/>
        <v>0.29650722270438856</v>
      </c>
      <c r="T360" s="25"/>
      <c r="U360" s="1" t="s">
        <v>1025</v>
      </c>
    </row>
    <row r="361" spans="1:21">
      <c r="A361" s="6" t="s">
        <v>1026</v>
      </c>
      <c r="B361" s="6" t="s">
        <v>1027</v>
      </c>
      <c r="C361" s="7">
        <v>0.98694213648759543</v>
      </c>
      <c r="D361" s="7">
        <v>0.99814932759222486</v>
      </c>
      <c r="E361" s="7">
        <v>0.98605232033180978</v>
      </c>
      <c r="F361" s="8">
        <v>1.0566056667760204</v>
      </c>
      <c r="G361" s="8">
        <f t="shared" si="40"/>
        <v>0.99254573203991014</v>
      </c>
      <c r="H361" s="8">
        <f t="shared" si="41"/>
        <v>1.0213289935539152</v>
      </c>
      <c r="I361" s="8">
        <f t="shared" si="42"/>
        <v>1.028999431043695</v>
      </c>
      <c r="J361" s="22">
        <f t="shared" si="43"/>
        <v>4.1242184534440549E-2</v>
      </c>
      <c r="K361" s="8"/>
      <c r="L361" s="8">
        <v>0.67002757783019529</v>
      </c>
      <c r="M361" s="8">
        <v>1.1539949660848685</v>
      </c>
      <c r="N361" s="8">
        <v>0.94098034772194805</v>
      </c>
      <c r="O361" s="8">
        <v>0.96590644583370244</v>
      </c>
      <c r="P361" s="8">
        <f t="shared" si="44"/>
        <v>0.91201127195753195</v>
      </c>
      <c r="Q361" s="8">
        <f t="shared" si="45"/>
        <v>0.9534433967778253</v>
      </c>
      <c r="R361" s="8">
        <f t="shared" si="46"/>
        <v>1.0454293999364326</v>
      </c>
      <c r="S361" s="22">
        <f t="shared" si="47"/>
        <v>6.4095636962654148E-2</v>
      </c>
      <c r="T361" s="25"/>
      <c r="U361" s="1" t="s">
        <v>1028</v>
      </c>
    </row>
    <row r="362" spans="1:21">
      <c r="A362" s="6" t="s">
        <v>1029</v>
      </c>
      <c r="B362" s="6" t="s">
        <v>1030</v>
      </c>
      <c r="C362" s="7">
        <v>0.94176525476092532</v>
      </c>
      <c r="D362" s="7">
        <v>1.032665638985748</v>
      </c>
      <c r="E362" s="7">
        <v>0.96584442277509219</v>
      </c>
      <c r="F362" s="8">
        <v>1.0165249954907527</v>
      </c>
      <c r="G362" s="8">
        <f t="shared" si="40"/>
        <v>0.98721544687333673</v>
      </c>
      <c r="H362" s="8">
        <f t="shared" si="41"/>
        <v>0.99118470913292245</v>
      </c>
      <c r="I362" s="8">
        <f t="shared" si="42"/>
        <v>1.004020664660543</v>
      </c>
      <c r="J362" s="22">
        <f t="shared" si="43"/>
        <v>5.7889630102812605E-3</v>
      </c>
      <c r="K362" s="8"/>
      <c r="L362" s="8">
        <v>0.9334154837896842</v>
      </c>
      <c r="M362" s="8">
        <v>0.88213136380477852</v>
      </c>
      <c r="N362" s="8">
        <v>1.0992009602391681</v>
      </c>
      <c r="O362" s="8">
        <v>1.0232176342615851</v>
      </c>
      <c r="P362" s="8">
        <f t="shared" si="44"/>
        <v>0.90777342379723136</v>
      </c>
      <c r="Q362" s="8">
        <f t="shared" si="45"/>
        <v>1.0612092972503766</v>
      </c>
      <c r="R362" s="8">
        <f t="shared" si="46"/>
        <v>1.1690244167000621</v>
      </c>
      <c r="S362" s="22">
        <f t="shared" si="47"/>
        <v>0.22530506287574673</v>
      </c>
      <c r="T362" s="25"/>
      <c r="U362" s="1" t="s">
        <v>1031</v>
      </c>
    </row>
    <row r="363" spans="1:21">
      <c r="A363" s="6" t="s">
        <v>1032</v>
      </c>
      <c r="B363" s="6" t="s">
        <v>80</v>
      </c>
      <c r="C363" s="7">
        <v>0.97335098467099335</v>
      </c>
      <c r="D363" s="7">
        <v>1.1627600124969968</v>
      </c>
      <c r="E363" s="7">
        <v>1.0193184587662996</v>
      </c>
      <c r="F363" s="8">
        <v>1.0760093300270446</v>
      </c>
      <c r="G363" s="8">
        <f t="shared" si="40"/>
        <v>1.0680554985839952</v>
      </c>
      <c r="H363" s="8">
        <f t="shared" si="41"/>
        <v>1.0476638943966721</v>
      </c>
      <c r="I363" s="8">
        <f t="shared" si="42"/>
        <v>0.98090772978149743</v>
      </c>
      <c r="J363" s="22">
        <f t="shared" si="43"/>
        <v>-2.7810660835710984E-2</v>
      </c>
      <c r="K363" s="8"/>
      <c r="L363" s="8">
        <v>0.92439713398118251</v>
      </c>
      <c r="M363" s="8">
        <v>1.0536139931959001</v>
      </c>
      <c r="N363" s="8">
        <v>1.4917264142436377</v>
      </c>
      <c r="O363" s="8">
        <v>1.0309360141272597</v>
      </c>
      <c r="P363" s="8">
        <f t="shared" si="44"/>
        <v>0.9890055635885413</v>
      </c>
      <c r="Q363" s="8">
        <f t="shared" si="45"/>
        <v>1.2613312141854487</v>
      </c>
      <c r="R363" s="8">
        <f t="shared" si="46"/>
        <v>1.275353001664411</v>
      </c>
      <c r="S363" s="22">
        <f t="shared" si="47"/>
        <v>0.35089662219306222</v>
      </c>
      <c r="T363" s="25"/>
      <c r="U363" s="1">
        <v>0</v>
      </c>
    </row>
    <row r="364" spans="1:21">
      <c r="A364" s="6" t="s">
        <v>1033</v>
      </c>
      <c r="B364" s="6" t="s">
        <v>80</v>
      </c>
      <c r="C364" s="7">
        <v>1.892410863879896</v>
      </c>
      <c r="D364" s="7">
        <v>1.8787299377719566</v>
      </c>
      <c r="E364" s="7">
        <v>1.8697836106451264</v>
      </c>
      <c r="F364" s="8">
        <v>2.0758884763568539</v>
      </c>
      <c r="G364" s="8">
        <f t="shared" si="40"/>
        <v>1.8855704008259262</v>
      </c>
      <c r="H364" s="8">
        <f t="shared" si="41"/>
        <v>1.9728360435009902</v>
      </c>
      <c r="I364" s="8">
        <f t="shared" si="42"/>
        <v>1.0462807660943549</v>
      </c>
      <c r="J364" s="22">
        <f t="shared" si="43"/>
        <v>6.5270046134430104E-2</v>
      </c>
      <c r="K364" s="8"/>
      <c r="L364" s="8">
        <v>1.4093369188101796</v>
      </c>
      <c r="M364" s="8">
        <v>1.5741310863991951</v>
      </c>
      <c r="N364" s="8">
        <v>1.766105164966806</v>
      </c>
      <c r="O364" s="8">
        <v>1.572464642863785</v>
      </c>
      <c r="P364" s="8">
        <f t="shared" si="44"/>
        <v>1.4917340026046872</v>
      </c>
      <c r="Q364" s="8">
        <f t="shared" si="45"/>
        <v>1.6692849039152955</v>
      </c>
      <c r="R364" s="8">
        <f t="shared" si="46"/>
        <v>1.1190231643178945</v>
      </c>
      <c r="S364" s="22">
        <f t="shared" si="47"/>
        <v>0.16223990110488279</v>
      </c>
      <c r="T364" s="25"/>
      <c r="U364" s="1">
        <v>0</v>
      </c>
    </row>
    <row r="365" spans="1:21">
      <c r="A365" s="6" t="s">
        <v>1034</v>
      </c>
      <c r="B365" s="6" t="s">
        <v>1035</v>
      </c>
      <c r="C365" s="7">
        <v>1.1652374678162065</v>
      </c>
      <c r="D365" s="7">
        <v>0.96708201451491171</v>
      </c>
      <c r="E365" s="7">
        <v>1.0597140190023415</v>
      </c>
      <c r="F365" s="8">
        <v>0.97219544316717854</v>
      </c>
      <c r="G365" s="8">
        <f t="shared" si="40"/>
        <v>1.066159741165559</v>
      </c>
      <c r="H365" s="8">
        <f t="shared" si="41"/>
        <v>1.0159547310847601</v>
      </c>
      <c r="I365" s="8">
        <f t="shared" si="42"/>
        <v>0.95291042407405735</v>
      </c>
      <c r="J365" s="22">
        <f t="shared" si="43"/>
        <v>-6.9587491264164289E-2</v>
      </c>
      <c r="K365" s="8"/>
      <c r="L365" s="8">
        <v>1.2722710246087645</v>
      </c>
      <c r="M365" s="8">
        <v>1.1210005605585203</v>
      </c>
      <c r="N365" s="8">
        <v>1.2037735453974074</v>
      </c>
      <c r="O365" s="8">
        <v>1.2138261301397673</v>
      </c>
      <c r="P365" s="8">
        <f t="shared" si="44"/>
        <v>1.1966357925836424</v>
      </c>
      <c r="Q365" s="8">
        <f t="shared" si="45"/>
        <v>1.2087998377685873</v>
      </c>
      <c r="R365" s="8">
        <f t="shared" si="46"/>
        <v>1.0101652025289012</v>
      </c>
      <c r="S365" s="22">
        <f t="shared" si="47"/>
        <v>1.4591250778363705E-2</v>
      </c>
      <c r="T365" s="25"/>
      <c r="U365" s="1" t="s">
        <v>1036</v>
      </c>
    </row>
    <row r="366" spans="1:21">
      <c r="A366" s="6" t="s">
        <v>1037</v>
      </c>
      <c r="B366" s="6" t="s">
        <v>1038</v>
      </c>
      <c r="C366" s="7">
        <v>1.08663062908931</v>
      </c>
      <c r="D366" s="7">
        <v>1.004027105257064</v>
      </c>
      <c r="E366" s="7">
        <v>1.1175857683470134</v>
      </c>
      <c r="F366" s="8">
        <v>0.93947773964394532</v>
      </c>
      <c r="G366" s="8">
        <f t="shared" si="40"/>
        <v>1.0453288671731871</v>
      </c>
      <c r="H366" s="8">
        <f t="shared" si="41"/>
        <v>1.0285317539954795</v>
      </c>
      <c r="I366" s="8">
        <f t="shared" si="42"/>
        <v>0.98393126440377476</v>
      </c>
      <c r="J366" s="22">
        <f t="shared" si="43"/>
        <v>-2.337055977757211E-2</v>
      </c>
      <c r="K366" s="8"/>
      <c r="L366" s="8">
        <v>0.39596090386641569</v>
      </c>
      <c r="M366" s="8">
        <v>1.0011981315737748</v>
      </c>
      <c r="N366" s="8">
        <v>1.1692330346320361</v>
      </c>
      <c r="O366" s="8">
        <v>1.1272383284282914</v>
      </c>
      <c r="P366" s="8">
        <f t="shared" si="44"/>
        <v>0.6985795177200953</v>
      </c>
      <c r="Q366" s="8">
        <f t="shared" si="45"/>
        <v>1.1482356815301638</v>
      </c>
      <c r="R366" s="8">
        <f t="shared" si="46"/>
        <v>1.6436721266572194</v>
      </c>
      <c r="S366" s="22">
        <f t="shared" si="47"/>
        <v>0.71692254450575488</v>
      </c>
      <c r="T366" s="25"/>
      <c r="U366" s="1" t="s">
        <v>1039</v>
      </c>
    </row>
    <row r="367" spans="1:21">
      <c r="A367" s="6" t="s">
        <v>1040</v>
      </c>
      <c r="B367" s="6" t="s">
        <v>1041</v>
      </c>
      <c r="C367" s="7">
        <v>1.1803120196835883</v>
      </c>
      <c r="D367" s="7">
        <v>1.0085555610615538</v>
      </c>
      <c r="E367" s="7">
        <v>0.97662286746655913</v>
      </c>
      <c r="F367" s="8">
        <v>0.99670568083380717</v>
      </c>
      <c r="G367" s="8">
        <f t="shared" si="40"/>
        <v>1.0944337903725709</v>
      </c>
      <c r="H367" s="8">
        <f t="shared" si="41"/>
        <v>0.98666427415018321</v>
      </c>
      <c r="I367" s="8">
        <f t="shared" si="42"/>
        <v>0.9015294326889336</v>
      </c>
      <c r="J367" s="22">
        <f t="shared" si="43"/>
        <v>-0.14955350206367629</v>
      </c>
      <c r="K367" s="8"/>
      <c r="L367" s="8">
        <v>1.1433118780691434</v>
      </c>
      <c r="M367" s="8">
        <v>1.2323428855621505</v>
      </c>
      <c r="N367" s="8">
        <v>0.98827361277490955</v>
      </c>
      <c r="O367" s="8">
        <v>0.91493852361726513</v>
      </c>
      <c r="P367" s="8">
        <f t="shared" si="44"/>
        <v>1.1878273818156471</v>
      </c>
      <c r="Q367" s="8">
        <f t="shared" si="45"/>
        <v>0.9516060681960874</v>
      </c>
      <c r="R367" s="8">
        <f t="shared" si="46"/>
        <v>0.80113161454614312</v>
      </c>
      <c r="S367" s="22">
        <f t="shared" si="47"/>
        <v>-0.31988881847695971</v>
      </c>
      <c r="T367" s="25"/>
      <c r="U367" s="1" t="s">
        <v>1042</v>
      </c>
    </row>
    <row r="368" spans="1:21">
      <c r="A368" s="6" t="s">
        <v>1043</v>
      </c>
      <c r="B368" s="6" t="s">
        <v>1044</v>
      </c>
      <c r="C368" s="7">
        <v>1.0651413742996381</v>
      </c>
      <c r="D368" s="7">
        <v>0.93173636383161273</v>
      </c>
      <c r="E368" s="7">
        <v>0.98714500371104485</v>
      </c>
      <c r="F368" s="8">
        <v>0.944379787177271</v>
      </c>
      <c r="G368" s="8">
        <f t="shared" si="40"/>
        <v>0.9984388690656254</v>
      </c>
      <c r="H368" s="8">
        <f t="shared" si="41"/>
        <v>0.96576239544415787</v>
      </c>
      <c r="I368" s="8">
        <f t="shared" si="42"/>
        <v>0.96727243436341037</v>
      </c>
      <c r="J368" s="22">
        <f t="shared" si="43"/>
        <v>-4.8005809787497015E-2</v>
      </c>
      <c r="K368" s="8"/>
      <c r="L368" s="8">
        <v>0.7857033788035036</v>
      </c>
      <c r="M368" s="8">
        <v>0.64881640922994288</v>
      </c>
      <c r="N368" s="8">
        <v>1.1645642296725116</v>
      </c>
      <c r="O368" s="8">
        <v>0.83287528941325362</v>
      </c>
      <c r="P368" s="8">
        <f t="shared" si="44"/>
        <v>0.71725989401672319</v>
      </c>
      <c r="Q368" s="8">
        <f t="shared" si="45"/>
        <v>0.99871975954288261</v>
      </c>
      <c r="R368" s="8">
        <f t="shared" si="46"/>
        <v>1.3924098752405598</v>
      </c>
      <c r="S368" s="22">
        <f t="shared" si="47"/>
        <v>0.47758395108321183</v>
      </c>
      <c r="T368" s="25"/>
      <c r="U368" s="1" t="s">
        <v>1045</v>
      </c>
    </row>
    <row r="369" spans="1:21">
      <c r="A369" s="6" t="s">
        <v>1046</v>
      </c>
      <c r="B369" s="6" t="s">
        <v>1047</v>
      </c>
      <c r="C369" s="7">
        <v>1.3545981616857681</v>
      </c>
      <c r="D369" s="7">
        <v>1.0968999415962351</v>
      </c>
      <c r="E369" s="7">
        <v>1.0933578751481718</v>
      </c>
      <c r="F369" s="8">
        <v>1.070361749019606</v>
      </c>
      <c r="G369" s="8">
        <f t="shared" si="40"/>
        <v>1.2257490516410017</v>
      </c>
      <c r="H369" s="8">
        <f t="shared" si="41"/>
        <v>1.0818598120838889</v>
      </c>
      <c r="I369" s="8">
        <f t="shared" si="42"/>
        <v>0.88261117610943485</v>
      </c>
      <c r="J369" s="22">
        <f t="shared" si="43"/>
        <v>-0.18015007925760776</v>
      </c>
      <c r="K369" s="8"/>
      <c r="L369" s="8">
        <v>0.70229178237974454</v>
      </c>
      <c r="M369" s="8">
        <v>1.3360343339219902</v>
      </c>
      <c r="N369" s="8">
        <v>0.91573421720007475</v>
      </c>
      <c r="O369" s="8">
        <v>0.9554821971645443</v>
      </c>
      <c r="P369" s="8">
        <f t="shared" si="44"/>
        <v>1.0191630581508675</v>
      </c>
      <c r="Q369" s="8">
        <f t="shared" si="45"/>
        <v>0.93560820718230953</v>
      </c>
      <c r="R369" s="8">
        <f t="shared" si="46"/>
        <v>0.91801620918230997</v>
      </c>
      <c r="S369" s="22">
        <f t="shared" si="47"/>
        <v>-0.1234084677183406</v>
      </c>
      <c r="T369" s="25"/>
      <c r="U369" s="1" t="s">
        <v>1048</v>
      </c>
    </row>
    <row r="370" spans="1:21">
      <c r="A370" s="6" t="s">
        <v>1049</v>
      </c>
      <c r="B370" s="6" t="s">
        <v>1050</v>
      </c>
      <c r="C370" s="7">
        <v>1.1053468612615334</v>
      </c>
      <c r="D370" s="7">
        <v>1.0748237195493477</v>
      </c>
      <c r="E370" s="7">
        <v>1.0268593230748477</v>
      </c>
      <c r="F370" s="8">
        <v>0.99605911198015185</v>
      </c>
      <c r="G370" s="8">
        <f t="shared" si="40"/>
        <v>1.0900852904054406</v>
      </c>
      <c r="H370" s="8">
        <f t="shared" si="41"/>
        <v>1.0114592175274999</v>
      </c>
      <c r="I370" s="8">
        <f t="shared" si="42"/>
        <v>0.92787163209156154</v>
      </c>
      <c r="J370" s="22">
        <f t="shared" si="43"/>
        <v>-0.10800286771870225</v>
      </c>
      <c r="K370" s="8"/>
      <c r="L370" s="8">
        <v>0.57694648720742914</v>
      </c>
      <c r="M370" s="8">
        <v>0.60463995322420772</v>
      </c>
      <c r="N370" s="8">
        <v>0.54849812339302972</v>
      </c>
      <c r="O370" s="8">
        <v>0.5764387721519616</v>
      </c>
      <c r="P370" s="8">
        <f t="shared" si="44"/>
        <v>0.59079322021581837</v>
      </c>
      <c r="Q370" s="8">
        <f t="shared" si="45"/>
        <v>0.56246844777249572</v>
      </c>
      <c r="R370" s="8">
        <f t="shared" si="46"/>
        <v>0.95205636849898934</v>
      </c>
      <c r="S370" s="22">
        <f t="shared" si="47"/>
        <v>-7.0881101032220881E-2</v>
      </c>
      <c r="T370" s="25"/>
      <c r="U370" s="1" t="s">
        <v>1051</v>
      </c>
    </row>
    <row r="371" spans="1:21">
      <c r="A371" s="6" t="s">
        <v>1052</v>
      </c>
      <c r="B371" s="6" t="s">
        <v>1053</v>
      </c>
      <c r="C371" s="7">
        <v>1.1160647607275265</v>
      </c>
      <c r="D371" s="7">
        <v>0.96419249111640737</v>
      </c>
      <c r="E371" s="7">
        <v>1.1254436457347223</v>
      </c>
      <c r="F371" s="8">
        <v>0.95995681843727376</v>
      </c>
      <c r="G371" s="8">
        <f t="shared" si="40"/>
        <v>1.0401286259219669</v>
      </c>
      <c r="H371" s="8">
        <f t="shared" si="41"/>
        <v>1.0427002320859979</v>
      </c>
      <c r="I371" s="8">
        <f t="shared" si="42"/>
        <v>1.002472392452185</v>
      </c>
      <c r="J371" s="22">
        <f t="shared" si="43"/>
        <v>3.5625061856748201E-3</v>
      </c>
      <c r="K371" s="8"/>
      <c r="L371" s="8">
        <v>0.95783339843364168</v>
      </c>
      <c r="M371" s="8">
        <v>1.0403720913124159</v>
      </c>
      <c r="N371" s="8">
        <v>0.95710501670252812</v>
      </c>
      <c r="O371" s="8">
        <v>1.0461509813337331</v>
      </c>
      <c r="P371" s="8">
        <f t="shared" si="44"/>
        <v>0.99910274487302875</v>
      </c>
      <c r="Q371" s="8">
        <f t="shared" si="45"/>
        <v>1.0016279990181305</v>
      </c>
      <c r="R371" s="8">
        <f t="shared" si="46"/>
        <v>1.0025275219771543</v>
      </c>
      <c r="S371" s="22">
        <f t="shared" si="47"/>
        <v>3.6418429394846096E-3</v>
      </c>
      <c r="T371" s="25"/>
      <c r="U371" s="1" t="s">
        <v>1054</v>
      </c>
    </row>
    <row r="372" spans="1:21">
      <c r="A372" s="6" t="s">
        <v>1055</v>
      </c>
      <c r="B372" s="6" t="s">
        <v>1056</v>
      </c>
      <c r="C372" s="7">
        <v>1.2038726889585829</v>
      </c>
      <c r="D372" s="7">
        <v>1.0701043840670525</v>
      </c>
      <c r="E372" s="7">
        <v>1.1656840719107495</v>
      </c>
      <c r="F372" s="8">
        <v>1.129912059969536</v>
      </c>
      <c r="G372" s="8">
        <f t="shared" si="40"/>
        <v>1.1369885365128178</v>
      </c>
      <c r="H372" s="8">
        <f t="shared" si="41"/>
        <v>1.1477980659401428</v>
      </c>
      <c r="I372" s="8">
        <f t="shared" si="42"/>
        <v>1.0095071577946406</v>
      </c>
      <c r="J372" s="22">
        <f t="shared" si="43"/>
        <v>1.3651139969259577E-2</v>
      </c>
      <c r="K372" s="8"/>
      <c r="L372" s="8">
        <v>1.0796625138972273</v>
      </c>
      <c r="M372" s="8">
        <v>1.0723365711367154</v>
      </c>
      <c r="N372" s="8">
        <v>1.0042685927288362</v>
      </c>
      <c r="O372" s="8">
        <v>1.0142572162566066</v>
      </c>
      <c r="P372" s="8">
        <f t="shared" si="44"/>
        <v>1.0759995425169713</v>
      </c>
      <c r="Q372" s="8">
        <f t="shared" si="45"/>
        <v>1.0092629044927213</v>
      </c>
      <c r="R372" s="8">
        <f t="shared" si="46"/>
        <v>0.93797707583765311</v>
      </c>
      <c r="S372" s="22">
        <f t="shared" si="47"/>
        <v>-9.2375431186665746E-2</v>
      </c>
      <c r="T372" s="25"/>
      <c r="U372" s="1" t="s">
        <v>1057</v>
      </c>
    </row>
    <row r="373" spans="1:21">
      <c r="A373" s="6" t="s">
        <v>1058</v>
      </c>
      <c r="B373" s="6" t="s">
        <v>1059</v>
      </c>
      <c r="C373" s="7">
        <v>1.1948252850452696</v>
      </c>
      <c r="D373" s="7">
        <v>1.1738047055782959</v>
      </c>
      <c r="E373" s="7">
        <v>1.1851028092491307</v>
      </c>
      <c r="F373" s="8">
        <v>1.0079282687936821</v>
      </c>
      <c r="G373" s="8">
        <f t="shared" si="40"/>
        <v>1.1843149953117829</v>
      </c>
      <c r="H373" s="8">
        <f t="shared" si="41"/>
        <v>1.0965155390214063</v>
      </c>
      <c r="I373" s="8">
        <f t="shared" si="42"/>
        <v>0.92586477699097069</v>
      </c>
      <c r="J373" s="22">
        <f t="shared" si="43"/>
        <v>-0.1111265923413958</v>
      </c>
      <c r="K373" s="8"/>
      <c r="L373" s="8">
        <v>0.89275151660261354</v>
      </c>
      <c r="M373" s="8">
        <v>1.0165366679221441</v>
      </c>
      <c r="N373" s="8">
        <v>1.3385636737659026</v>
      </c>
      <c r="O373" s="8">
        <v>1.0302706365526326</v>
      </c>
      <c r="P373" s="8">
        <f t="shared" si="44"/>
        <v>0.9546440922623789</v>
      </c>
      <c r="Q373" s="8">
        <f t="shared" si="45"/>
        <v>1.1844171551592675</v>
      </c>
      <c r="R373" s="8">
        <f t="shared" si="46"/>
        <v>1.2406897657035274</v>
      </c>
      <c r="S373" s="22">
        <f t="shared" si="47"/>
        <v>0.31114241487663924</v>
      </c>
      <c r="T373" s="25"/>
      <c r="U373" s="1" t="s">
        <v>1060</v>
      </c>
    </row>
    <row r="374" spans="1:21">
      <c r="A374" s="6" t="s">
        <v>1061</v>
      </c>
      <c r="B374" s="6" t="s">
        <v>1062</v>
      </c>
      <c r="C374" s="7">
        <v>1.1099039731292437</v>
      </c>
      <c r="D374" s="7">
        <v>1.2155152062077308</v>
      </c>
      <c r="E374" s="7">
        <v>1.1129991961378785</v>
      </c>
      <c r="F374" s="8">
        <v>0.9152643958386889</v>
      </c>
      <c r="G374" s="8">
        <f t="shared" si="40"/>
        <v>1.1627095896684874</v>
      </c>
      <c r="H374" s="8">
        <f t="shared" si="41"/>
        <v>1.0141317959882836</v>
      </c>
      <c r="I374" s="8">
        <f t="shared" si="42"/>
        <v>0.87221418400568418</v>
      </c>
      <c r="J374" s="22">
        <f t="shared" si="43"/>
        <v>-0.19724564307335515</v>
      </c>
      <c r="K374" s="8"/>
      <c r="L374" s="8">
        <v>1.0630908891588615</v>
      </c>
      <c r="M374" s="8">
        <v>1.3686241257796765</v>
      </c>
      <c r="N374" s="8">
        <v>1.4561483912650388</v>
      </c>
      <c r="O374" s="8">
        <v>1.2664353170402849</v>
      </c>
      <c r="P374" s="8">
        <f t="shared" si="44"/>
        <v>1.215857507469269</v>
      </c>
      <c r="Q374" s="8">
        <f t="shared" si="45"/>
        <v>1.361291854152662</v>
      </c>
      <c r="R374" s="8">
        <f t="shared" si="46"/>
        <v>1.1196146306536408</v>
      </c>
      <c r="S374" s="22">
        <f t="shared" si="47"/>
        <v>0.16300224467935998</v>
      </c>
      <c r="T374" s="25"/>
      <c r="U374" s="1" t="s">
        <v>1063</v>
      </c>
    </row>
    <row r="375" spans="1:21">
      <c r="A375" s="6" t="s">
        <v>1064</v>
      </c>
      <c r="B375" s="6" t="s">
        <v>1065</v>
      </c>
      <c r="C375" s="7">
        <v>0.14485869234617393</v>
      </c>
      <c r="D375" s="7">
        <v>0.17492476956412567</v>
      </c>
      <c r="E375" s="7">
        <v>0.30973526825835407</v>
      </c>
      <c r="F375" s="8">
        <v>0.24483187337036971</v>
      </c>
      <c r="G375" s="8">
        <f t="shared" si="40"/>
        <v>0.1598917309551498</v>
      </c>
      <c r="H375" s="8">
        <f t="shared" si="41"/>
        <v>0.27728357081436189</v>
      </c>
      <c r="I375" s="8">
        <f t="shared" si="42"/>
        <v>1.7341958158683073</v>
      </c>
      <c r="J375" s="22">
        <f t="shared" si="43"/>
        <v>0.79426680895894863</v>
      </c>
      <c r="K375" s="8"/>
      <c r="L375" s="8">
        <v>0.99306030995999117</v>
      </c>
      <c r="M375" s="8">
        <v>1.1577100552244017</v>
      </c>
      <c r="N375" s="8">
        <v>1.4175875206734103</v>
      </c>
      <c r="O375" s="8">
        <v>1.1610395092193493</v>
      </c>
      <c r="P375" s="8">
        <f t="shared" si="44"/>
        <v>1.0753851825921965</v>
      </c>
      <c r="Q375" s="8">
        <f t="shared" si="45"/>
        <v>1.2893135149463797</v>
      </c>
      <c r="R375" s="8">
        <f t="shared" si="46"/>
        <v>1.1989318207254007</v>
      </c>
      <c r="S375" s="22">
        <f t="shared" si="47"/>
        <v>0.26174961980463007</v>
      </c>
      <c r="T375" s="25"/>
      <c r="U375" s="1" t="s">
        <v>1066</v>
      </c>
    </row>
    <row r="376" spans="1:21">
      <c r="A376" s="6" t="s">
        <v>1067</v>
      </c>
      <c r="B376" s="6" t="s">
        <v>1068</v>
      </c>
      <c r="C376" s="7">
        <v>1.2248474311180293</v>
      </c>
      <c r="D376" s="7">
        <v>1.581629010296584</v>
      </c>
      <c r="E376" s="7">
        <v>0.99069959717312439</v>
      </c>
      <c r="F376" s="8">
        <v>1.0684286401000038</v>
      </c>
      <c r="G376" s="8">
        <f t="shared" si="40"/>
        <v>1.4032382207073066</v>
      </c>
      <c r="H376" s="8">
        <f t="shared" si="41"/>
        <v>1.0295641186365641</v>
      </c>
      <c r="I376" s="8">
        <f t="shared" si="42"/>
        <v>0.73370586935524673</v>
      </c>
      <c r="J376" s="22">
        <f t="shared" si="43"/>
        <v>-0.44672626869466742</v>
      </c>
      <c r="K376" s="8"/>
      <c r="L376" s="8">
        <v>1.5052504875316448</v>
      </c>
      <c r="M376" s="8">
        <v>1.5224876690536064</v>
      </c>
      <c r="N376" s="8">
        <v>1.6830177285574899</v>
      </c>
      <c r="O376" s="8">
        <v>1.2189273582119087</v>
      </c>
      <c r="P376" s="8">
        <f t="shared" si="44"/>
        <v>1.5138690782926256</v>
      </c>
      <c r="Q376" s="8">
        <f t="shared" si="45"/>
        <v>1.4509725433846992</v>
      </c>
      <c r="R376" s="8">
        <f t="shared" si="46"/>
        <v>0.95845312133671257</v>
      </c>
      <c r="S376" s="22">
        <f t="shared" si="47"/>
        <v>-6.1220224568248292E-2</v>
      </c>
      <c r="T376" s="25"/>
      <c r="U376" s="1" t="s">
        <v>1069</v>
      </c>
    </row>
    <row r="377" spans="1:21">
      <c r="A377" s="6" t="s">
        <v>1070</v>
      </c>
      <c r="B377" s="6" t="s">
        <v>1071</v>
      </c>
      <c r="C377" s="7">
        <v>1.4394459717974759</v>
      </c>
      <c r="D377" s="7">
        <v>1.7541974031484897</v>
      </c>
      <c r="E377" s="7">
        <v>1.0546485546949</v>
      </c>
      <c r="F377" s="8">
        <v>1.1786488367241488</v>
      </c>
      <c r="G377" s="8">
        <f t="shared" si="40"/>
        <v>1.5968216874729828</v>
      </c>
      <c r="H377" s="8">
        <f t="shared" si="41"/>
        <v>1.1166486957095243</v>
      </c>
      <c r="I377" s="8">
        <f t="shared" si="42"/>
        <v>0.69929454520163337</v>
      </c>
      <c r="J377" s="22">
        <f t="shared" si="43"/>
        <v>-0.51602784329766183</v>
      </c>
      <c r="K377" s="8"/>
      <c r="L377" s="8">
        <v>1.3423667182466852</v>
      </c>
      <c r="M377" s="8">
        <v>1.4265942295807077</v>
      </c>
      <c r="N377" s="8">
        <v>1.6770520333314307</v>
      </c>
      <c r="O377" s="8">
        <v>1.9357164401052174</v>
      </c>
      <c r="P377" s="8">
        <f t="shared" si="44"/>
        <v>1.3844804739136964</v>
      </c>
      <c r="Q377" s="8">
        <f t="shared" si="45"/>
        <v>1.806384236718324</v>
      </c>
      <c r="R377" s="8">
        <f t="shared" si="46"/>
        <v>1.3047379654347711</v>
      </c>
      <c r="S377" s="22">
        <f t="shared" si="47"/>
        <v>0.38376009497422248</v>
      </c>
      <c r="T377" s="25"/>
      <c r="U377" s="1" t="s">
        <v>1072</v>
      </c>
    </row>
    <row r="378" spans="1:21">
      <c r="A378" s="6" t="s">
        <v>1073</v>
      </c>
      <c r="B378" s="9" t="s">
        <v>1074</v>
      </c>
      <c r="C378" s="10">
        <v>2.0878454795790007</v>
      </c>
      <c r="D378" s="10">
        <v>2.1579869064014403</v>
      </c>
      <c r="E378" s="10">
        <v>1.4670623358056947</v>
      </c>
      <c r="F378" s="8">
        <v>1.6601908869460134</v>
      </c>
      <c r="G378" s="8">
        <f t="shared" si="40"/>
        <v>2.1229161929902203</v>
      </c>
      <c r="H378" s="8">
        <f t="shared" si="41"/>
        <v>1.5636266113758541</v>
      </c>
      <c r="I378" s="8">
        <f t="shared" si="42"/>
        <v>0.73654655635435973</v>
      </c>
      <c r="J378" s="22">
        <f t="shared" si="43"/>
        <v>-0.44115137546636657</v>
      </c>
      <c r="K378" s="8"/>
      <c r="L378" s="8">
        <v>1.3093536976480546</v>
      </c>
      <c r="M378" s="8">
        <v>1.4354221641696971</v>
      </c>
      <c r="N378" s="8">
        <v>1.2687045180752392</v>
      </c>
      <c r="O378" s="8">
        <v>1.9358495156201427</v>
      </c>
      <c r="P378" s="8">
        <f t="shared" si="44"/>
        <v>1.372387930908876</v>
      </c>
      <c r="Q378" s="8">
        <f t="shared" si="45"/>
        <v>1.602277016847691</v>
      </c>
      <c r="R378" s="8">
        <f t="shared" si="46"/>
        <v>1.1675102795363181</v>
      </c>
      <c r="S378" s="22">
        <f t="shared" si="47"/>
        <v>0.22343525243667683</v>
      </c>
      <c r="T378" s="25"/>
      <c r="U378" s="1" t="s">
        <v>1075</v>
      </c>
    </row>
    <row r="379" spans="1:21">
      <c r="A379" s="6" t="s">
        <v>1076</v>
      </c>
      <c r="B379" s="6" t="s">
        <v>1077</v>
      </c>
      <c r="C379" s="7">
        <v>2.1350269559688866</v>
      </c>
      <c r="D379" s="7">
        <v>2.3130338612423702</v>
      </c>
      <c r="E379" s="7">
        <v>1.9677136722692861</v>
      </c>
      <c r="F379" s="8">
        <v>1.9964396790536125</v>
      </c>
      <c r="G379" s="8">
        <f t="shared" si="40"/>
        <v>2.2240304086056284</v>
      </c>
      <c r="H379" s="8">
        <f t="shared" si="41"/>
        <v>1.9820766756614492</v>
      </c>
      <c r="I379" s="8">
        <f t="shared" si="42"/>
        <v>0.89120934137952101</v>
      </c>
      <c r="J379" s="22">
        <f t="shared" si="43"/>
        <v>-0.16616374024882499</v>
      </c>
      <c r="K379" s="8"/>
      <c r="L379" s="8">
        <v>1.4542658817550616</v>
      </c>
      <c r="M379" s="8">
        <v>1.3288984201292235</v>
      </c>
      <c r="N379" s="8">
        <v>1.8244219972853115</v>
      </c>
      <c r="O379" s="8">
        <v>1.4324248426572639</v>
      </c>
      <c r="P379" s="8">
        <f t="shared" si="44"/>
        <v>1.3915821509421424</v>
      </c>
      <c r="Q379" s="8">
        <f t="shared" si="45"/>
        <v>1.6284234199712877</v>
      </c>
      <c r="R379" s="8">
        <f t="shared" si="46"/>
        <v>1.1701956789750405</v>
      </c>
      <c r="S379" s="22">
        <f t="shared" si="47"/>
        <v>0.22674979603277504</v>
      </c>
      <c r="T379" s="25"/>
      <c r="U379" s="1" t="s">
        <v>1078</v>
      </c>
    </row>
    <row r="380" spans="1:21">
      <c r="A380" s="6" t="s">
        <v>1079</v>
      </c>
      <c r="B380" s="6" t="s">
        <v>1080</v>
      </c>
      <c r="C380" s="7">
        <v>2.2618509783283303</v>
      </c>
      <c r="D380" s="7">
        <v>2.3076892302638154</v>
      </c>
      <c r="E380" s="7">
        <v>2.0824454270889681</v>
      </c>
      <c r="F380" s="8">
        <v>1.9438234891770676</v>
      </c>
      <c r="G380" s="8">
        <f t="shared" si="40"/>
        <v>2.2847701042960731</v>
      </c>
      <c r="H380" s="8">
        <f t="shared" si="41"/>
        <v>2.0131344581330177</v>
      </c>
      <c r="I380" s="8">
        <f t="shared" si="42"/>
        <v>0.88111029391872009</v>
      </c>
      <c r="J380" s="22">
        <f t="shared" si="43"/>
        <v>-0.18260547355084047</v>
      </c>
      <c r="K380" s="8"/>
      <c r="L380" s="8">
        <v>0.47670280828910205</v>
      </c>
      <c r="M380" s="8">
        <v>0.48741233849458432</v>
      </c>
      <c r="N380" s="8">
        <v>1.614109625728952</v>
      </c>
      <c r="O380" s="8">
        <v>1.6291104537170404</v>
      </c>
      <c r="P380" s="8">
        <f t="shared" si="44"/>
        <v>0.48205757339184319</v>
      </c>
      <c r="Q380" s="8">
        <f t="shared" si="45"/>
        <v>1.6216100397229962</v>
      </c>
      <c r="R380" s="8">
        <f t="shared" si="46"/>
        <v>3.3639343705629563</v>
      </c>
      <c r="S380" s="22">
        <f t="shared" si="47"/>
        <v>1.750149559283017</v>
      </c>
      <c r="T380" s="25"/>
      <c r="U380" s="1" t="s">
        <v>1081</v>
      </c>
    </row>
    <row r="381" spans="1:21">
      <c r="A381" s="6" t="s">
        <v>1082</v>
      </c>
      <c r="B381" s="6" t="s">
        <v>1083</v>
      </c>
      <c r="C381" s="7">
        <v>2.1209881113441664</v>
      </c>
      <c r="D381" s="7">
        <v>2.0569062439166319</v>
      </c>
      <c r="E381" s="7">
        <v>2.070311245612154</v>
      </c>
      <c r="F381" s="8">
        <v>2.1654712507949387</v>
      </c>
      <c r="G381" s="8">
        <f t="shared" si="40"/>
        <v>2.0889471776303994</v>
      </c>
      <c r="H381" s="8">
        <f t="shared" si="41"/>
        <v>2.1178912482035464</v>
      </c>
      <c r="I381" s="8">
        <f t="shared" si="42"/>
        <v>1.0138558173624954</v>
      </c>
      <c r="J381" s="22">
        <f t="shared" si="43"/>
        <v>1.9852498133858944E-2</v>
      </c>
      <c r="K381" s="8"/>
      <c r="L381" s="8">
        <v>1.4221970205226639</v>
      </c>
      <c r="M381" s="8">
        <v>1.4170306337759691</v>
      </c>
      <c r="N381" s="8">
        <v>1.8563254978420625</v>
      </c>
      <c r="O381" s="8">
        <v>1.4875624643413645</v>
      </c>
      <c r="P381" s="8">
        <f t="shared" si="44"/>
        <v>1.4196138271493166</v>
      </c>
      <c r="Q381" s="8">
        <f t="shared" si="45"/>
        <v>1.6719439810917134</v>
      </c>
      <c r="R381" s="8">
        <f t="shared" si="46"/>
        <v>1.177745629914787</v>
      </c>
      <c r="S381" s="22">
        <f t="shared" si="47"/>
        <v>0.23602797882225365</v>
      </c>
      <c r="T381" s="25"/>
      <c r="U381" s="1" t="s">
        <v>1084</v>
      </c>
    </row>
    <row r="382" spans="1:21">
      <c r="A382" s="6" t="s">
        <v>1085</v>
      </c>
      <c r="B382" s="6" t="s">
        <v>1086</v>
      </c>
      <c r="C382" s="7">
        <v>0.96938188723782637</v>
      </c>
      <c r="D382" s="7">
        <v>1.0982821737458615</v>
      </c>
      <c r="E382" s="7">
        <v>1.6108716094394648</v>
      </c>
      <c r="F382" s="8">
        <v>1.4079234717586073</v>
      </c>
      <c r="G382" s="8">
        <f t="shared" si="40"/>
        <v>1.033832030491844</v>
      </c>
      <c r="H382" s="8">
        <f t="shared" si="41"/>
        <v>1.5093975405990361</v>
      </c>
      <c r="I382" s="8">
        <f t="shared" si="42"/>
        <v>1.4600026852340244</v>
      </c>
      <c r="J382" s="22">
        <f t="shared" si="43"/>
        <v>0.54597102250957219</v>
      </c>
      <c r="K382" s="8"/>
      <c r="L382" s="8">
        <v>0.82610688823437206</v>
      </c>
      <c r="M382" s="8">
        <v>0.89927227013173328</v>
      </c>
      <c r="N382" s="8">
        <v>1.1704866952230195</v>
      </c>
      <c r="O382" s="8">
        <v>1.2545472377069471</v>
      </c>
      <c r="P382" s="8">
        <f t="shared" si="44"/>
        <v>0.86268957918305267</v>
      </c>
      <c r="Q382" s="8">
        <f t="shared" si="45"/>
        <v>1.2125169664649833</v>
      </c>
      <c r="R382" s="8">
        <f t="shared" si="46"/>
        <v>1.4055078393472762</v>
      </c>
      <c r="S382" s="22">
        <f t="shared" si="47"/>
        <v>0.49109150050295786</v>
      </c>
      <c r="T382" s="25"/>
      <c r="U382" s="1" t="s">
        <v>1087</v>
      </c>
    </row>
    <row r="383" spans="1:21">
      <c r="A383" s="6" t="s">
        <v>1088</v>
      </c>
      <c r="B383" s="6" t="s">
        <v>1089</v>
      </c>
      <c r="C383" s="7">
        <v>0.11535774088585021</v>
      </c>
      <c r="D383" s="7">
        <v>0.15066988636711323</v>
      </c>
      <c r="E383" s="7">
        <v>0.42114175822641298</v>
      </c>
      <c r="F383" s="8">
        <v>0.35964402838374043</v>
      </c>
      <c r="G383" s="8">
        <f t="shared" si="40"/>
        <v>0.13301381362648174</v>
      </c>
      <c r="H383" s="8">
        <f t="shared" si="41"/>
        <v>0.3903928933050767</v>
      </c>
      <c r="I383" s="8">
        <f t="shared" si="42"/>
        <v>2.9349800795979384</v>
      </c>
      <c r="J383" s="22">
        <f t="shared" si="43"/>
        <v>1.5533507114570324</v>
      </c>
      <c r="K383" s="8"/>
      <c r="L383" s="8">
        <v>1.3770727142606303</v>
      </c>
      <c r="M383" s="8">
        <v>1.2285910133618301</v>
      </c>
      <c r="N383" s="8">
        <v>1.6575122199823096</v>
      </c>
      <c r="O383" s="8">
        <v>1.681364772577757</v>
      </c>
      <c r="P383" s="8">
        <f t="shared" si="44"/>
        <v>1.3028318638112302</v>
      </c>
      <c r="Q383" s="8">
        <f t="shared" si="45"/>
        <v>1.6694384962800333</v>
      </c>
      <c r="R383" s="8">
        <f t="shared" si="46"/>
        <v>1.2813921294466601</v>
      </c>
      <c r="S383" s="22">
        <f t="shared" si="47"/>
        <v>0.35771203433562793</v>
      </c>
      <c r="T383" s="25"/>
      <c r="U383" s="1" t="s">
        <v>1090</v>
      </c>
    </row>
    <row r="384" spans="1:21">
      <c r="A384" s="6" t="s">
        <v>1091</v>
      </c>
      <c r="B384" s="13" t="s">
        <v>1092</v>
      </c>
      <c r="C384" s="14">
        <v>1.8423828630682439</v>
      </c>
      <c r="D384" s="14">
        <v>2.1049091918557936</v>
      </c>
      <c r="E384" s="14">
        <v>1.8581755359805365</v>
      </c>
      <c r="F384" s="8">
        <v>1.9635504368549195</v>
      </c>
      <c r="G384" s="8">
        <f t="shared" si="40"/>
        <v>1.9736460274620189</v>
      </c>
      <c r="H384" s="8">
        <f t="shared" si="41"/>
        <v>1.910862986417728</v>
      </c>
      <c r="I384" s="8">
        <f t="shared" si="42"/>
        <v>0.96818931045855983</v>
      </c>
      <c r="J384" s="22">
        <f t="shared" si="43"/>
        <v>-4.6638929043849447E-2</v>
      </c>
      <c r="K384" s="8"/>
      <c r="L384" s="8">
        <v>1.0702534774544223</v>
      </c>
      <c r="M384" s="8">
        <v>1.4229527065627494</v>
      </c>
      <c r="N384" s="8">
        <v>1.6916636636677205</v>
      </c>
      <c r="O384" s="8">
        <v>1.7657346490404757</v>
      </c>
      <c r="P384" s="8">
        <f t="shared" si="44"/>
        <v>1.246603092008586</v>
      </c>
      <c r="Q384" s="8">
        <f t="shared" si="45"/>
        <v>1.7286991563540981</v>
      </c>
      <c r="R384" s="8">
        <f t="shared" si="46"/>
        <v>1.3867277944648253</v>
      </c>
      <c r="S384" s="22">
        <f t="shared" si="47"/>
        <v>0.47168462391506338</v>
      </c>
      <c r="T384" s="25"/>
      <c r="U384" s="1" t="s">
        <v>1093</v>
      </c>
    </row>
    <row r="385" spans="1:21">
      <c r="A385" s="6" t="s">
        <v>1094</v>
      </c>
      <c r="B385" s="6" t="s">
        <v>1095</v>
      </c>
      <c r="C385" s="7">
        <v>1.7283815645711698</v>
      </c>
      <c r="D385" s="7">
        <v>2.1340808722707623</v>
      </c>
      <c r="E385" s="7">
        <v>1.8500883299823709</v>
      </c>
      <c r="F385" s="8">
        <v>2.0136925112200279</v>
      </c>
      <c r="G385" s="8">
        <f t="shared" si="40"/>
        <v>1.9312312184209661</v>
      </c>
      <c r="H385" s="8">
        <f t="shared" si="41"/>
        <v>1.9318904206011993</v>
      </c>
      <c r="I385" s="8">
        <f t="shared" si="42"/>
        <v>1.0003413377817971</v>
      </c>
      <c r="J385" s="22">
        <f t="shared" si="43"/>
        <v>4.9236229891894611E-4</v>
      </c>
      <c r="K385" s="8"/>
      <c r="L385" s="8">
        <v>1.466800411272293</v>
      </c>
      <c r="M385" s="8">
        <v>1.4011403515157879</v>
      </c>
      <c r="N385" s="8">
        <v>1.7012606516400766</v>
      </c>
      <c r="O385" s="8">
        <v>1.7961202249484476</v>
      </c>
      <c r="P385" s="8">
        <f t="shared" si="44"/>
        <v>1.4339703813940403</v>
      </c>
      <c r="Q385" s="8">
        <f t="shared" si="45"/>
        <v>1.7486904382942621</v>
      </c>
      <c r="R385" s="8">
        <f t="shared" si="46"/>
        <v>1.2194745867723331</v>
      </c>
      <c r="S385" s="22">
        <f t="shared" si="47"/>
        <v>0.2862596934194187</v>
      </c>
      <c r="T385" s="25"/>
      <c r="U385" s="1" t="s">
        <v>1096</v>
      </c>
    </row>
    <row r="386" spans="1:21">
      <c r="A386" s="6" t="s">
        <v>1097</v>
      </c>
      <c r="B386" s="6" t="s">
        <v>1098</v>
      </c>
      <c r="C386" s="7">
        <v>1.0228711548346308</v>
      </c>
      <c r="D386" s="7">
        <v>1.5735462432501983</v>
      </c>
      <c r="E386" s="7">
        <v>2.0258349851018083</v>
      </c>
      <c r="F386" s="8">
        <v>2.2108762186608168</v>
      </c>
      <c r="G386" s="8">
        <f t="shared" si="40"/>
        <v>1.2982086990424144</v>
      </c>
      <c r="H386" s="8">
        <f t="shared" si="41"/>
        <v>2.1183556018813126</v>
      </c>
      <c r="I386" s="8">
        <f t="shared" si="42"/>
        <v>1.6317527400978404</v>
      </c>
      <c r="J386" s="22">
        <f t="shared" si="43"/>
        <v>0.70642246192933811</v>
      </c>
      <c r="K386" s="8"/>
      <c r="L386" s="8">
        <v>1.0984805867828373</v>
      </c>
      <c r="M386" s="8">
        <v>0.91295556874466699</v>
      </c>
      <c r="N386" s="8">
        <v>1.0116608672480834</v>
      </c>
      <c r="O386" s="8">
        <v>0.84068238628887848</v>
      </c>
      <c r="P386" s="8">
        <f t="shared" si="44"/>
        <v>1.0057180777637522</v>
      </c>
      <c r="Q386" s="8">
        <f t="shared" si="45"/>
        <v>0.92617162676848097</v>
      </c>
      <c r="R386" s="8">
        <f t="shared" si="46"/>
        <v>0.92090581570120977</v>
      </c>
      <c r="S386" s="22">
        <f t="shared" si="47"/>
        <v>-0.11887448055661676</v>
      </c>
      <c r="T386" s="25"/>
      <c r="U386" s="1" t="s">
        <v>1099</v>
      </c>
    </row>
    <row r="387" spans="1:21">
      <c r="A387" s="6" t="s">
        <v>1100</v>
      </c>
      <c r="B387" s="6" t="s">
        <v>80</v>
      </c>
      <c r="C387" s="7">
        <v>1.8011483508458979</v>
      </c>
      <c r="D387" s="7">
        <v>2.0837281296772359</v>
      </c>
      <c r="E387" s="7">
        <v>2.0516142189007982</v>
      </c>
      <c r="F387" s="8">
        <v>1.9986366936277677</v>
      </c>
      <c r="G387" s="8">
        <f t="shared" si="40"/>
        <v>1.9424382402615668</v>
      </c>
      <c r="H387" s="8">
        <f t="shared" si="41"/>
        <v>2.0251254562642829</v>
      </c>
      <c r="I387" s="8">
        <f t="shared" si="42"/>
        <v>1.0425687747949102</v>
      </c>
      <c r="J387" s="22">
        <f t="shared" si="43"/>
        <v>6.0142556603120269E-2</v>
      </c>
      <c r="K387" s="8"/>
      <c r="L387" s="8">
        <v>1.4115508097378984</v>
      </c>
      <c r="M387" s="8">
        <v>1.2381913922273562</v>
      </c>
      <c r="N387" s="8">
        <v>1.6361135305844889</v>
      </c>
      <c r="O387" s="8">
        <v>1.6246746032195263</v>
      </c>
      <c r="P387" s="8">
        <f t="shared" si="44"/>
        <v>1.3248711009826273</v>
      </c>
      <c r="Q387" s="8">
        <f t="shared" si="45"/>
        <v>1.6303940669020076</v>
      </c>
      <c r="R387" s="8">
        <f t="shared" si="46"/>
        <v>1.2306058043629911</v>
      </c>
      <c r="S387" s="22">
        <f t="shared" si="47"/>
        <v>0.29936870238579749</v>
      </c>
      <c r="T387" s="25"/>
      <c r="U387" s="1">
        <v>0</v>
      </c>
    </row>
    <row r="388" spans="1:21">
      <c r="A388" s="6" t="s">
        <v>1101</v>
      </c>
      <c r="B388" s="6" t="s">
        <v>80</v>
      </c>
      <c r="C388" s="7">
        <v>2.0313025461118981</v>
      </c>
      <c r="D388" s="7">
        <v>2.0619810105231164</v>
      </c>
      <c r="E388" s="7">
        <v>1.8629712019227349</v>
      </c>
      <c r="F388" s="8">
        <v>1.985626144858295</v>
      </c>
      <c r="G388" s="8">
        <f t="shared" si="40"/>
        <v>2.0466417783175075</v>
      </c>
      <c r="H388" s="8">
        <f t="shared" si="41"/>
        <v>1.924298673390515</v>
      </c>
      <c r="I388" s="8">
        <f t="shared" si="42"/>
        <v>0.94022251171498727</v>
      </c>
      <c r="J388" s="22">
        <f t="shared" si="43"/>
        <v>-8.8925871544857121E-2</v>
      </c>
      <c r="K388" s="8"/>
      <c r="L388" s="8">
        <v>1.429620066574427</v>
      </c>
      <c r="M388" s="8">
        <v>1.5103492589937459</v>
      </c>
      <c r="N388" s="8">
        <v>1.5241919005825537</v>
      </c>
      <c r="O388" s="8">
        <v>1.466048589428421</v>
      </c>
      <c r="P388" s="8">
        <f t="shared" si="44"/>
        <v>1.4699846627840865</v>
      </c>
      <c r="Q388" s="8">
        <f t="shared" si="45"/>
        <v>1.4951202450054875</v>
      </c>
      <c r="R388" s="8">
        <f t="shared" si="46"/>
        <v>1.0170992139290729</v>
      </c>
      <c r="S388" s="22">
        <f t="shared" si="47"/>
        <v>2.4460415146338035E-2</v>
      </c>
      <c r="T388" s="25"/>
      <c r="U388" s="1">
        <v>0</v>
      </c>
    </row>
    <row r="389" spans="1:21">
      <c r="A389" s="6" t="s">
        <v>1102</v>
      </c>
      <c r="B389" s="6" t="s">
        <v>1103</v>
      </c>
      <c r="C389" s="7">
        <v>1.0140783934381483</v>
      </c>
      <c r="D389" s="7">
        <v>1.0437547041508943</v>
      </c>
      <c r="E389" s="7">
        <v>1.0653566294316221</v>
      </c>
      <c r="F389" s="8">
        <v>0.98737437535452155</v>
      </c>
      <c r="G389" s="8">
        <f t="shared" si="40"/>
        <v>1.0289165487945213</v>
      </c>
      <c r="H389" s="8">
        <f t="shared" si="41"/>
        <v>1.0263655023930718</v>
      </c>
      <c r="I389" s="8">
        <f t="shared" si="42"/>
        <v>0.99752064790440165</v>
      </c>
      <c r="J389" s="22">
        <f t="shared" si="43"/>
        <v>-3.5813905739507353E-3</v>
      </c>
      <c r="K389" s="8"/>
      <c r="L389" s="8">
        <v>1.1122499972473305</v>
      </c>
      <c r="M389" s="8">
        <v>1.2658120060906346</v>
      </c>
      <c r="N389" s="8">
        <v>1.0774098949476749</v>
      </c>
      <c r="O389" s="8">
        <v>1.0294581609700011</v>
      </c>
      <c r="P389" s="8">
        <f t="shared" si="44"/>
        <v>1.1890310016689827</v>
      </c>
      <c r="Q389" s="8">
        <f t="shared" si="45"/>
        <v>1.0534340279588381</v>
      </c>
      <c r="R389" s="8">
        <f t="shared" si="46"/>
        <v>0.8859601023692284</v>
      </c>
      <c r="S389" s="22">
        <f t="shared" si="47"/>
        <v>-0.17468636383855454</v>
      </c>
      <c r="T389" s="25"/>
      <c r="U389" s="1" t="s">
        <v>1104</v>
      </c>
    </row>
    <row r="390" spans="1:21">
      <c r="A390" s="6" t="s">
        <v>1105</v>
      </c>
      <c r="B390" s="11" t="s">
        <v>1106</v>
      </c>
      <c r="C390" s="12">
        <v>1.1729983150511858</v>
      </c>
      <c r="D390" s="12">
        <v>1.0697706120499908</v>
      </c>
      <c r="E390" s="12">
        <v>0.96287980892193659</v>
      </c>
      <c r="F390" s="8">
        <v>0.92373744137238012</v>
      </c>
      <c r="G390" s="8">
        <f t="shared" ref="G390:G453" si="48">AVERAGE(C390:D390)</f>
        <v>1.1213844635505883</v>
      </c>
      <c r="H390" s="8">
        <f t="shared" ref="H390:H453" si="49">AVERAGE(E390:F390)</f>
        <v>0.9433086251471583</v>
      </c>
      <c r="I390" s="8">
        <f t="shared" ref="I390:I453" si="50">H390/G390</f>
        <v>0.84120001284876322</v>
      </c>
      <c r="J390" s="22">
        <f t="shared" ref="J390:J453" si="51">LOG(I390,2)</f>
        <v>-0.24947922278147552</v>
      </c>
      <c r="K390" s="8"/>
      <c r="L390" s="8">
        <v>1.1869464357566546</v>
      </c>
      <c r="M390" s="8">
        <v>1.0608624715821837</v>
      </c>
      <c r="N390" s="8">
        <v>1.1524468281824165</v>
      </c>
      <c r="O390" s="8">
        <v>0.87040935953185405</v>
      </c>
      <c r="P390" s="8">
        <f t="shared" ref="P390:P453" si="52">AVERAGE(L390:M390)</f>
        <v>1.1239044536694192</v>
      </c>
      <c r="Q390" s="8">
        <f t="shared" ref="Q390:Q453" si="53">AVERAGE(N390:O390)</f>
        <v>1.0114280938571354</v>
      </c>
      <c r="R390" s="8">
        <f t="shared" ref="R390:R453" si="54">Q390/P390</f>
        <v>0.89992355716265615</v>
      </c>
      <c r="S390" s="22">
        <f t="shared" ref="S390:S453" si="55">LOG(R390,2)</f>
        <v>-0.15212563609634747</v>
      </c>
      <c r="T390" s="25"/>
      <c r="U390" s="1" t="s">
        <v>1107</v>
      </c>
    </row>
    <row r="391" spans="1:21">
      <c r="A391" s="6" t="s">
        <v>1108</v>
      </c>
      <c r="B391" s="6" t="s">
        <v>1109</v>
      </c>
      <c r="C391" s="7">
        <v>1.1337832482551757</v>
      </c>
      <c r="D391" s="7">
        <v>1.1680375623793473</v>
      </c>
      <c r="E391" s="7">
        <v>1.1059320342236989</v>
      </c>
      <c r="F391" s="8">
        <v>0.97883531773847787</v>
      </c>
      <c r="G391" s="8">
        <f t="shared" si="48"/>
        <v>1.1509104053172616</v>
      </c>
      <c r="H391" s="8">
        <f t="shared" si="49"/>
        <v>1.0423836759810885</v>
      </c>
      <c r="I391" s="8">
        <f t="shared" si="50"/>
        <v>0.90570358141278906</v>
      </c>
      <c r="J391" s="22">
        <f t="shared" si="51"/>
        <v>-0.142889132471724</v>
      </c>
      <c r="K391" s="8"/>
      <c r="L391" s="8">
        <v>1.0218650813351045</v>
      </c>
      <c r="M391" s="8">
        <v>1.0637095345734524</v>
      </c>
      <c r="N391" s="8">
        <v>0.97467419551605017</v>
      </c>
      <c r="O391" s="8">
        <v>0.90650137667160968</v>
      </c>
      <c r="P391" s="8">
        <f t="shared" si="52"/>
        <v>1.0427873079542784</v>
      </c>
      <c r="Q391" s="8">
        <f t="shared" si="53"/>
        <v>0.94058778609382987</v>
      </c>
      <c r="R391" s="8">
        <f t="shared" si="54"/>
        <v>0.90199389551360976</v>
      </c>
      <c r="S391" s="22">
        <f t="shared" si="55"/>
        <v>-0.14881042520054633</v>
      </c>
      <c r="T391" s="25"/>
      <c r="U391" s="1" t="s">
        <v>1110</v>
      </c>
    </row>
    <row r="392" spans="1:21">
      <c r="A392" s="6" t="s">
        <v>1111</v>
      </c>
      <c r="B392" s="6" t="s">
        <v>1112</v>
      </c>
      <c r="C392" s="7">
        <v>1.1285336412349254</v>
      </c>
      <c r="D392" s="7">
        <v>1.1598203580235913</v>
      </c>
      <c r="E392" s="7">
        <v>1.1068629315260039</v>
      </c>
      <c r="F392" s="8">
        <v>1.2092130677308339</v>
      </c>
      <c r="G392" s="8">
        <f t="shared" si="48"/>
        <v>1.1441769996292583</v>
      </c>
      <c r="H392" s="8">
        <f t="shared" si="49"/>
        <v>1.1580379996284189</v>
      </c>
      <c r="I392" s="8">
        <f t="shared" si="50"/>
        <v>1.0121143844035074</v>
      </c>
      <c r="J392" s="22">
        <f t="shared" si="51"/>
        <v>1.7372345848774187E-2</v>
      </c>
      <c r="K392" s="8"/>
      <c r="L392" s="8">
        <v>1.0914432931739786</v>
      </c>
      <c r="M392" s="8">
        <v>0.97701061635988695</v>
      </c>
      <c r="N392" s="8">
        <v>0.80144025807643193</v>
      </c>
      <c r="O392" s="8">
        <v>0.94828500101988744</v>
      </c>
      <c r="P392" s="8">
        <f t="shared" si="52"/>
        <v>1.0342269547669327</v>
      </c>
      <c r="Q392" s="8">
        <f t="shared" si="53"/>
        <v>0.87486262954815963</v>
      </c>
      <c r="R392" s="8">
        <f t="shared" si="54"/>
        <v>0.84590971596298559</v>
      </c>
      <c r="S392" s="22">
        <f t="shared" si="55"/>
        <v>-0.24142440232599988</v>
      </c>
      <c r="T392" s="25"/>
      <c r="U392" s="1" t="s">
        <v>1113</v>
      </c>
    </row>
    <row r="393" spans="1:21">
      <c r="A393" s="6" t="s">
        <v>1114</v>
      </c>
      <c r="B393" s="6" t="s">
        <v>1115</v>
      </c>
      <c r="C393" s="7">
        <v>1.2148695825284948</v>
      </c>
      <c r="D393" s="7">
        <v>1.1374509524399794</v>
      </c>
      <c r="E393" s="7">
        <v>1.1836652138518373</v>
      </c>
      <c r="F393" s="8">
        <v>1.185822336285659</v>
      </c>
      <c r="G393" s="8">
        <f t="shared" si="48"/>
        <v>1.1761602674842371</v>
      </c>
      <c r="H393" s="8">
        <f t="shared" si="49"/>
        <v>1.1847437750687482</v>
      </c>
      <c r="I393" s="8">
        <f t="shared" si="50"/>
        <v>1.0072979064348695</v>
      </c>
      <c r="J393" s="22">
        <f t="shared" si="51"/>
        <v>1.0490420758260684E-2</v>
      </c>
      <c r="K393" s="8"/>
      <c r="L393" s="8">
        <v>1.2139098472741714</v>
      </c>
      <c r="M393" s="8">
        <v>1.2119518144338943</v>
      </c>
      <c r="N393" s="8">
        <v>1.1770066836617357</v>
      </c>
      <c r="O393" s="8">
        <v>1.0664084363396134</v>
      </c>
      <c r="P393" s="8">
        <f t="shared" si="52"/>
        <v>1.2129308308540327</v>
      </c>
      <c r="Q393" s="8">
        <f t="shared" si="53"/>
        <v>1.1217075600006745</v>
      </c>
      <c r="R393" s="8">
        <f t="shared" si="54"/>
        <v>0.92479103627935044</v>
      </c>
      <c r="S393" s="22">
        <f t="shared" si="55"/>
        <v>-0.11280068058899702</v>
      </c>
      <c r="T393" s="25"/>
      <c r="U393" s="1" t="s">
        <v>1116</v>
      </c>
    </row>
    <row r="394" spans="1:21">
      <c r="A394" s="6" t="s">
        <v>1117</v>
      </c>
      <c r="B394" s="6" t="s">
        <v>1118</v>
      </c>
      <c r="C394" s="7">
        <v>1.2101348891154937</v>
      </c>
      <c r="D394" s="7">
        <v>1.0629554249638089</v>
      </c>
      <c r="E394" s="7">
        <v>1.1606401526053147</v>
      </c>
      <c r="F394" s="8">
        <v>1.13207342147547</v>
      </c>
      <c r="G394" s="8">
        <f t="shared" si="48"/>
        <v>1.1365451570396514</v>
      </c>
      <c r="H394" s="8">
        <f t="shared" si="49"/>
        <v>1.1463567870403923</v>
      </c>
      <c r="I394" s="8">
        <f t="shared" si="50"/>
        <v>1.008632855403913</v>
      </c>
      <c r="J394" s="22">
        <f t="shared" si="51"/>
        <v>1.2401125803739275E-2</v>
      </c>
      <c r="K394" s="8"/>
      <c r="L394" s="8">
        <v>0.92458168599748913</v>
      </c>
      <c r="M394" s="8">
        <v>1.0344198865399896</v>
      </c>
      <c r="N394" s="8">
        <v>0.81081457251672462</v>
      </c>
      <c r="O394" s="8">
        <v>1.3978316275215747</v>
      </c>
      <c r="P394" s="8">
        <f t="shared" si="52"/>
        <v>0.97950078626873938</v>
      </c>
      <c r="Q394" s="8">
        <f t="shared" si="53"/>
        <v>1.1043231000191498</v>
      </c>
      <c r="R394" s="8">
        <f t="shared" si="54"/>
        <v>1.1274346233308319</v>
      </c>
      <c r="S394" s="22">
        <f t="shared" si="55"/>
        <v>0.17304377819819333</v>
      </c>
      <c r="T394" s="25"/>
      <c r="U394" s="1" t="s">
        <v>1119</v>
      </c>
    </row>
    <row r="395" spans="1:21">
      <c r="A395" s="6" t="s">
        <v>1120</v>
      </c>
      <c r="B395" s="6" t="s">
        <v>1121</v>
      </c>
      <c r="C395" s="7">
        <v>1.0784677120812685</v>
      </c>
      <c r="D395" s="7">
        <v>1.090832306458394</v>
      </c>
      <c r="E395" s="7">
        <v>1.0305619015937191</v>
      </c>
      <c r="F395" s="8">
        <v>1.1191731580524593</v>
      </c>
      <c r="G395" s="8">
        <f t="shared" si="48"/>
        <v>1.0846500092698312</v>
      </c>
      <c r="H395" s="8">
        <f t="shared" si="49"/>
        <v>1.0748675298230892</v>
      </c>
      <c r="I395" s="8">
        <f t="shared" si="50"/>
        <v>0.99098098062680384</v>
      </c>
      <c r="J395" s="22">
        <f t="shared" si="51"/>
        <v>-1.3070726091846918E-2</v>
      </c>
      <c r="K395" s="8"/>
      <c r="L395" s="8">
        <v>0.97131332081464328</v>
      </c>
      <c r="M395" s="8">
        <v>1.0922191653490334</v>
      </c>
      <c r="N395" s="8">
        <v>0.87745279869636239</v>
      </c>
      <c r="O395" s="8">
        <v>1.0312198489154962</v>
      </c>
      <c r="P395" s="8">
        <f t="shared" si="52"/>
        <v>1.0317662430818384</v>
      </c>
      <c r="Q395" s="8">
        <f t="shared" si="53"/>
        <v>0.95433632380592925</v>
      </c>
      <c r="R395" s="8">
        <f t="shared" si="54"/>
        <v>0.92495400988829646</v>
      </c>
      <c r="S395" s="22">
        <f t="shared" si="55"/>
        <v>-0.1125464604536138</v>
      </c>
      <c r="T395" s="25"/>
      <c r="U395" s="1" t="s">
        <v>1122</v>
      </c>
    </row>
    <row r="396" spans="1:21">
      <c r="A396" s="6" t="s">
        <v>1123</v>
      </c>
      <c r="B396" s="6" t="s">
        <v>1124</v>
      </c>
      <c r="C396" s="7">
        <v>1.126235368305007</v>
      </c>
      <c r="D396" s="7">
        <v>1.0617168715911356</v>
      </c>
      <c r="E396" s="7">
        <v>1.1272515353778865</v>
      </c>
      <c r="F396" s="8">
        <v>1.0465518781736831</v>
      </c>
      <c r="G396" s="8">
        <f t="shared" si="48"/>
        <v>1.0939761199480713</v>
      </c>
      <c r="H396" s="8">
        <f t="shared" si="49"/>
        <v>1.0869017067757847</v>
      </c>
      <c r="I396" s="8">
        <f t="shared" si="50"/>
        <v>0.99353330201337264</v>
      </c>
      <c r="J396" s="22">
        <f t="shared" si="51"/>
        <v>-9.3597692399593584E-3</v>
      </c>
      <c r="K396" s="8"/>
      <c r="L396" s="8">
        <v>0.96882838467754062</v>
      </c>
      <c r="M396" s="8">
        <v>1.4440459495166329</v>
      </c>
      <c r="N396" s="8">
        <v>1.4215023779325386</v>
      </c>
      <c r="O396" s="8">
        <v>1.2213014610858237</v>
      </c>
      <c r="P396" s="8">
        <f t="shared" si="52"/>
        <v>1.2064371670970868</v>
      </c>
      <c r="Q396" s="8">
        <f t="shared" si="53"/>
        <v>1.3214019195091811</v>
      </c>
      <c r="R396" s="8">
        <f t="shared" si="54"/>
        <v>1.0952927807162316</v>
      </c>
      <c r="S396" s="22">
        <f t="shared" si="55"/>
        <v>0.1313165655595579</v>
      </c>
      <c r="T396" s="25"/>
      <c r="U396" s="1" t="s">
        <v>1125</v>
      </c>
    </row>
    <row r="397" spans="1:21">
      <c r="A397" s="6" t="s">
        <v>1126</v>
      </c>
      <c r="B397" s="6" t="s">
        <v>1127</v>
      </c>
      <c r="C397" s="7">
        <v>1.1071082116259603</v>
      </c>
      <c r="D397" s="7">
        <v>1.1243675536149385</v>
      </c>
      <c r="E397" s="7">
        <v>1.1452185042895071</v>
      </c>
      <c r="F397" s="8">
        <v>1.0545408737960551</v>
      </c>
      <c r="G397" s="8">
        <f t="shared" si="48"/>
        <v>1.1157378826204494</v>
      </c>
      <c r="H397" s="8">
        <f t="shared" si="49"/>
        <v>1.0998796890427811</v>
      </c>
      <c r="I397" s="8">
        <f t="shared" si="50"/>
        <v>0.98578681084089093</v>
      </c>
      <c r="J397" s="22">
        <f t="shared" si="51"/>
        <v>-2.0652416030511399E-2</v>
      </c>
      <c r="K397" s="8"/>
      <c r="L397" s="8">
        <v>0.87020979977372082</v>
      </c>
      <c r="M397" s="8">
        <v>1.3020048068563517</v>
      </c>
      <c r="N397" s="8">
        <v>1.1138891276112577</v>
      </c>
      <c r="O397" s="8">
        <v>1.0805922828751369</v>
      </c>
      <c r="P397" s="8">
        <f t="shared" si="52"/>
        <v>1.0861073033150364</v>
      </c>
      <c r="Q397" s="8">
        <f t="shared" si="53"/>
        <v>1.0972407052431974</v>
      </c>
      <c r="R397" s="8">
        <f t="shared" si="54"/>
        <v>1.0102507384806081</v>
      </c>
      <c r="S397" s="22">
        <f t="shared" si="55"/>
        <v>1.4713406113722361E-2</v>
      </c>
      <c r="T397" s="25"/>
      <c r="U397" s="1" t="s">
        <v>1128</v>
      </c>
    </row>
    <row r="398" spans="1:21">
      <c r="A398" s="6" t="s">
        <v>1129</v>
      </c>
      <c r="B398" s="6" t="s">
        <v>1130</v>
      </c>
      <c r="C398" s="7">
        <v>1.0930736761112956</v>
      </c>
      <c r="D398" s="7">
        <v>0.9418475385790106</v>
      </c>
      <c r="E398" s="7">
        <v>1.0081357393109174</v>
      </c>
      <c r="F398" s="8">
        <v>0.96309961570523173</v>
      </c>
      <c r="G398" s="8">
        <f t="shared" si="48"/>
        <v>1.0174606073451531</v>
      </c>
      <c r="H398" s="8">
        <f t="shared" si="49"/>
        <v>0.9856176775080745</v>
      </c>
      <c r="I398" s="8">
        <f t="shared" si="50"/>
        <v>0.96870352561347217</v>
      </c>
      <c r="J398" s="22">
        <f t="shared" si="51"/>
        <v>-4.5872902490851686E-2</v>
      </c>
      <c r="K398" s="8"/>
      <c r="L398" s="8">
        <v>1.207159722245027</v>
      </c>
      <c r="M398" s="8">
        <v>1.008172305812266</v>
      </c>
      <c r="N398" s="8">
        <v>1.1659780784378617</v>
      </c>
      <c r="O398" s="8">
        <v>1.1216983349366858</v>
      </c>
      <c r="P398" s="8">
        <f t="shared" si="52"/>
        <v>1.1076660140286465</v>
      </c>
      <c r="Q398" s="8">
        <f t="shared" si="53"/>
        <v>1.1438382066872737</v>
      </c>
      <c r="R398" s="8">
        <f t="shared" si="54"/>
        <v>1.0326562268775104</v>
      </c>
      <c r="S398" s="22">
        <f t="shared" si="55"/>
        <v>4.6360058343533413E-2</v>
      </c>
      <c r="T398" s="25"/>
      <c r="U398" s="1" t="s">
        <v>1131</v>
      </c>
    </row>
    <row r="399" spans="1:21">
      <c r="A399" s="6" t="s">
        <v>1132</v>
      </c>
      <c r="B399" s="6" t="s">
        <v>1133</v>
      </c>
      <c r="C399" s="7">
        <v>1.0500469927347926</v>
      </c>
      <c r="D399" s="7">
        <v>1.1449514304785542</v>
      </c>
      <c r="E399" s="7">
        <v>1.0687156714455339</v>
      </c>
      <c r="F399" s="8">
        <v>1.0963652303862936</v>
      </c>
      <c r="G399" s="8">
        <f t="shared" si="48"/>
        <v>1.0974992116066735</v>
      </c>
      <c r="H399" s="8">
        <f t="shared" si="49"/>
        <v>1.0825404509159138</v>
      </c>
      <c r="I399" s="8">
        <f t="shared" si="50"/>
        <v>0.98637013992122968</v>
      </c>
      <c r="J399" s="22">
        <f t="shared" si="51"/>
        <v>-1.9798968747192589E-2</v>
      </c>
      <c r="K399" s="8"/>
      <c r="L399" s="8">
        <v>1.2129455436985794</v>
      </c>
      <c r="M399" s="8">
        <v>1.1567265925758607</v>
      </c>
      <c r="N399" s="8">
        <v>1.3484166594681748</v>
      </c>
      <c r="O399" s="8">
        <v>1.1610878705385217</v>
      </c>
      <c r="P399" s="8">
        <f t="shared" si="52"/>
        <v>1.1848360681372201</v>
      </c>
      <c r="Q399" s="8">
        <f t="shared" si="53"/>
        <v>1.2547522650033482</v>
      </c>
      <c r="R399" s="8">
        <f t="shared" si="54"/>
        <v>1.0590091732909932</v>
      </c>
      <c r="S399" s="22">
        <f t="shared" si="55"/>
        <v>8.2715086217979183E-2</v>
      </c>
      <c r="T399" s="25"/>
      <c r="U399" s="1" t="s">
        <v>1134</v>
      </c>
    </row>
    <row r="400" spans="1:21">
      <c r="A400" s="6" t="s">
        <v>1135</v>
      </c>
      <c r="B400" s="6" t="s">
        <v>1136</v>
      </c>
      <c r="C400" s="7">
        <v>1.1099465159000672</v>
      </c>
      <c r="D400" s="7">
        <v>1.1971152748088596</v>
      </c>
      <c r="E400" s="7">
        <v>1.0210966940583943</v>
      </c>
      <c r="F400" s="8">
        <v>0.94797945923633231</v>
      </c>
      <c r="G400" s="8">
        <f t="shared" si="48"/>
        <v>1.1535308953544634</v>
      </c>
      <c r="H400" s="8">
        <f t="shared" si="49"/>
        <v>0.98453807664736326</v>
      </c>
      <c r="I400" s="8">
        <f t="shared" si="50"/>
        <v>0.85349952967218001</v>
      </c>
      <c r="J400" s="22">
        <f t="shared" si="51"/>
        <v>-0.22853773664290247</v>
      </c>
      <c r="K400" s="8"/>
      <c r="L400" s="8">
        <v>1.5477072388252726</v>
      </c>
      <c r="M400" s="8">
        <v>1.3446717508624877</v>
      </c>
      <c r="N400" s="8">
        <v>2.0216705906732728</v>
      </c>
      <c r="O400" s="8">
        <v>1.4089438130239276</v>
      </c>
      <c r="P400" s="8">
        <f t="shared" si="52"/>
        <v>1.44618949484388</v>
      </c>
      <c r="Q400" s="8">
        <f t="shared" si="53"/>
        <v>1.7153072018486002</v>
      </c>
      <c r="R400" s="8">
        <f t="shared" si="54"/>
        <v>1.1860874442555482</v>
      </c>
      <c r="S400" s="22">
        <f t="shared" si="55"/>
        <v>0.24621037644657967</v>
      </c>
      <c r="T400" s="25"/>
      <c r="U400" s="1" t="s">
        <v>1137</v>
      </c>
    </row>
    <row r="401" spans="1:21">
      <c r="A401" s="6" t="s">
        <v>1138</v>
      </c>
      <c r="B401" s="6" t="s">
        <v>1139</v>
      </c>
      <c r="C401" s="7">
        <v>1.04685704014354</v>
      </c>
      <c r="D401" s="7">
        <v>1.1471267577219295</v>
      </c>
      <c r="E401" s="7">
        <v>1.0824512889830409</v>
      </c>
      <c r="F401" s="8">
        <v>1.124503520705419</v>
      </c>
      <c r="G401" s="8">
        <f t="shared" si="48"/>
        <v>1.0969918989327347</v>
      </c>
      <c r="H401" s="8">
        <f t="shared" si="49"/>
        <v>1.10347740484423</v>
      </c>
      <c r="I401" s="8">
        <f t="shared" si="50"/>
        <v>1.005912081864784</v>
      </c>
      <c r="J401" s="22">
        <f t="shared" si="51"/>
        <v>8.5042170713971292E-3</v>
      </c>
      <c r="K401" s="8"/>
      <c r="L401" s="8">
        <v>1.6178046910510038</v>
      </c>
      <c r="M401" s="8">
        <v>1.2560227895042178</v>
      </c>
      <c r="N401" s="8">
        <v>1.576369445903167</v>
      </c>
      <c r="O401" s="8">
        <v>1.3404638405785338</v>
      </c>
      <c r="P401" s="8">
        <f t="shared" si="52"/>
        <v>1.4369137402776109</v>
      </c>
      <c r="Q401" s="8">
        <f t="shared" si="53"/>
        <v>1.4584166432408505</v>
      </c>
      <c r="R401" s="8">
        <f t="shared" si="54"/>
        <v>1.0149646442653442</v>
      </c>
      <c r="S401" s="22">
        <f t="shared" si="55"/>
        <v>2.1429472798181099E-2</v>
      </c>
      <c r="T401" s="25"/>
      <c r="U401" s="1" t="s">
        <v>1140</v>
      </c>
    </row>
    <row r="402" spans="1:21">
      <c r="A402" s="6" t="s">
        <v>1141</v>
      </c>
      <c r="B402" s="6" t="s">
        <v>1142</v>
      </c>
      <c r="C402" s="7">
        <v>1.1545807344406658</v>
      </c>
      <c r="D402" s="7">
        <v>1.1379790665684291</v>
      </c>
      <c r="E402" s="7">
        <v>1.1323031179414436</v>
      </c>
      <c r="F402" s="8">
        <v>1.1094095576647898</v>
      </c>
      <c r="G402" s="8">
        <f t="shared" si="48"/>
        <v>1.1462799005045474</v>
      </c>
      <c r="H402" s="8">
        <f t="shared" si="49"/>
        <v>1.1208563378031167</v>
      </c>
      <c r="I402" s="8">
        <f t="shared" si="50"/>
        <v>0.97782080738723565</v>
      </c>
      <c r="J402" s="22">
        <f t="shared" si="51"/>
        <v>-3.2357989607801001E-2</v>
      </c>
      <c r="K402" s="8"/>
      <c r="L402" s="8">
        <v>1.9325756312836924</v>
      </c>
      <c r="M402" s="8">
        <v>2.1137297662710788</v>
      </c>
      <c r="N402" s="8">
        <v>2.1320838960492101</v>
      </c>
      <c r="O402" s="8">
        <v>2.5311842057899963</v>
      </c>
      <c r="P402" s="8">
        <f t="shared" si="52"/>
        <v>2.0231526987773858</v>
      </c>
      <c r="Q402" s="8">
        <f t="shared" si="53"/>
        <v>2.331634050919603</v>
      </c>
      <c r="R402" s="8">
        <f t="shared" si="54"/>
        <v>1.1524755656499066</v>
      </c>
      <c r="S402" s="22">
        <f t="shared" si="55"/>
        <v>0.20473616350546192</v>
      </c>
      <c r="T402" s="25"/>
      <c r="U402" s="1" t="s">
        <v>1143</v>
      </c>
    </row>
    <row r="403" spans="1:21">
      <c r="A403" s="6" t="s">
        <v>1144</v>
      </c>
      <c r="B403" s="6" t="s">
        <v>1145</v>
      </c>
      <c r="C403" s="7">
        <v>1.044175721725302</v>
      </c>
      <c r="D403" s="7">
        <v>1.3331360982493989</v>
      </c>
      <c r="E403" s="7">
        <v>1.1151498704479217</v>
      </c>
      <c r="F403" s="8">
        <v>1.040547034742769</v>
      </c>
      <c r="G403" s="8">
        <f t="shared" si="48"/>
        <v>1.1886559099873506</v>
      </c>
      <c r="H403" s="8">
        <f t="shared" si="49"/>
        <v>1.0778484525953453</v>
      </c>
      <c r="I403" s="8">
        <f t="shared" si="50"/>
        <v>0.90677919786459948</v>
      </c>
      <c r="J403" s="22">
        <f t="shared" si="51"/>
        <v>-0.14117679984066353</v>
      </c>
      <c r="K403" s="8"/>
      <c r="L403" s="8">
        <v>1.6035626690114901</v>
      </c>
      <c r="M403" s="8">
        <v>1.309024962177288</v>
      </c>
      <c r="N403" s="8">
        <v>1.7986382588766243</v>
      </c>
      <c r="O403" s="8">
        <v>1.4901621444598232</v>
      </c>
      <c r="P403" s="8">
        <f t="shared" si="52"/>
        <v>1.456293815594389</v>
      </c>
      <c r="Q403" s="8">
        <f t="shared" si="53"/>
        <v>1.6444002016682238</v>
      </c>
      <c r="R403" s="8">
        <f t="shared" si="54"/>
        <v>1.1291678808627357</v>
      </c>
      <c r="S403" s="22">
        <f t="shared" si="55"/>
        <v>0.17525999707852405</v>
      </c>
      <c r="T403" s="25"/>
      <c r="U403" s="1" t="s">
        <v>1146</v>
      </c>
    </row>
    <row r="404" spans="1:21">
      <c r="A404" s="6" t="s">
        <v>1147</v>
      </c>
      <c r="B404" s="6" t="s">
        <v>1148</v>
      </c>
      <c r="C404" s="7">
        <v>0.19735005912970377</v>
      </c>
      <c r="D404" s="7">
        <v>0.3126121286773258</v>
      </c>
      <c r="E404" s="7">
        <v>0.61997760333511864</v>
      </c>
      <c r="F404" s="8">
        <v>0.84576615376944153</v>
      </c>
      <c r="G404" s="8">
        <f t="shared" si="48"/>
        <v>0.25498109390351476</v>
      </c>
      <c r="H404" s="8">
        <f t="shared" si="49"/>
        <v>0.73287187855228009</v>
      </c>
      <c r="I404" s="8">
        <f t="shared" si="50"/>
        <v>2.8742204660460038</v>
      </c>
      <c r="J404" s="22">
        <f t="shared" si="51"/>
        <v>1.5231707274432664</v>
      </c>
      <c r="K404" s="8"/>
      <c r="L404" s="8">
        <v>1.3995753741747061</v>
      </c>
      <c r="M404" s="8">
        <v>1.5516493302414316</v>
      </c>
      <c r="N404" s="8">
        <v>1.5655105115288912</v>
      </c>
      <c r="O404" s="8">
        <v>1.4003612307253623</v>
      </c>
      <c r="P404" s="8">
        <f t="shared" si="52"/>
        <v>1.4756123522080689</v>
      </c>
      <c r="Q404" s="8">
        <f t="shared" si="53"/>
        <v>1.4829358711271268</v>
      </c>
      <c r="R404" s="8">
        <f t="shared" si="54"/>
        <v>1.0049630371473235</v>
      </c>
      <c r="S404" s="22">
        <f t="shared" si="55"/>
        <v>7.1424396082664116E-3</v>
      </c>
      <c r="T404" s="25"/>
      <c r="U404" s="1" t="s">
        <v>1149</v>
      </c>
    </row>
    <row r="405" spans="1:21">
      <c r="A405" s="6" t="s">
        <v>1150</v>
      </c>
      <c r="B405" s="6" t="s">
        <v>1151</v>
      </c>
      <c r="C405" s="7">
        <v>1.077601150156873</v>
      </c>
      <c r="D405" s="7">
        <v>1.6585298462497946</v>
      </c>
      <c r="E405" s="7">
        <v>1.1522034889424668</v>
      </c>
      <c r="F405" s="8">
        <v>1.3495050695453428</v>
      </c>
      <c r="G405" s="8">
        <f t="shared" si="48"/>
        <v>1.3680654982033338</v>
      </c>
      <c r="H405" s="8">
        <f t="shared" si="49"/>
        <v>1.2508542792439048</v>
      </c>
      <c r="I405" s="8">
        <f t="shared" si="50"/>
        <v>0.91432338648013467</v>
      </c>
      <c r="J405" s="22">
        <f t="shared" si="51"/>
        <v>-0.12922357341703627</v>
      </c>
      <c r="K405" s="8"/>
      <c r="L405" s="8">
        <v>1.5467800238487417</v>
      </c>
      <c r="M405" s="8">
        <v>1.6206418567010794</v>
      </c>
      <c r="N405" s="8">
        <v>1.8180655711556022</v>
      </c>
      <c r="O405" s="8">
        <v>1.8794951804142084</v>
      </c>
      <c r="P405" s="8">
        <f t="shared" si="52"/>
        <v>1.5837109402749106</v>
      </c>
      <c r="Q405" s="8">
        <f t="shared" si="53"/>
        <v>1.8487803757849053</v>
      </c>
      <c r="R405" s="8">
        <f t="shared" si="54"/>
        <v>1.1673723586603388</v>
      </c>
      <c r="S405" s="22">
        <f t="shared" si="55"/>
        <v>0.22326481323704708</v>
      </c>
      <c r="T405" s="25"/>
      <c r="U405" s="1" t="s">
        <v>1152</v>
      </c>
    </row>
    <row r="406" spans="1:21">
      <c r="A406" s="6" t="s">
        <v>1153</v>
      </c>
      <c r="B406" s="6" t="s">
        <v>1154</v>
      </c>
      <c r="C406" s="7">
        <v>1.1385179416681768</v>
      </c>
      <c r="D406" s="7">
        <v>1.696528915206329</v>
      </c>
      <c r="E406" s="7">
        <v>1.4618798215854762</v>
      </c>
      <c r="F406" s="8">
        <v>1.5366243727496738</v>
      </c>
      <c r="G406" s="8">
        <f t="shared" si="48"/>
        <v>1.4175234284372529</v>
      </c>
      <c r="H406" s="8">
        <f t="shared" si="49"/>
        <v>1.4992520971675751</v>
      </c>
      <c r="I406" s="8">
        <f t="shared" si="50"/>
        <v>1.0576559562196612</v>
      </c>
      <c r="J406" s="22">
        <f t="shared" si="51"/>
        <v>8.0870411028862443E-2</v>
      </c>
      <c r="K406" s="8"/>
      <c r="L406" s="8">
        <v>1.6395756986999479</v>
      </c>
      <c r="M406" s="8">
        <v>1.5967733286098955</v>
      </c>
      <c r="N406" s="8">
        <v>1.8697727625706106</v>
      </c>
      <c r="O406" s="8">
        <v>1.9172133710421133</v>
      </c>
      <c r="P406" s="8">
        <f t="shared" si="52"/>
        <v>1.6181745136549217</v>
      </c>
      <c r="Q406" s="8">
        <f t="shared" si="53"/>
        <v>1.8934930668063621</v>
      </c>
      <c r="R406" s="8">
        <f t="shared" si="54"/>
        <v>1.1701414469379985</v>
      </c>
      <c r="S406" s="22">
        <f t="shared" si="55"/>
        <v>0.22668293362218853</v>
      </c>
      <c r="T406" s="25"/>
      <c r="U406" s="1" t="s">
        <v>1155</v>
      </c>
    </row>
    <row r="407" spans="1:21">
      <c r="A407" s="6" t="s">
        <v>1156</v>
      </c>
      <c r="B407" s="6" t="s">
        <v>1157</v>
      </c>
      <c r="C407" s="7">
        <v>1.0238240753704793</v>
      </c>
      <c r="D407" s="7">
        <v>1.6042912678434376</v>
      </c>
      <c r="E407" s="7">
        <v>1.7062566378688961</v>
      </c>
      <c r="F407" s="8">
        <v>2.1630598548996627</v>
      </c>
      <c r="G407" s="8">
        <f t="shared" si="48"/>
        <v>1.3140576716069585</v>
      </c>
      <c r="H407" s="8">
        <f t="shared" si="49"/>
        <v>1.9346582463842794</v>
      </c>
      <c r="I407" s="8">
        <f t="shared" si="50"/>
        <v>1.4722780348128783</v>
      </c>
      <c r="J407" s="22">
        <f t="shared" si="51"/>
        <v>0.55805014528644259</v>
      </c>
      <c r="K407" s="8"/>
      <c r="L407" s="8">
        <v>1.0408915326535173</v>
      </c>
      <c r="M407" s="8">
        <v>1.150486454512806</v>
      </c>
      <c r="N407" s="8">
        <v>1.2080140314257808</v>
      </c>
      <c r="O407" s="8">
        <v>1.3939017082585474</v>
      </c>
      <c r="P407" s="8">
        <f t="shared" si="52"/>
        <v>1.0956889935831615</v>
      </c>
      <c r="Q407" s="8">
        <f t="shared" si="53"/>
        <v>1.300957869842164</v>
      </c>
      <c r="R407" s="8">
        <f t="shared" si="54"/>
        <v>1.1873422818529233</v>
      </c>
      <c r="S407" s="22">
        <f t="shared" si="55"/>
        <v>0.24773588876962804</v>
      </c>
      <c r="T407" s="25"/>
      <c r="U407" s="1" t="s">
        <v>1158</v>
      </c>
    </row>
    <row r="408" spans="1:21">
      <c r="A408" s="6" t="s">
        <v>1159</v>
      </c>
      <c r="B408" s="6" t="s">
        <v>1160</v>
      </c>
      <c r="C408" s="7">
        <v>1.0187816896799755</v>
      </c>
      <c r="D408" s="7">
        <v>1.4503271381815301</v>
      </c>
      <c r="E408" s="7">
        <v>1.4884396886722198</v>
      </c>
      <c r="F408" s="8">
        <v>1.6447508446485335</v>
      </c>
      <c r="G408" s="8">
        <f t="shared" si="48"/>
        <v>1.2345544139307529</v>
      </c>
      <c r="H408" s="8">
        <f t="shared" si="49"/>
        <v>1.5665952666603766</v>
      </c>
      <c r="I408" s="8">
        <f t="shared" si="50"/>
        <v>1.2689560289792525</v>
      </c>
      <c r="J408" s="22">
        <f t="shared" si="51"/>
        <v>0.34364207873564068</v>
      </c>
      <c r="K408" s="8"/>
      <c r="L408" s="8">
        <v>1.611314186215288</v>
      </c>
      <c r="M408" s="8">
        <v>1.7599919398216686</v>
      </c>
      <c r="N408" s="8">
        <v>1.6796565755959856</v>
      </c>
      <c r="O408" s="8">
        <v>1.8802630956725011</v>
      </c>
      <c r="P408" s="8">
        <f t="shared" si="52"/>
        <v>1.6856530630184783</v>
      </c>
      <c r="Q408" s="8">
        <f t="shared" si="53"/>
        <v>1.7799598356342434</v>
      </c>
      <c r="R408" s="8">
        <f t="shared" si="54"/>
        <v>1.0559467275234509</v>
      </c>
      <c r="S408" s="22">
        <f t="shared" si="55"/>
        <v>7.8537052616451219E-2</v>
      </c>
      <c r="T408" s="25"/>
      <c r="U408" s="1" t="s">
        <v>1161</v>
      </c>
    </row>
    <row r="409" spans="1:21">
      <c r="A409" s="6" t="s">
        <v>1162</v>
      </c>
      <c r="B409" s="6" t="s">
        <v>1163</v>
      </c>
      <c r="C409" s="7">
        <v>1.0625870229015872</v>
      </c>
      <c r="D409" s="7">
        <v>1.5286766413807906</v>
      </c>
      <c r="E409" s="7">
        <v>1.3501526159948438</v>
      </c>
      <c r="F409" s="8">
        <v>1.7666943499598564</v>
      </c>
      <c r="G409" s="8">
        <f t="shared" si="48"/>
        <v>1.295631832141189</v>
      </c>
      <c r="H409" s="8">
        <f t="shared" si="49"/>
        <v>1.55842348297735</v>
      </c>
      <c r="I409" s="8">
        <f t="shared" si="50"/>
        <v>1.2028289551993068</v>
      </c>
      <c r="J409" s="22">
        <f t="shared" si="51"/>
        <v>0.26643150283802663</v>
      </c>
      <c r="K409" s="8"/>
      <c r="L409" s="8">
        <v>1.4838035826427673</v>
      </c>
      <c r="M409" s="8">
        <v>1.6079665762604998</v>
      </c>
      <c r="N409" s="8">
        <v>1.5389570235667951</v>
      </c>
      <c r="O409" s="8">
        <v>1.7521115905091884</v>
      </c>
      <c r="P409" s="8">
        <f t="shared" si="52"/>
        <v>1.5458850794516334</v>
      </c>
      <c r="Q409" s="8">
        <f t="shared" si="53"/>
        <v>1.6455343070379918</v>
      </c>
      <c r="R409" s="8">
        <f t="shared" si="54"/>
        <v>1.0644609543820078</v>
      </c>
      <c r="S409" s="22">
        <f t="shared" si="55"/>
        <v>9.0123031093566536E-2</v>
      </c>
      <c r="T409" s="25"/>
      <c r="U409" s="1" t="s">
        <v>1164</v>
      </c>
    </row>
    <row r="410" spans="1:21">
      <c r="A410" s="6" t="s">
        <v>1165</v>
      </c>
      <c r="B410" s="6" t="s">
        <v>1166</v>
      </c>
      <c r="C410" s="7">
        <v>1.0537330206305906</v>
      </c>
      <c r="D410" s="7">
        <v>1.1930349644592912</v>
      </c>
      <c r="E410" s="7">
        <v>1.2825616601218883</v>
      </c>
      <c r="F410" s="8">
        <v>1.5650049522802973</v>
      </c>
      <c r="G410" s="8">
        <f t="shared" si="48"/>
        <v>1.1233839925449409</v>
      </c>
      <c r="H410" s="8">
        <f t="shared" si="49"/>
        <v>1.4237833062010927</v>
      </c>
      <c r="I410" s="8">
        <f t="shared" si="50"/>
        <v>1.2674057273823351</v>
      </c>
      <c r="J410" s="22">
        <f t="shared" si="51"/>
        <v>0.34187844017053454</v>
      </c>
      <c r="K410" s="8"/>
      <c r="L410" s="8">
        <v>1.5493391371839669</v>
      </c>
      <c r="M410" s="8">
        <v>1.5320708970685977</v>
      </c>
      <c r="N410" s="8">
        <v>1.5756483447923753</v>
      </c>
      <c r="O410" s="8">
        <v>1.6528698362463059</v>
      </c>
      <c r="P410" s="8">
        <f t="shared" si="52"/>
        <v>1.5407050171262822</v>
      </c>
      <c r="Q410" s="8">
        <f t="shared" si="53"/>
        <v>1.6142590905193406</v>
      </c>
      <c r="R410" s="8">
        <f t="shared" si="54"/>
        <v>1.0477405295468247</v>
      </c>
      <c r="S410" s="22">
        <f t="shared" si="55"/>
        <v>6.7281481108159943E-2</v>
      </c>
      <c r="T410" s="25"/>
      <c r="U410" s="1" t="s">
        <v>1167</v>
      </c>
    </row>
    <row r="411" spans="1:21">
      <c r="A411" s="6" t="s">
        <v>1168</v>
      </c>
      <c r="B411" s="6" t="s">
        <v>80</v>
      </c>
      <c r="C411" s="7">
        <v>1.0660595500334036</v>
      </c>
      <c r="D411" s="7">
        <v>1.2022392392694115</v>
      </c>
      <c r="E411" s="7">
        <v>1.3332402300410793</v>
      </c>
      <c r="F411" s="8">
        <v>1.5465123919216262</v>
      </c>
      <c r="G411" s="8">
        <f t="shared" si="48"/>
        <v>1.1341493946514074</v>
      </c>
      <c r="H411" s="8">
        <f t="shared" si="49"/>
        <v>1.4398763109813526</v>
      </c>
      <c r="I411" s="8">
        <f t="shared" si="50"/>
        <v>1.2695649424773652</v>
      </c>
      <c r="J411" s="22">
        <f t="shared" si="51"/>
        <v>0.3443341955318252</v>
      </c>
      <c r="K411" s="8"/>
      <c r="L411" s="8">
        <v>1.4041001832601767</v>
      </c>
      <c r="M411" s="8">
        <v>1.491744004836107</v>
      </c>
      <c r="N411" s="8">
        <v>1.5766663698899637</v>
      </c>
      <c r="O411" s="8">
        <v>1.7609200302366632</v>
      </c>
      <c r="P411" s="8">
        <f t="shared" si="52"/>
        <v>1.4479220940481419</v>
      </c>
      <c r="Q411" s="8">
        <f t="shared" si="53"/>
        <v>1.6687932000633134</v>
      </c>
      <c r="R411" s="8">
        <f t="shared" si="54"/>
        <v>1.1525435014239294</v>
      </c>
      <c r="S411" s="22">
        <f t="shared" si="55"/>
        <v>0.20482120454109587</v>
      </c>
      <c r="T411" s="25"/>
      <c r="U411" s="1">
        <v>0</v>
      </c>
    </row>
    <row r="412" spans="1:21">
      <c r="A412" s="6" t="s">
        <v>1169</v>
      </c>
      <c r="B412" s="6" t="s">
        <v>80</v>
      </c>
      <c r="C412" s="7">
        <v>1.3126654913004816</v>
      </c>
      <c r="D412" s="7">
        <v>1.5123805482743484</v>
      </c>
      <c r="E412" s="7">
        <v>1.4984907756285757</v>
      </c>
      <c r="F412" s="8">
        <v>1.7584892585542562</v>
      </c>
      <c r="G412" s="8">
        <f t="shared" si="48"/>
        <v>1.412523019787415</v>
      </c>
      <c r="H412" s="8">
        <f t="shared" si="49"/>
        <v>1.6284900170914161</v>
      </c>
      <c r="I412" s="8">
        <f t="shared" si="50"/>
        <v>1.1528944974903872</v>
      </c>
      <c r="J412" s="22">
        <f t="shared" si="51"/>
        <v>0.20526049658764076</v>
      </c>
      <c r="K412" s="8"/>
      <c r="L412" s="8">
        <v>1.2419859167635252</v>
      </c>
      <c r="M412" s="8">
        <v>1.4759486553639998</v>
      </c>
      <c r="N412" s="8">
        <v>1.5166877245570498</v>
      </c>
      <c r="O412" s="8">
        <v>1.4785530726138691</v>
      </c>
      <c r="P412" s="8">
        <f t="shared" si="52"/>
        <v>1.3589672860637625</v>
      </c>
      <c r="Q412" s="8">
        <f t="shared" si="53"/>
        <v>1.4976203985854595</v>
      </c>
      <c r="R412" s="8">
        <f t="shared" si="54"/>
        <v>1.1020282930601697</v>
      </c>
      <c r="S412" s="22">
        <f t="shared" si="55"/>
        <v>0.14016126359474898</v>
      </c>
      <c r="T412" s="25"/>
      <c r="U412" s="1">
        <v>0</v>
      </c>
    </row>
    <row r="413" spans="1:21">
      <c r="A413" s="6" t="s">
        <v>1170</v>
      </c>
      <c r="B413" s="15" t="s">
        <v>1171</v>
      </c>
      <c r="C413" s="16">
        <v>1.0495132408248391</v>
      </c>
      <c r="D413" s="16">
        <v>1.1790902366390408</v>
      </c>
      <c r="E413" s="16">
        <v>1.2408144964877494</v>
      </c>
      <c r="F413" s="8">
        <v>1.0861759867892353</v>
      </c>
      <c r="G413" s="8">
        <f t="shared" si="48"/>
        <v>1.1143017387319398</v>
      </c>
      <c r="H413" s="8">
        <f t="shared" si="49"/>
        <v>1.1634952416384925</v>
      </c>
      <c r="I413" s="8">
        <f t="shared" si="50"/>
        <v>1.0441473805493062</v>
      </c>
      <c r="J413" s="22">
        <f t="shared" si="51"/>
        <v>6.2325361506423683E-2</v>
      </c>
      <c r="K413" s="8"/>
      <c r="L413" s="8">
        <v>1.0147069817162864</v>
      </c>
      <c r="M413" s="8">
        <v>1.015426466310567</v>
      </c>
      <c r="N413" s="8">
        <v>0.99045358452866972</v>
      </c>
      <c r="O413" s="8">
        <v>0.88468354903894131</v>
      </c>
      <c r="P413" s="8">
        <f t="shared" si="52"/>
        <v>1.0150667240134266</v>
      </c>
      <c r="Q413" s="8">
        <f t="shared" si="53"/>
        <v>0.93756856678380551</v>
      </c>
      <c r="R413" s="8">
        <f t="shared" si="54"/>
        <v>0.92365215468476336</v>
      </c>
      <c r="S413" s="22">
        <f t="shared" si="55"/>
        <v>-0.114578456659815</v>
      </c>
      <c r="T413" s="25"/>
      <c r="U413" s="1" t="s">
        <v>1172</v>
      </c>
    </row>
    <row r="414" spans="1:21">
      <c r="A414" s="6" t="s">
        <v>1173</v>
      </c>
      <c r="B414" s="6" t="s">
        <v>1174</v>
      </c>
      <c r="C414" s="7">
        <v>0.92385548235326898</v>
      </c>
      <c r="D414" s="7">
        <v>0.95826308607164967</v>
      </c>
      <c r="E414" s="7">
        <v>0.95778916773031075</v>
      </c>
      <c r="F414" s="8">
        <v>0.89797620466876382</v>
      </c>
      <c r="G414" s="8">
        <f t="shared" si="48"/>
        <v>0.94105928421245932</v>
      </c>
      <c r="H414" s="8">
        <f t="shared" si="49"/>
        <v>0.92788268619953729</v>
      </c>
      <c r="I414" s="8">
        <f t="shared" si="50"/>
        <v>0.98599812123000408</v>
      </c>
      <c r="J414" s="22">
        <f t="shared" si="51"/>
        <v>-2.0343197264640466E-2</v>
      </c>
      <c r="K414" s="8"/>
      <c r="L414" s="8">
        <v>0.61659795939300643</v>
      </c>
      <c r="M414" s="8">
        <v>0.76468991876445258</v>
      </c>
      <c r="N414" s="8">
        <v>0.67206623525791187</v>
      </c>
      <c r="O414" s="8">
        <v>0.72884192309131068</v>
      </c>
      <c r="P414" s="8">
        <f t="shared" si="52"/>
        <v>0.69064393907872956</v>
      </c>
      <c r="Q414" s="8">
        <f t="shared" si="53"/>
        <v>0.70045407917461122</v>
      </c>
      <c r="R414" s="8">
        <f t="shared" si="54"/>
        <v>1.0142043382136499</v>
      </c>
      <c r="S414" s="22">
        <f t="shared" si="55"/>
        <v>2.0348350593830739E-2</v>
      </c>
      <c r="T414" s="25"/>
      <c r="U414" s="1" t="s">
        <v>1175</v>
      </c>
    </row>
    <row r="415" spans="1:21">
      <c r="A415" s="6" t="s">
        <v>1176</v>
      </c>
      <c r="B415" s="6" t="s">
        <v>1177</v>
      </c>
      <c r="C415" s="7">
        <v>1.0976388247999582</v>
      </c>
      <c r="D415" s="7">
        <v>1.1004452410107668</v>
      </c>
      <c r="E415" s="7">
        <v>1.0767226901996256</v>
      </c>
      <c r="F415" s="8">
        <v>0.98642486357973136</v>
      </c>
      <c r="G415" s="8">
        <f t="shared" si="48"/>
        <v>1.0990420329053625</v>
      </c>
      <c r="H415" s="8">
        <f t="shared" si="49"/>
        <v>1.0315737768896784</v>
      </c>
      <c r="I415" s="8">
        <f t="shared" si="50"/>
        <v>0.93861176006405411</v>
      </c>
      <c r="J415" s="22">
        <f t="shared" si="51"/>
        <v>-9.1399558578500864E-2</v>
      </c>
      <c r="K415" s="8"/>
      <c r="L415" s="8">
        <v>0.79265753913668169</v>
      </c>
      <c r="M415" s="8">
        <v>1.1801271103123157</v>
      </c>
      <c r="N415" s="8">
        <v>0.89955242685650949</v>
      </c>
      <c r="O415" s="8">
        <v>0.89200132973561275</v>
      </c>
      <c r="P415" s="8">
        <f t="shared" si="52"/>
        <v>0.98639232472449867</v>
      </c>
      <c r="Q415" s="8">
        <f t="shared" si="53"/>
        <v>0.89577687829606112</v>
      </c>
      <c r="R415" s="8">
        <f t="shared" si="54"/>
        <v>0.90813447737060748</v>
      </c>
      <c r="S415" s="22">
        <f t="shared" si="55"/>
        <v>-0.13902214597205029</v>
      </c>
      <c r="T415" s="25"/>
      <c r="U415" s="1" t="s">
        <v>1178</v>
      </c>
    </row>
    <row r="416" spans="1:21">
      <c r="A416" s="6" t="s">
        <v>1179</v>
      </c>
      <c r="B416" s="6" t="s">
        <v>1180</v>
      </c>
      <c r="C416" s="7">
        <v>1.1807785340680401</v>
      </c>
      <c r="D416" s="7">
        <v>1.1841639045159309</v>
      </c>
      <c r="E416" s="7">
        <v>1.1620137143590654</v>
      </c>
      <c r="F416" s="8">
        <v>1.0973474839464212</v>
      </c>
      <c r="G416" s="8">
        <f t="shared" si="48"/>
        <v>1.1824712192919855</v>
      </c>
      <c r="H416" s="8">
        <f t="shared" si="49"/>
        <v>1.1296805991527434</v>
      </c>
      <c r="I416" s="8">
        <f t="shared" si="50"/>
        <v>0.95535568284625916</v>
      </c>
      <c r="J416" s="22">
        <f t="shared" si="51"/>
        <v>-6.5890140436195094E-2</v>
      </c>
      <c r="K416" s="8"/>
      <c r="L416" s="8">
        <v>0.50811380713889853</v>
      </c>
      <c r="M416" s="8">
        <v>0.66114262778063959</v>
      </c>
      <c r="N416" s="8">
        <v>0.57242702883145169</v>
      </c>
      <c r="O416" s="8">
        <v>0.66338844019330567</v>
      </c>
      <c r="P416" s="8">
        <f t="shared" si="52"/>
        <v>0.58462821745976901</v>
      </c>
      <c r="Q416" s="8">
        <f t="shared" si="53"/>
        <v>0.61790773451237868</v>
      </c>
      <c r="R416" s="8">
        <f t="shared" si="54"/>
        <v>1.056924240155924</v>
      </c>
      <c r="S416" s="22">
        <f t="shared" si="55"/>
        <v>7.9871968708787863E-2</v>
      </c>
      <c r="T416" s="25"/>
      <c r="U416" s="1" t="s">
        <v>1181</v>
      </c>
    </row>
    <row r="417" spans="1:21">
      <c r="A417" s="6" t="s">
        <v>1182</v>
      </c>
      <c r="B417" s="6" t="s">
        <v>1183</v>
      </c>
      <c r="C417" s="7">
        <v>1.1357173139994785</v>
      </c>
      <c r="D417" s="7">
        <v>1.1042237718583641</v>
      </c>
      <c r="E417" s="7">
        <v>1.1762180354333975</v>
      </c>
      <c r="F417" s="8">
        <v>1.0440569541309586</v>
      </c>
      <c r="G417" s="8">
        <f t="shared" si="48"/>
        <v>1.1199705429289213</v>
      </c>
      <c r="H417" s="8">
        <f t="shared" si="49"/>
        <v>1.110137494782178</v>
      </c>
      <c r="I417" s="8">
        <f t="shared" si="50"/>
        <v>0.99122026181061151</v>
      </c>
      <c r="J417" s="22">
        <f t="shared" si="51"/>
        <v>-1.2722416574585504E-2</v>
      </c>
      <c r="K417" s="8"/>
      <c r="L417" s="8">
        <v>0.6704506052299174</v>
      </c>
      <c r="M417" s="8">
        <v>0.97712761894856925</v>
      </c>
      <c r="N417" s="8">
        <v>0.7802314018766745</v>
      </c>
      <c r="O417" s="8">
        <v>0.84000894960062056</v>
      </c>
      <c r="P417" s="8">
        <f t="shared" si="52"/>
        <v>0.82378911208924332</v>
      </c>
      <c r="Q417" s="8">
        <f t="shared" si="53"/>
        <v>0.81012017573864759</v>
      </c>
      <c r="R417" s="8">
        <f t="shared" si="54"/>
        <v>0.98340723839390232</v>
      </c>
      <c r="S417" s="22">
        <f t="shared" si="55"/>
        <v>-2.4139120696340433E-2</v>
      </c>
      <c r="T417" s="25"/>
      <c r="U417" s="1" t="s">
        <v>1184</v>
      </c>
    </row>
    <row r="418" spans="1:21">
      <c r="A418" s="6" t="s">
        <v>1185</v>
      </c>
      <c r="B418" s="6" t="s">
        <v>1186</v>
      </c>
      <c r="C418" s="7">
        <v>1.0939213997329866</v>
      </c>
      <c r="D418" s="7">
        <v>1.150546925410936</v>
      </c>
      <c r="E418" s="7">
        <v>1.1223236384698803</v>
      </c>
      <c r="F418" s="8">
        <v>0.95799844554963509</v>
      </c>
      <c r="G418" s="8">
        <f t="shared" si="48"/>
        <v>1.1222341625719614</v>
      </c>
      <c r="H418" s="8">
        <f t="shared" si="49"/>
        <v>1.0401610420097578</v>
      </c>
      <c r="I418" s="8">
        <f t="shared" si="50"/>
        <v>0.92686631426893418</v>
      </c>
      <c r="J418" s="22">
        <f t="shared" si="51"/>
        <v>-0.10956682685600656</v>
      </c>
      <c r="K418" s="8"/>
      <c r="L418" s="8">
        <v>0.69878629491269972</v>
      </c>
      <c r="M418" s="8">
        <v>1.4404578701303765</v>
      </c>
      <c r="N418" s="8">
        <v>0.93162021743054269</v>
      </c>
      <c r="O418" s="8">
        <v>0.87185484707687555</v>
      </c>
      <c r="P418" s="8">
        <f t="shared" si="52"/>
        <v>1.0696220825215381</v>
      </c>
      <c r="Q418" s="8">
        <f t="shared" si="53"/>
        <v>0.90173753225370912</v>
      </c>
      <c r="R418" s="8">
        <f t="shared" si="54"/>
        <v>0.84304311493639306</v>
      </c>
      <c r="S418" s="22">
        <f t="shared" si="55"/>
        <v>-0.24632167947998737</v>
      </c>
      <c r="T418" s="25"/>
      <c r="U418" s="1" t="s">
        <v>1187</v>
      </c>
    </row>
    <row r="419" spans="1:21">
      <c r="A419" s="6" t="s">
        <v>1188</v>
      </c>
      <c r="B419" s="6" t="s">
        <v>1189</v>
      </c>
      <c r="C419" s="7">
        <v>1.028514812743837</v>
      </c>
      <c r="D419" s="7">
        <v>1.085878092967701</v>
      </c>
      <c r="E419" s="7">
        <v>1.1074618304897246</v>
      </c>
      <c r="F419" s="8">
        <v>1.0504350539147214</v>
      </c>
      <c r="G419" s="8">
        <f t="shared" si="48"/>
        <v>1.0571964528557691</v>
      </c>
      <c r="H419" s="8">
        <f t="shared" si="49"/>
        <v>1.0789484422022229</v>
      </c>
      <c r="I419" s="8">
        <f t="shared" si="50"/>
        <v>1.0205751630056039</v>
      </c>
      <c r="J419" s="22">
        <f t="shared" si="51"/>
        <v>2.9382437443896955E-2</v>
      </c>
      <c r="K419" s="8"/>
      <c r="L419" s="8">
        <v>1.2692089484744704</v>
      </c>
      <c r="M419" s="8">
        <v>0.82432223812951855</v>
      </c>
      <c r="N419" s="8">
        <v>0.75931946966371378</v>
      </c>
      <c r="O419" s="8">
        <v>0.8327363403897311</v>
      </c>
      <c r="P419" s="8">
        <f t="shared" si="52"/>
        <v>1.0467655933019944</v>
      </c>
      <c r="Q419" s="8">
        <f t="shared" si="53"/>
        <v>0.79602790502672249</v>
      </c>
      <c r="R419" s="8">
        <f t="shared" si="54"/>
        <v>0.76046433902711064</v>
      </c>
      <c r="S419" s="22">
        <f t="shared" si="55"/>
        <v>-0.39504749863385974</v>
      </c>
      <c r="T419" s="25"/>
      <c r="U419" s="1" t="s">
        <v>1190</v>
      </c>
    </row>
    <row r="420" spans="1:21">
      <c r="A420" s="6" t="s">
        <v>1191</v>
      </c>
      <c r="B420" s="6" t="s">
        <v>1192</v>
      </c>
      <c r="C420" s="7">
        <v>1.0976011481945498</v>
      </c>
      <c r="D420" s="7">
        <v>1.0382220799480897</v>
      </c>
      <c r="E420" s="7">
        <v>1.0705839758214886</v>
      </c>
      <c r="F420" s="8">
        <v>1.1826070929655077</v>
      </c>
      <c r="G420" s="8">
        <f t="shared" si="48"/>
        <v>1.0679116140713196</v>
      </c>
      <c r="H420" s="8">
        <f t="shared" si="49"/>
        <v>1.1265955343934981</v>
      </c>
      <c r="I420" s="8">
        <f t="shared" si="50"/>
        <v>1.0549520386789795</v>
      </c>
      <c r="J420" s="22">
        <f t="shared" si="51"/>
        <v>7.7177411128819123E-2</v>
      </c>
      <c r="K420" s="8"/>
      <c r="L420" s="8">
        <v>0.84877258951632795</v>
      </c>
      <c r="M420" s="8">
        <v>0.87092826928795797</v>
      </c>
      <c r="N420" s="8">
        <v>0.93696484919288159</v>
      </c>
      <c r="O420" s="8">
        <v>0.8629560643778369</v>
      </c>
      <c r="P420" s="8">
        <f t="shared" si="52"/>
        <v>0.85985042940214296</v>
      </c>
      <c r="Q420" s="8">
        <f t="shared" si="53"/>
        <v>0.89996045678535919</v>
      </c>
      <c r="R420" s="8">
        <f t="shared" si="54"/>
        <v>1.0466476796564548</v>
      </c>
      <c r="S420" s="22">
        <f t="shared" si="55"/>
        <v>6.5775887013007683E-2</v>
      </c>
      <c r="T420" s="25"/>
      <c r="U420" s="1" t="s">
        <v>1193</v>
      </c>
    </row>
    <row r="421" spans="1:21">
      <c r="A421" s="6" t="s">
        <v>1194</v>
      </c>
      <c r="B421" s="6" t="s">
        <v>1195</v>
      </c>
      <c r="C421" s="7">
        <v>1.0893060155704459</v>
      </c>
      <c r="D421" s="7">
        <v>1.0999234139552752</v>
      </c>
      <c r="E421" s="7">
        <v>1.1475034340315284</v>
      </c>
      <c r="F421" s="8">
        <v>1.0625233210613598</v>
      </c>
      <c r="G421" s="8">
        <f t="shared" si="48"/>
        <v>1.0946147147628604</v>
      </c>
      <c r="H421" s="8">
        <f t="shared" si="49"/>
        <v>1.1050133775464441</v>
      </c>
      <c r="I421" s="8">
        <f t="shared" si="50"/>
        <v>1.009499838293181</v>
      </c>
      <c r="J421" s="22">
        <f t="shared" si="51"/>
        <v>1.3640679571174721E-2</v>
      </c>
      <c r="K421" s="8"/>
      <c r="L421" s="8">
        <v>1.2412441447823004</v>
      </c>
      <c r="M421" s="8">
        <v>1.330748442809297</v>
      </c>
      <c r="N421" s="8">
        <v>1.0154800348443833</v>
      </c>
      <c r="O421" s="8">
        <v>0.97823369609330169</v>
      </c>
      <c r="P421" s="8">
        <f t="shared" si="52"/>
        <v>1.2859962937957987</v>
      </c>
      <c r="Q421" s="8">
        <f t="shared" si="53"/>
        <v>0.99685686546884256</v>
      </c>
      <c r="R421" s="8">
        <f t="shared" si="54"/>
        <v>0.77516309360929769</v>
      </c>
      <c r="S421" s="22">
        <f t="shared" si="55"/>
        <v>-0.36742821084017663</v>
      </c>
      <c r="T421" s="25"/>
      <c r="U421" s="1" t="s">
        <v>1196</v>
      </c>
    </row>
    <row r="422" spans="1:21">
      <c r="A422" s="6" t="s">
        <v>1197</v>
      </c>
      <c r="B422" s="6" t="s">
        <v>1198</v>
      </c>
      <c r="C422" s="7">
        <v>1.1673091476345028</v>
      </c>
      <c r="D422" s="7">
        <v>1.137652138774627</v>
      </c>
      <c r="E422" s="7">
        <v>1.0944162487147651</v>
      </c>
      <c r="F422" s="8">
        <v>1.0993316361378793</v>
      </c>
      <c r="G422" s="8">
        <f t="shared" si="48"/>
        <v>1.1524806432045649</v>
      </c>
      <c r="H422" s="8">
        <f t="shared" si="49"/>
        <v>1.0968739424263223</v>
      </c>
      <c r="I422" s="8">
        <f t="shared" si="50"/>
        <v>0.95175042539228794</v>
      </c>
      <c r="J422" s="22">
        <f t="shared" si="51"/>
        <v>-7.1344785275861633E-2</v>
      </c>
      <c r="K422" s="8"/>
      <c r="L422" s="8">
        <v>0.79903677817521379</v>
      </c>
      <c r="M422" s="8">
        <v>1.1524364976575106</v>
      </c>
      <c r="N422" s="8">
        <v>0.96500295708896078</v>
      </c>
      <c r="O422" s="8">
        <v>0.92782231796067682</v>
      </c>
      <c r="P422" s="8">
        <f t="shared" si="52"/>
        <v>0.97573663791636212</v>
      </c>
      <c r="Q422" s="8">
        <f t="shared" si="53"/>
        <v>0.94641263752481875</v>
      </c>
      <c r="R422" s="8">
        <f t="shared" si="54"/>
        <v>0.96994680813240408</v>
      </c>
      <c r="S422" s="22">
        <f t="shared" si="55"/>
        <v>-4.4022462791471463E-2</v>
      </c>
      <c r="T422" s="25"/>
      <c r="U422" s="1" t="s">
        <v>1199</v>
      </c>
    </row>
    <row r="423" spans="1:21">
      <c r="A423" s="6" t="s">
        <v>1200</v>
      </c>
      <c r="B423" s="6" t="s">
        <v>1201</v>
      </c>
      <c r="C423" s="7">
        <v>1.0391207771663287</v>
      </c>
      <c r="D423" s="7">
        <v>1.0566872132249496</v>
      </c>
      <c r="E423" s="7">
        <v>1.0340316097204922</v>
      </c>
      <c r="F423" s="8">
        <v>1.1559421829865737</v>
      </c>
      <c r="G423" s="8">
        <f t="shared" si="48"/>
        <v>1.047903995195639</v>
      </c>
      <c r="H423" s="8">
        <f t="shared" si="49"/>
        <v>1.094986896353533</v>
      </c>
      <c r="I423" s="8">
        <f t="shared" si="50"/>
        <v>1.0449305483839708</v>
      </c>
      <c r="J423" s="22">
        <f t="shared" si="51"/>
        <v>6.3407056342730805E-2</v>
      </c>
      <c r="K423" s="8"/>
      <c r="L423" s="8">
        <v>0.89999194481989131</v>
      </c>
      <c r="M423" s="8">
        <v>0.77459613793955184</v>
      </c>
      <c r="N423" s="8">
        <v>0.96814186780652489</v>
      </c>
      <c r="O423" s="8">
        <v>0.96111370298195331</v>
      </c>
      <c r="P423" s="8">
        <f t="shared" si="52"/>
        <v>0.83729404137972163</v>
      </c>
      <c r="Q423" s="8">
        <f t="shared" si="53"/>
        <v>0.9646277853942391</v>
      </c>
      <c r="R423" s="8">
        <f t="shared" si="54"/>
        <v>1.1520776904188792</v>
      </c>
      <c r="S423" s="22">
        <f t="shared" si="55"/>
        <v>0.20423800827569022</v>
      </c>
      <c r="T423" s="25"/>
      <c r="U423" s="1" t="s">
        <v>1202</v>
      </c>
    </row>
    <row r="424" spans="1:21">
      <c r="A424" s="6" t="s">
        <v>1203</v>
      </c>
      <c r="B424" s="6" t="s">
        <v>1204</v>
      </c>
      <c r="C424" s="7">
        <v>1.2123640882688296</v>
      </c>
      <c r="D424" s="7">
        <v>1.1912305745204221</v>
      </c>
      <c r="E424" s="7">
        <v>1.1617012453345155</v>
      </c>
      <c r="F424" s="8">
        <v>1.1894697711722666</v>
      </c>
      <c r="G424" s="8">
        <f t="shared" si="48"/>
        <v>1.201797331394626</v>
      </c>
      <c r="H424" s="8">
        <f t="shared" si="49"/>
        <v>1.175585508253391</v>
      </c>
      <c r="I424" s="8">
        <f t="shared" si="50"/>
        <v>0.97818948132392891</v>
      </c>
      <c r="J424" s="22">
        <f t="shared" si="51"/>
        <v>-3.1814143729749549E-2</v>
      </c>
      <c r="K424" s="8"/>
      <c r="L424" s="8">
        <v>0.89186954162548115</v>
      </c>
      <c r="M424" s="8">
        <v>0.8625040829028342</v>
      </c>
      <c r="N424" s="8">
        <v>1.1079082301629259</v>
      </c>
      <c r="O424" s="8">
        <v>1.2839994833511315</v>
      </c>
      <c r="P424" s="8">
        <f t="shared" si="52"/>
        <v>0.87718681226415773</v>
      </c>
      <c r="Q424" s="8">
        <f t="shared" si="53"/>
        <v>1.1959538567570287</v>
      </c>
      <c r="R424" s="8">
        <f t="shared" si="54"/>
        <v>1.3633969868631322</v>
      </c>
      <c r="S424" s="22">
        <f t="shared" si="55"/>
        <v>0.44720569977204894</v>
      </c>
      <c r="T424" s="25"/>
      <c r="U424" s="1" t="s">
        <v>1205</v>
      </c>
    </row>
    <row r="425" spans="1:21">
      <c r="A425" s="6" t="s">
        <v>1206</v>
      </c>
      <c r="B425" s="6" t="s">
        <v>1207</v>
      </c>
      <c r="C425" s="7">
        <v>1.2201003512460409</v>
      </c>
      <c r="D425" s="7">
        <v>1.1985047179325183</v>
      </c>
      <c r="E425" s="7">
        <v>1.1462991263327422</v>
      </c>
      <c r="F425" s="8">
        <v>1.0676048461457539</v>
      </c>
      <c r="G425" s="8">
        <f t="shared" si="48"/>
        <v>1.2093025345892796</v>
      </c>
      <c r="H425" s="8">
        <f t="shared" si="49"/>
        <v>1.1069519862392481</v>
      </c>
      <c r="I425" s="8">
        <f t="shared" si="50"/>
        <v>0.91536398426156174</v>
      </c>
      <c r="J425" s="22">
        <f t="shared" si="51"/>
        <v>-0.12758256583869837</v>
      </c>
      <c r="K425" s="8"/>
      <c r="L425" s="8">
        <v>1.0778317773185058</v>
      </c>
      <c r="M425" s="8">
        <v>1.0646065544200165</v>
      </c>
      <c r="N425" s="8">
        <v>1.6236651952286261</v>
      </c>
      <c r="O425" s="8">
        <v>1.0785143945291684</v>
      </c>
      <c r="P425" s="8">
        <f t="shared" si="52"/>
        <v>1.0712191658692611</v>
      </c>
      <c r="Q425" s="8">
        <f t="shared" si="53"/>
        <v>1.3510897948788974</v>
      </c>
      <c r="R425" s="8">
        <f t="shared" si="54"/>
        <v>1.2612636497989931</v>
      </c>
      <c r="S425" s="22">
        <f t="shared" si="55"/>
        <v>0.33486988272370932</v>
      </c>
      <c r="T425" s="25"/>
      <c r="U425" s="1" t="s">
        <v>1208</v>
      </c>
    </row>
    <row r="426" spans="1:21">
      <c r="A426" s="6" t="s">
        <v>1209</v>
      </c>
      <c r="B426" s="6" t="s">
        <v>1210</v>
      </c>
      <c r="C426" s="7">
        <v>1.1305305013215756</v>
      </c>
      <c r="D426" s="7">
        <v>1.1323584233442163</v>
      </c>
      <c r="E426" s="7">
        <v>1.1490592693829331</v>
      </c>
      <c r="F426" s="8">
        <v>1.1011717244738519</v>
      </c>
      <c r="G426" s="8">
        <f t="shared" si="48"/>
        <v>1.1314444623328961</v>
      </c>
      <c r="H426" s="8">
        <f t="shared" si="49"/>
        <v>1.1251154969283925</v>
      </c>
      <c r="I426" s="8">
        <f t="shared" si="50"/>
        <v>0.99440629600903785</v>
      </c>
      <c r="J426" s="22">
        <f t="shared" si="51"/>
        <v>-8.0926641523733477E-3</v>
      </c>
      <c r="K426" s="8"/>
      <c r="L426" s="8">
        <v>1.0712670952846675</v>
      </c>
      <c r="M426" s="8">
        <v>1.0041162160712804</v>
      </c>
      <c r="N426" s="8">
        <v>1.626379928822195</v>
      </c>
      <c r="O426" s="8">
        <v>1.0792823097874611</v>
      </c>
      <c r="P426" s="8">
        <f t="shared" si="52"/>
        <v>1.0376916556779738</v>
      </c>
      <c r="Q426" s="8">
        <f t="shared" si="53"/>
        <v>1.3528311193048279</v>
      </c>
      <c r="R426" s="8">
        <f t="shared" si="54"/>
        <v>1.3036927799337061</v>
      </c>
      <c r="S426" s="22">
        <f t="shared" si="55"/>
        <v>0.38260393315350089</v>
      </c>
      <c r="T426" s="25"/>
      <c r="U426" s="1" t="s">
        <v>1211</v>
      </c>
    </row>
    <row r="427" spans="1:21">
      <c r="A427" s="6" t="s">
        <v>1212</v>
      </c>
      <c r="B427" s="6" t="s">
        <v>1213</v>
      </c>
      <c r="C427" s="7">
        <v>1.0875666122874204</v>
      </c>
      <c r="D427" s="7">
        <v>1.1295040922214059</v>
      </c>
      <c r="E427" s="7">
        <v>1.0470055840106589</v>
      </c>
      <c r="F427" s="8">
        <v>1.1764843791073782</v>
      </c>
      <c r="G427" s="8">
        <f t="shared" si="48"/>
        <v>1.108535352254413</v>
      </c>
      <c r="H427" s="8">
        <f t="shared" si="49"/>
        <v>1.1117449815590186</v>
      </c>
      <c r="I427" s="8">
        <f t="shared" si="50"/>
        <v>1.0028953783910257</v>
      </c>
      <c r="J427" s="22">
        <f t="shared" si="51"/>
        <v>4.1711124814911267E-3</v>
      </c>
      <c r="K427" s="8"/>
      <c r="L427" s="8">
        <v>1.1095425295158605</v>
      </c>
      <c r="M427" s="8">
        <v>0.92744051962149654</v>
      </c>
      <c r="N427" s="8">
        <v>1.7614379251022501</v>
      </c>
      <c r="O427" s="8">
        <v>1.1764010042185933</v>
      </c>
      <c r="P427" s="8">
        <f t="shared" si="52"/>
        <v>1.0184915245686785</v>
      </c>
      <c r="Q427" s="8">
        <f t="shared" si="53"/>
        <v>1.4689194646604218</v>
      </c>
      <c r="R427" s="8">
        <f t="shared" si="54"/>
        <v>1.4422500622010528</v>
      </c>
      <c r="S427" s="22">
        <f t="shared" si="55"/>
        <v>0.52832132561921141</v>
      </c>
      <c r="T427" s="25"/>
      <c r="U427" s="1" t="s">
        <v>1214</v>
      </c>
    </row>
    <row r="428" spans="1:21">
      <c r="A428" s="6" t="s">
        <v>1215</v>
      </c>
      <c r="B428" s="6" t="s">
        <v>1216</v>
      </c>
      <c r="C428" s="7">
        <v>1.084244791577238</v>
      </c>
      <c r="D428" s="7">
        <v>1.1970964135899864</v>
      </c>
      <c r="E428" s="7">
        <v>1.1147853232526133</v>
      </c>
      <c r="F428" s="8">
        <v>1.2023700345952775</v>
      </c>
      <c r="G428" s="8">
        <f t="shared" si="48"/>
        <v>1.1406706025836122</v>
      </c>
      <c r="H428" s="8">
        <f t="shared" si="49"/>
        <v>1.1585776789239453</v>
      </c>
      <c r="I428" s="8">
        <f t="shared" si="50"/>
        <v>1.0156987269591884</v>
      </c>
      <c r="J428" s="22">
        <f t="shared" si="51"/>
        <v>2.2472538353163679E-2</v>
      </c>
      <c r="K428" s="8"/>
      <c r="L428" s="8">
        <v>1.4102568907043413</v>
      </c>
      <c r="M428" s="8">
        <v>0.82853433132208043</v>
      </c>
      <c r="N428" s="8">
        <v>1.329243853463594</v>
      </c>
      <c r="O428" s="8">
        <v>1.6287482628387597</v>
      </c>
      <c r="P428" s="8">
        <f t="shared" si="52"/>
        <v>1.1193956110132108</v>
      </c>
      <c r="Q428" s="8">
        <f t="shared" si="53"/>
        <v>1.4789960581511767</v>
      </c>
      <c r="R428" s="8">
        <f t="shared" si="54"/>
        <v>1.321245182310905</v>
      </c>
      <c r="S428" s="22">
        <f t="shared" si="55"/>
        <v>0.40189821108282109</v>
      </c>
      <c r="T428" s="25"/>
      <c r="U428" s="1" t="s">
        <v>1217</v>
      </c>
    </row>
    <row r="429" spans="1:21">
      <c r="A429" s="6" t="s">
        <v>1218</v>
      </c>
      <c r="B429" s="6" t="s">
        <v>1219</v>
      </c>
      <c r="C429" s="7">
        <v>1.1356921962625397</v>
      </c>
      <c r="D429" s="7">
        <v>1.1022559180225937</v>
      </c>
      <c r="E429" s="7">
        <v>1.0646665936690745</v>
      </c>
      <c r="F429" s="8">
        <v>1.0233248556551962</v>
      </c>
      <c r="G429" s="8">
        <f t="shared" si="48"/>
        <v>1.1189740571425668</v>
      </c>
      <c r="H429" s="8">
        <f t="shared" si="49"/>
        <v>1.0439957246621354</v>
      </c>
      <c r="I429" s="8">
        <f t="shared" si="50"/>
        <v>0.93299368112975067</v>
      </c>
      <c r="J429" s="22">
        <f t="shared" si="51"/>
        <v>-0.10006078469311849</v>
      </c>
      <c r="K429" s="8"/>
      <c r="L429" s="8">
        <v>1.1744846664720803</v>
      </c>
      <c r="M429" s="8">
        <v>0.95294708395423244</v>
      </c>
      <c r="N429" s="8">
        <v>1.4735489110467432</v>
      </c>
      <c r="O429" s="8">
        <v>1.3925013921993079</v>
      </c>
      <c r="P429" s="8">
        <f t="shared" si="52"/>
        <v>1.0637158752131564</v>
      </c>
      <c r="Q429" s="8">
        <f t="shared" si="53"/>
        <v>1.4330251516230255</v>
      </c>
      <c r="R429" s="8">
        <f t="shared" si="54"/>
        <v>1.3471878957676211</v>
      </c>
      <c r="S429" s="22">
        <f t="shared" si="55"/>
        <v>0.42995108122888537</v>
      </c>
      <c r="T429" s="25"/>
      <c r="U429" s="1" t="s">
        <v>1220</v>
      </c>
    </row>
    <row r="430" spans="1:21">
      <c r="A430" s="6" t="s">
        <v>1221</v>
      </c>
      <c r="B430" s="6" t="s">
        <v>1222</v>
      </c>
      <c r="C430" s="7">
        <v>1.1199496546360228</v>
      </c>
      <c r="D430" s="7">
        <v>1.1793291454114347</v>
      </c>
      <c r="E430" s="7">
        <v>1.1271343594936802</v>
      </c>
      <c r="F430" s="8">
        <v>1.2282884318685143</v>
      </c>
      <c r="G430" s="8">
        <f t="shared" si="48"/>
        <v>1.1496394000237289</v>
      </c>
      <c r="H430" s="8">
        <f t="shared" si="49"/>
        <v>1.1777113956810972</v>
      </c>
      <c r="I430" s="8">
        <f t="shared" si="50"/>
        <v>1.0244180876688715</v>
      </c>
      <c r="J430" s="22">
        <f t="shared" si="51"/>
        <v>3.4804631261419437E-2</v>
      </c>
      <c r="K430" s="8"/>
      <c r="L430" s="8">
        <v>1.3031821052145605</v>
      </c>
      <c r="M430" s="8">
        <v>0.92042036430056007</v>
      </c>
      <c r="N430" s="8">
        <v>1.3568153665232787</v>
      </c>
      <c r="O430" s="8">
        <v>1.4113830732561512</v>
      </c>
      <c r="P430" s="8">
        <f t="shared" si="52"/>
        <v>1.1118012347575603</v>
      </c>
      <c r="Q430" s="8">
        <f t="shared" si="53"/>
        <v>1.3840992198897148</v>
      </c>
      <c r="R430" s="8">
        <f t="shared" si="54"/>
        <v>1.244916066486949</v>
      </c>
      <c r="S430" s="22">
        <f t="shared" si="55"/>
        <v>0.31604847759859905</v>
      </c>
      <c r="T430" s="25"/>
      <c r="U430" s="1" t="s">
        <v>1223</v>
      </c>
    </row>
    <row r="431" spans="1:21">
      <c r="A431" s="6" t="s">
        <v>1224</v>
      </c>
      <c r="B431" s="6" t="s">
        <v>1225</v>
      </c>
      <c r="C431" s="7">
        <v>1.1424174703279562</v>
      </c>
      <c r="D431" s="7">
        <v>1.0907191391451549</v>
      </c>
      <c r="E431" s="7">
        <v>1.179609626304033</v>
      </c>
      <c r="F431" s="8">
        <v>1.1068491500513902</v>
      </c>
      <c r="G431" s="8">
        <f t="shared" si="48"/>
        <v>1.1165683047365556</v>
      </c>
      <c r="H431" s="8">
        <f t="shared" si="49"/>
        <v>1.1432293881777116</v>
      </c>
      <c r="I431" s="8">
        <f t="shared" si="50"/>
        <v>1.0238777003861366</v>
      </c>
      <c r="J431" s="22">
        <f t="shared" si="51"/>
        <v>3.4043399338183192E-2</v>
      </c>
      <c r="K431" s="8"/>
      <c r="L431" s="8">
        <v>1.2570067993833247</v>
      </c>
      <c r="M431" s="8">
        <v>1.0456911359163821</v>
      </c>
      <c r="N431" s="8">
        <v>1.725510122699861</v>
      </c>
      <c r="O431" s="8">
        <v>1.4689315461423198</v>
      </c>
      <c r="P431" s="8">
        <f t="shared" si="52"/>
        <v>1.1513489676498534</v>
      </c>
      <c r="Q431" s="8">
        <f t="shared" si="53"/>
        <v>1.5972208344210905</v>
      </c>
      <c r="R431" s="8">
        <f t="shared" si="54"/>
        <v>1.3872604043597276</v>
      </c>
      <c r="S431" s="22">
        <f t="shared" si="55"/>
        <v>0.47223862314539305</v>
      </c>
      <c r="T431" s="25"/>
      <c r="U431" s="1" t="s">
        <v>1226</v>
      </c>
    </row>
    <row r="432" spans="1:21">
      <c r="A432" s="6" t="s">
        <v>1227</v>
      </c>
      <c r="B432" s="6" t="s">
        <v>1228</v>
      </c>
      <c r="C432" s="7">
        <v>1.1218209260379781</v>
      </c>
      <c r="D432" s="7">
        <v>1.1310381380230925</v>
      </c>
      <c r="E432" s="7">
        <v>1.1856572038833431</v>
      </c>
      <c r="F432" s="8">
        <v>1.1791233670055881</v>
      </c>
      <c r="G432" s="8">
        <f t="shared" si="48"/>
        <v>1.1264295320305353</v>
      </c>
      <c r="H432" s="8">
        <f t="shared" si="49"/>
        <v>1.1823902854444657</v>
      </c>
      <c r="I432" s="8">
        <f t="shared" si="50"/>
        <v>1.0496797640887965</v>
      </c>
      <c r="J432" s="22">
        <f t="shared" si="51"/>
        <v>6.9949258150771923E-2</v>
      </c>
      <c r="K432" s="8"/>
      <c r="L432" s="8">
        <v>1.2695798344650828</v>
      </c>
      <c r="M432" s="8">
        <v>1.1935434071478832</v>
      </c>
      <c r="N432" s="8">
        <v>1.4052563940835245</v>
      </c>
      <c r="O432" s="8">
        <v>1.4181136246376576</v>
      </c>
      <c r="P432" s="8">
        <f t="shared" si="52"/>
        <v>1.231561620806483</v>
      </c>
      <c r="Q432" s="8">
        <f t="shared" si="53"/>
        <v>1.411685009360591</v>
      </c>
      <c r="R432" s="8">
        <f t="shared" si="54"/>
        <v>1.1462560910562924</v>
      </c>
      <c r="S432" s="22">
        <f t="shared" si="55"/>
        <v>0.19692940013514665</v>
      </c>
      <c r="T432" s="25"/>
      <c r="U432" s="1" t="s">
        <v>1229</v>
      </c>
    </row>
    <row r="433" spans="1:21">
      <c r="A433" s="6" t="s">
        <v>1230</v>
      </c>
      <c r="B433" s="6" t="s">
        <v>1231</v>
      </c>
      <c r="C433" s="7">
        <v>1.1323640961181225</v>
      </c>
      <c r="D433" s="7">
        <v>1.1372937756160362</v>
      </c>
      <c r="E433" s="7">
        <v>1.0999755934432158</v>
      </c>
      <c r="F433" s="8">
        <v>1.0448951438356009</v>
      </c>
      <c r="G433" s="8">
        <f t="shared" si="48"/>
        <v>1.1348289358670793</v>
      </c>
      <c r="H433" s="8">
        <f t="shared" si="49"/>
        <v>1.0724353686394084</v>
      </c>
      <c r="I433" s="8">
        <f t="shared" si="50"/>
        <v>0.9450194075462145</v>
      </c>
      <c r="J433" s="22">
        <f t="shared" si="51"/>
        <v>-8.1584137105850218E-2</v>
      </c>
      <c r="K433" s="8"/>
      <c r="L433" s="8">
        <v>0.52432152492865758</v>
      </c>
      <c r="M433" s="8">
        <v>0.44948494485440488</v>
      </c>
      <c r="N433" s="8">
        <v>0.5312818478039224</v>
      </c>
      <c r="O433" s="8">
        <v>0.76032644868131027</v>
      </c>
      <c r="P433" s="8">
        <f t="shared" si="52"/>
        <v>0.4869032348915312</v>
      </c>
      <c r="Q433" s="8">
        <f t="shared" si="53"/>
        <v>0.64580414824261634</v>
      </c>
      <c r="R433" s="8">
        <f t="shared" si="54"/>
        <v>1.3263500875825645</v>
      </c>
      <c r="S433" s="22">
        <f t="shared" si="55"/>
        <v>0.40746162232628852</v>
      </c>
      <c r="T433" s="25"/>
      <c r="U433" s="1" t="s">
        <v>1232</v>
      </c>
    </row>
    <row r="434" spans="1:21">
      <c r="A434" s="6" t="s">
        <v>1233</v>
      </c>
      <c r="B434" s="11" t="s">
        <v>1234</v>
      </c>
      <c r="C434" s="12">
        <v>1.100577600021821</v>
      </c>
      <c r="D434" s="12">
        <v>1.1496101515402339</v>
      </c>
      <c r="E434" s="12">
        <v>1.0428263108073037</v>
      </c>
      <c r="F434" s="8">
        <v>1.0861432450038977</v>
      </c>
      <c r="G434" s="8">
        <f t="shared" si="48"/>
        <v>1.1250938757810274</v>
      </c>
      <c r="H434" s="8">
        <f t="shared" si="49"/>
        <v>1.0644847779056006</v>
      </c>
      <c r="I434" s="8">
        <f t="shared" si="50"/>
        <v>0.94612974154414209</v>
      </c>
      <c r="J434" s="22">
        <f t="shared" si="51"/>
        <v>-7.989006285753146E-2</v>
      </c>
      <c r="K434" s="8"/>
      <c r="L434" s="8">
        <v>1.2367935128949525</v>
      </c>
      <c r="M434" s="8">
        <v>1.3321524738734845</v>
      </c>
      <c r="N434" s="8">
        <v>1.3283954992156037</v>
      </c>
      <c r="O434" s="8">
        <v>1.7195881207462047</v>
      </c>
      <c r="P434" s="8">
        <f t="shared" si="52"/>
        <v>1.2844729933842185</v>
      </c>
      <c r="Q434" s="8">
        <f t="shared" si="53"/>
        <v>1.5239918099809042</v>
      </c>
      <c r="R434" s="8">
        <f t="shared" si="54"/>
        <v>1.1864724426518476</v>
      </c>
      <c r="S434" s="22">
        <f t="shared" si="55"/>
        <v>0.24667859247352306</v>
      </c>
      <c r="T434" s="25"/>
      <c r="U434" s="1" t="s">
        <v>1235</v>
      </c>
    </row>
    <row r="435" spans="1:21">
      <c r="A435" s="6" t="s">
        <v>1236</v>
      </c>
      <c r="B435" s="6" t="s">
        <v>80</v>
      </c>
      <c r="C435" s="7">
        <v>1.0276356919509722</v>
      </c>
      <c r="D435" s="7">
        <v>1.1114287574679254</v>
      </c>
      <c r="E435" s="7">
        <v>1.1692981484938856</v>
      </c>
      <c r="F435" s="8">
        <v>1.1473376417998549</v>
      </c>
      <c r="G435" s="8">
        <f t="shared" si="48"/>
        <v>1.0695322247094488</v>
      </c>
      <c r="H435" s="8">
        <f t="shared" si="49"/>
        <v>1.1583178951468702</v>
      </c>
      <c r="I435" s="8">
        <f t="shared" si="50"/>
        <v>1.0830135533892316</v>
      </c>
      <c r="J435" s="22">
        <f t="shared" si="51"/>
        <v>0.11505129768777327</v>
      </c>
      <c r="K435" s="8"/>
      <c r="L435" s="8">
        <v>1.4145962567945056</v>
      </c>
      <c r="M435" s="8">
        <v>1.3001327654374353</v>
      </c>
      <c r="N435" s="8">
        <v>1.3592331761300509</v>
      </c>
      <c r="O435" s="8">
        <v>1.396431311462335</v>
      </c>
      <c r="P435" s="8">
        <f t="shared" si="52"/>
        <v>1.3573645111159705</v>
      </c>
      <c r="Q435" s="8">
        <f t="shared" si="53"/>
        <v>1.377832243796193</v>
      </c>
      <c r="R435" s="8">
        <f t="shared" si="54"/>
        <v>1.0150790244717647</v>
      </c>
      <c r="S435" s="22">
        <f t="shared" si="55"/>
        <v>2.1592046401197249E-2</v>
      </c>
      <c r="T435" s="25"/>
      <c r="U435" s="1">
        <v>0</v>
      </c>
    </row>
    <row r="436" spans="1:21">
      <c r="A436" s="6" t="s">
        <v>1237</v>
      </c>
      <c r="B436" s="6" t="s">
        <v>80</v>
      </c>
      <c r="C436" s="7">
        <v>1.0512526441078647</v>
      </c>
      <c r="D436" s="7">
        <v>1.1070152322515971</v>
      </c>
      <c r="E436" s="7">
        <v>1.0905168956792359</v>
      </c>
      <c r="F436" s="8">
        <v>1.1138558921136346</v>
      </c>
      <c r="G436" s="8">
        <f t="shared" si="48"/>
        <v>1.0791339381797309</v>
      </c>
      <c r="H436" s="8">
        <f t="shared" si="49"/>
        <v>1.1021863938964351</v>
      </c>
      <c r="I436" s="8">
        <f t="shared" si="50"/>
        <v>1.0213619967838179</v>
      </c>
      <c r="J436" s="22">
        <f t="shared" si="51"/>
        <v>3.0494284829185675E-2</v>
      </c>
      <c r="K436" s="8"/>
      <c r="L436" s="8">
        <v>1.3757644935773943</v>
      </c>
      <c r="M436" s="8">
        <v>1.476026657089788</v>
      </c>
      <c r="N436" s="8">
        <v>1.7241527559030765</v>
      </c>
      <c r="O436" s="8">
        <v>1.6445131113766505</v>
      </c>
      <c r="P436" s="8">
        <f t="shared" si="52"/>
        <v>1.4258955753335911</v>
      </c>
      <c r="Q436" s="8">
        <f t="shared" si="53"/>
        <v>1.6843329336398636</v>
      </c>
      <c r="R436" s="8">
        <f t="shared" si="54"/>
        <v>1.1812456415301034</v>
      </c>
      <c r="S436" s="22">
        <f t="shared" si="55"/>
        <v>0.24030900619762049</v>
      </c>
      <c r="T436" s="25"/>
      <c r="U436" s="1">
        <v>0</v>
      </c>
    </row>
    <row r="437" spans="1:21">
      <c r="A437" s="6" t="s">
        <v>1238</v>
      </c>
      <c r="B437" s="6" t="s">
        <v>1239</v>
      </c>
      <c r="C437" s="7">
        <v>0.58028251763319094</v>
      </c>
      <c r="D437" s="7">
        <v>0.5770715655713794</v>
      </c>
      <c r="E437" s="7">
        <v>0.75931925897035046</v>
      </c>
      <c r="F437" s="8">
        <v>0.76203886030415446</v>
      </c>
      <c r="G437" s="8">
        <f t="shared" si="48"/>
        <v>0.57867704160228517</v>
      </c>
      <c r="H437" s="8">
        <f t="shared" si="49"/>
        <v>0.76067905963725246</v>
      </c>
      <c r="I437" s="8">
        <f t="shared" si="50"/>
        <v>1.3145139774873844</v>
      </c>
      <c r="J437" s="22">
        <f t="shared" si="51"/>
        <v>0.39452948249952868</v>
      </c>
      <c r="K437" s="8"/>
      <c r="L437" s="8">
        <v>0.88089131630335604</v>
      </c>
      <c r="M437" s="8">
        <v>0.33380838551052938</v>
      </c>
      <c r="N437" s="8">
        <v>0.35181250664157543</v>
      </c>
      <c r="O437" s="8">
        <v>0.36503077660371125</v>
      </c>
      <c r="P437" s="8">
        <f t="shared" si="52"/>
        <v>0.60734985090694271</v>
      </c>
      <c r="Q437" s="8">
        <f t="shared" si="53"/>
        <v>0.35842164162264334</v>
      </c>
      <c r="R437" s="8">
        <f t="shared" si="54"/>
        <v>0.59014033030125856</v>
      </c>
      <c r="S437" s="22">
        <f t="shared" si="55"/>
        <v>-0.76087003912997975</v>
      </c>
      <c r="T437" s="25"/>
      <c r="U437" s="1" t="s">
        <v>1240</v>
      </c>
    </row>
    <row r="438" spans="1:21" ht="14.5">
      <c r="A438" s="6" t="s">
        <v>1241</v>
      </c>
      <c r="B438" s="6" t="s">
        <v>1242</v>
      </c>
      <c r="C438" s="7">
        <v>0.95252109963489995</v>
      </c>
      <c r="D438" s="7">
        <v>1.0231016694847435</v>
      </c>
      <c r="E438" s="7">
        <v>0.9769604443407176</v>
      </c>
      <c r="F438" s="8">
        <v>1.1136070545450689</v>
      </c>
      <c r="G438" s="8">
        <f t="shared" si="48"/>
        <v>0.98781138455982176</v>
      </c>
      <c r="H438" s="8">
        <f t="shared" si="49"/>
        <v>1.0452837494428933</v>
      </c>
      <c r="I438" s="8">
        <f t="shared" si="50"/>
        <v>1.0581815170197515</v>
      </c>
      <c r="J438" s="22">
        <f t="shared" si="51"/>
        <v>8.158712390039409E-2</v>
      </c>
      <c r="K438" s="8"/>
      <c r="L438" s="8">
        <v>0.84239335047779573</v>
      </c>
      <c r="M438" s="8">
        <v>0.82818332355603363</v>
      </c>
      <c r="N438" s="8">
        <v>0.76517311397484677</v>
      </c>
      <c r="O438" s="8">
        <v>0.80653687863621637</v>
      </c>
      <c r="P438" s="8">
        <f t="shared" si="52"/>
        <v>0.83528833701691463</v>
      </c>
      <c r="Q438" s="8">
        <f t="shared" si="53"/>
        <v>0.78585499630553157</v>
      </c>
      <c r="R438" s="8">
        <f t="shared" si="54"/>
        <v>0.94081883043174586</v>
      </c>
      <c r="S438" s="22">
        <f t="shared" si="55"/>
        <v>-8.8011158970496661E-2</v>
      </c>
      <c r="T438" s="25"/>
      <c r="U438" s="1" t="s">
        <v>1243</v>
      </c>
    </row>
    <row r="439" spans="1:21">
      <c r="A439" s="6" t="s">
        <v>1244</v>
      </c>
      <c r="B439" s="6" t="s">
        <v>1245</v>
      </c>
      <c r="C439" s="7">
        <v>1.0333185799334204</v>
      </c>
      <c r="D439" s="7">
        <v>0.99866381689803785</v>
      </c>
      <c r="E439" s="7">
        <v>0.92674406818700683</v>
      </c>
      <c r="F439" s="8">
        <v>0.92656633162554802</v>
      </c>
      <c r="G439" s="8">
        <f t="shared" si="48"/>
        <v>1.015991198415729</v>
      </c>
      <c r="H439" s="8">
        <f t="shared" si="49"/>
        <v>0.92665519990627743</v>
      </c>
      <c r="I439" s="8">
        <f t="shared" si="50"/>
        <v>0.91207010587418824</v>
      </c>
      <c r="J439" s="22">
        <f t="shared" si="51"/>
        <v>-0.13278337410498342</v>
      </c>
      <c r="K439" s="8"/>
      <c r="L439" s="8">
        <v>0.64434023149080899</v>
      </c>
      <c r="M439" s="8">
        <v>0.59885824973877544</v>
      </c>
      <c r="N439" s="8">
        <v>0.63533249631993205</v>
      </c>
      <c r="O439" s="8">
        <v>0.57810467503703711</v>
      </c>
      <c r="P439" s="8">
        <f t="shared" si="52"/>
        <v>0.62159924061479221</v>
      </c>
      <c r="Q439" s="8">
        <f t="shared" si="53"/>
        <v>0.60671858567848458</v>
      </c>
      <c r="R439" s="8">
        <f t="shared" si="54"/>
        <v>0.97606069318619193</v>
      </c>
      <c r="S439" s="22">
        <f t="shared" si="55"/>
        <v>-3.4957234971838433E-2</v>
      </c>
      <c r="T439" s="25"/>
      <c r="U439" s="1" t="s">
        <v>1246</v>
      </c>
    </row>
    <row r="440" spans="1:21">
      <c r="A440" s="6" t="s">
        <v>1247</v>
      </c>
      <c r="B440" s="6" t="s">
        <v>1248</v>
      </c>
      <c r="C440" s="7">
        <v>1.1057832510024284</v>
      </c>
      <c r="D440" s="7">
        <v>1.080735267288276</v>
      </c>
      <c r="E440" s="7">
        <v>1.1329475853045776</v>
      </c>
      <c r="F440" s="8">
        <v>1.0580245997559747</v>
      </c>
      <c r="G440" s="8">
        <f t="shared" si="48"/>
        <v>1.093259259145352</v>
      </c>
      <c r="H440" s="8">
        <f t="shared" si="49"/>
        <v>1.0954860925302761</v>
      </c>
      <c r="I440" s="8">
        <f t="shared" si="50"/>
        <v>1.0020368758519957</v>
      </c>
      <c r="J440" s="22">
        <f t="shared" si="51"/>
        <v>2.9356019761112308E-3</v>
      </c>
      <c r="K440" s="8"/>
      <c r="L440" s="8">
        <v>1.1444799898315423</v>
      </c>
      <c r="M440" s="8">
        <v>1.2453755539341307</v>
      </c>
      <c r="N440" s="8">
        <v>0.87189607837202587</v>
      </c>
      <c r="O440" s="8">
        <v>0.86756355592759293</v>
      </c>
      <c r="P440" s="8">
        <f t="shared" si="52"/>
        <v>1.1949277718828366</v>
      </c>
      <c r="Q440" s="8">
        <f t="shared" si="53"/>
        <v>0.86972981714980935</v>
      </c>
      <c r="R440" s="8">
        <f t="shared" si="54"/>
        <v>0.72785137111625098</v>
      </c>
      <c r="S440" s="22">
        <f t="shared" si="55"/>
        <v>-0.45828421595402052</v>
      </c>
      <c r="T440" s="25"/>
      <c r="U440" s="1" t="s">
        <v>1249</v>
      </c>
    </row>
    <row r="441" spans="1:21">
      <c r="A441" s="6" t="s">
        <v>1250</v>
      </c>
      <c r="B441" s="6" t="s">
        <v>1251</v>
      </c>
      <c r="C441" s="7">
        <v>1.2149888917789549</v>
      </c>
      <c r="D441" s="7">
        <v>1.2366735378589115</v>
      </c>
      <c r="E441" s="7">
        <v>1.1726051123370389</v>
      </c>
      <c r="F441" s="8">
        <v>1.1492694071347727</v>
      </c>
      <c r="G441" s="8">
        <f t="shared" si="48"/>
        <v>1.2258312148189332</v>
      </c>
      <c r="H441" s="8">
        <f t="shared" si="49"/>
        <v>1.1609372597359058</v>
      </c>
      <c r="I441" s="8">
        <f t="shared" si="50"/>
        <v>0.94706126398273116</v>
      </c>
      <c r="J441" s="22">
        <f t="shared" si="51"/>
        <v>-7.8470340381394971E-2</v>
      </c>
      <c r="K441" s="8"/>
      <c r="L441" s="8">
        <v>1.0941136723063873</v>
      </c>
      <c r="M441" s="8">
        <v>1.134262095548864</v>
      </c>
      <c r="N441" s="8">
        <v>1.112446925389674</v>
      </c>
      <c r="O441" s="8">
        <v>0.65168902537578799</v>
      </c>
      <c r="P441" s="8">
        <f t="shared" si="52"/>
        <v>1.1141878839276256</v>
      </c>
      <c r="Q441" s="8">
        <f t="shared" si="53"/>
        <v>0.88206797538273096</v>
      </c>
      <c r="R441" s="8">
        <f t="shared" si="54"/>
        <v>0.79166897083223675</v>
      </c>
      <c r="S441" s="22">
        <f t="shared" si="55"/>
        <v>-0.33703078828379751</v>
      </c>
      <c r="T441" s="25"/>
      <c r="U441" s="1" t="s">
        <v>1252</v>
      </c>
    </row>
    <row r="442" spans="1:21">
      <c r="A442" s="6" t="s">
        <v>1253</v>
      </c>
      <c r="B442" s="6" t="s">
        <v>1254</v>
      </c>
      <c r="C442" s="7">
        <v>1.0246969167291093</v>
      </c>
      <c r="D442" s="7">
        <v>1.0599061945793087</v>
      </c>
      <c r="E442" s="7">
        <v>1.0760652032938018</v>
      </c>
      <c r="F442" s="8">
        <v>1.0307114024273567</v>
      </c>
      <c r="G442" s="8">
        <f t="shared" si="48"/>
        <v>1.042301555654209</v>
      </c>
      <c r="H442" s="8">
        <f t="shared" si="49"/>
        <v>1.0533883028605793</v>
      </c>
      <c r="I442" s="8">
        <f t="shared" si="50"/>
        <v>1.0106367942619174</v>
      </c>
      <c r="J442" s="22">
        <f t="shared" si="51"/>
        <v>1.5264610234637309E-2</v>
      </c>
      <c r="K442" s="8"/>
      <c r="L442" s="8">
        <v>1.1398439149488881</v>
      </c>
      <c r="M442" s="8">
        <v>1.0875390618017424</v>
      </c>
      <c r="N442" s="8">
        <v>0.91753753691390383</v>
      </c>
      <c r="O442" s="8">
        <v>1.5538539394123332</v>
      </c>
      <c r="P442" s="8">
        <f t="shared" si="52"/>
        <v>1.1136914883753153</v>
      </c>
      <c r="Q442" s="8">
        <f t="shared" si="53"/>
        <v>1.2356957381631184</v>
      </c>
      <c r="R442" s="8">
        <f t="shared" si="54"/>
        <v>1.1095494138738424</v>
      </c>
      <c r="S442" s="22">
        <f t="shared" si="55"/>
        <v>0.14997391950724154</v>
      </c>
      <c r="T442" s="25"/>
      <c r="U442" s="1" t="s">
        <v>1255</v>
      </c>
    </row>
    <row r="443" spans="1:21">
      <c r="A443" s="6" t="s">
        <v>1256</v>
      </c>
      <c r="B443" s="6" t="s">
        <v>1257</v>
      </c>
      <c r="C443" s="7">
        <v>1.0977581340504186</v>
      </c>
      <c r="D443" s="7">
        <v>1.17737386572158</v>
      </c>
      <c r="E443" s="7">
        <v>1.1311378688707261</v>
      </c>
      <c r="F443" s="8">
        <v>1.1620714452017706</v>
      </c>
      <c r="G443" s="8">
        <f t="shared" si="48"/>
        <v>1.1375659998859993</v>
      </c>
      <c r="H443" s="8">
        <f t="shared" si="49"/>
        <v>1.1466046570362485</v>
      </c>
      <c r="I443" s="8">
        <f t="shared" si="50"/>
        <v>1.0079456112007172</v>
      </c>
      <c r="J443" s="22">
        <f t="shared" si="51"/>
        <v>1.1417793036248057E-2</v>
      </c>
      <c r="K443" s="8"/>
      <c r="L443" s="8">
        <v>0.72675109860486975</v>
      </c>
      <c r="M443" s="8">
        <v>1.2886665117465723</v>
      </c>
      <c r="N443" s="8">
        <v>0.88364578470669153</v>
      </c>
      <c r="O443" s="8">
        <v>0.87275827679251394</v>
      </c>
      <c r="P443" s="8">
        <f t="shared" si="52"/>
        <v>1.007708805175721</v>
      </c>
      <c r="Q443" s="8">
        <f t="shared" si="53"/>
        <v>0.87820203074960279</v>
      </c>
      <c r="R443" s="8">
        <f t="shared" si="54"/>
        <v>0.87148393091242737</v>
      </c>
      <c r="S443" s="22">
        <f t="shared" si="55"/>
        <v>-0.19845403180626128</v>
      </c>
      <c r="T443" s="25"/>
      <c r="U443" s="1" t="s">
        <v>1258</v>
      </c>
    </row>
    <row r="444" spans="1:21">
      <c r="A444" s="6" t="s">
        <v>1259</v>
      </c>
      <c r="B444" s="6" t="s">
        <v>1260</v>
      </c>
      <c r="C444" s="7">
        <v>1.0961003634124447</v>
      </c>
      <c r="D444" s="7">
        <v>0.96759310234092455</v>
      </c>
      <c r="E444" s="7">
        <v>0.97857486763422552</v>
      </c>
      <c r="F444" s="8">
        <v>1.0839037068868065</v>
      </c>
      <c r="G444" s="8">
        <f t="shared" si="48"/>
        <v>1.0318467328766845</v>
      </c>
      <c r="H444" s="8">
        <f t="shared" si="49"/>
        <v>1.0312392872605161</v>
      </c>
      <c r="I444" s="8">
        <f t="shared" si="50"/>
        <v>0.99941130247660437</v>
      </c>
      <c r="J444" s="22">
        <f t="shared" si="51"/>
        <v>-8.4956108938402588E-4</v>
      </c>
      <c r="K444" s="8"/>
      <c r="L444" s="8">
        <v>1.0920737993580194</v>
      </c>
      <c r="M444" s="8">
        <v>0.71383279355055729</v>
      </c>
      <c r="N444" s="8">
        <v>1.0304110696090125</v>
      </c>
      <c r="O444" s="8">
        <v>0.8305681090721988</v>
      </c>
      <c r="P444" s="8">
        <f t="shared" si="52"/>
        <v>0.90295329645428835</v>
      </c>
      <c r="Q444" s="8">
        <f t="shared" si="53"/>
        <v>0.93048958934060566</v>
      </c>
      <c r="R444" s="8">
        <f t="shared" si="54"/>
        <v>1.0304958107960254</v>
      </c>
      <c r="S444" s="22">
        <f t="shared" si="55"/>
        <v>4.3338639999843623E-2</v>
      </c>
      <c r="T444" s="25"/>
      <c r="U444" s="1" t="s">
        <v>1261</v>
      </c>
    </row>
    <row r="445" spans="1:21">
      <c r="A445" s="6" t="s">
        <v>1262</v>
      </c>
      <c r="B445" s="6" t="s">
        <v>1263</v>
      </c>
      <c r="C445" s="7">
        <v>1.2215257828173289</v>
      </c>
      <c r="D445" s="7">
        <v>1.1178289977388969</v>
      </c>
      <c r="E445" s="7">
        <v>1.1052550180038407</v>
      </c>
      <c r="F445" s="8">
        <v>1.1104572947955926</v>
      </c>
      <c r="G445" s="8">
        <f t="shared" si="48"/>
        <v>1.169677390278113</v>
      </c>
      <c r="H445" s="8">
        <f t="shared" si="49"/>
        <v>1.1078561563997167</v>
      </c>
      <c r="I445" s="8">
        <f t="shared" si="50"/>
        <v>0.94714676508904971</v>
      </c>
      <c r="J445" s="22">
        <f t="shared" si="51"/>
        <v>-7.8340099119329876E-2</v>
      </c>
      <c r="K445" s="8"/>
      <c r="L445" s="8">
        <v>1.2680221133045111</v>
      </c>
      <c r="M445" s="8">
        <v>1.3857786603528603</v>
      </c>
      <c r="N445" s="8">
        <v>1.5569845513365888</v>
      </c>
      <c r="O445" s="8">
        <v>1.1010097944485655</v>
      </c>
      <c r="P445" s="8">
        <f t="shared" si="52"/>
        <v>1.3269003868286857</v>
      </c>
      <c r="Q445" s="8">
        <f t="shared" si="53"/>
        <v>1.3289971728925771</v>
      </c>
      <c r="R445" s="8">
        <f t="shared" si="54"/>
        <v>1.0015802136201819</v>
      </c>
      <c r="S445" s="22">
        <f t="shared" si="55"/>
        <v>2.2779669897968913E-3</v>
      </c>
      <c r="T445" s="25"/>
      <c r="U445" s="1" t="s">
        <v>1264</v>
      </c>
    </row>
    <row r="446" spans="1:21">
      <c r="A446" s="6" t="s">
        <v>1265</v>
      </c>
      <c r="B446" s="6" t="s">
        <v>1266</v>
      </c>
      <c r="C446" s="7">
        <v>1.0557549984541799</v>
      </c>
      <c r="D446" s="7">
        <v>0.98839073968510316</v>
      </c>
      <c r="E446" s="7">
        <v>1.0634232273422195</v>
      </c>
      <c r="F446" s="8">
        <v>1.1301351077834847</v>
      </c>
      <c r="G446" s="8">
        <f t="shared" si="48"/>
        <v>1.0220728690696415</v>
      </c>
      <c r="H446" s="8">
        <f t="shared" si="49"/>
        <v>1.0967791675628522</v>
      </c>
      <c r="I446" s="8">
        <f t="shared" si="50"/>
        <v>1.0730929278664969</v>
      </c>
      <c r="J446" s="22">
        <f t="shared" si="51"/>
        <v>0.10177501623146103</v>
      </c>
      <c r="K446" s="8"/>
      <c r="L446" s="8">
        <v>1.3695336089351071</v>
      </c>
      <c r="M446" s="8">
        <v>0.9890228821312671</v>
      </c>
      <c r="N446" s="8">
        <v>0.90264891986167406</v>
      </c>
      <c r="O446" s="8">
        <v>1.0002773811548795</v>
      </c>
      <c r="P446" s="8">
        <f t="shared" si="52"/>
        <v>1.1792782455331872</v>
      </c>
      <c r="Q446" s="8">
        <f t="shared" si="53"/>
        <v>0.95146315050827679</v>
      </c>
      <c r="R446" s="8">
        <f t="shared" si="54"/>
        <v>0.80681819927755194</v>
      </c>
      <c r="S446" s="22">
        <f t="shared" si="55"/>
        <v>-0.30968446791300841</v>
      </c>
      <c r="T446" s="25"/>
      <c r="U446" s="1" t="s">
        <v>1267</v>
      </c>
    </row>
    <row r="447" spans="1:21">
      <c r="A447" s="6" t="s">
        <v>1268</v>
      </c>
      <c r="B447" s="6" t="s">
        <v>1269</v>
      </c>
      <c r="C447" s="7">
        <v>0.98832643364144102</v>
      </c>
      <c r="D447" s="7">
        <v>1.0875881768122042</v>
      </c>
      <c r="E447" s="7">
        <v>1.0751733646195656</v>
      </c>
      <c r="F447" s="8">
        <v>1.0707677026093652</v>
      </c>
      <c r="G447" s="8">
        <f t="shared" si="48"/>
        <v>1.0379573052268225</v>
      </c>
      <c r="H447" s="8">
        <f t="shared" si="49"/>
        <v>1.0729705336144653</v>
      </c>
      <c r="I447" s="8">
        <f t="shared" si="50"/>
        <v>1.0337328213899815</v>
      </c>
      <c r="J447" s="22">
        <f t="shared" si="51"/>
        <v>4.7863354836541784E-2</v>
      </c>
      <c r="K447" s="8"/>
      <c r="L447" s="8">
        <v>0.84417360323273494</v>
      </c>
      <c r="M447" s="8">
        <v>0.92783052825043755</v>
      </c>
      <c r="N447" s="8">
        <v>1.4523400548469858</v>
      </c>
      <c r="O447" s="8">
        <v>0.92827403281849608</v>
      </c>
      <c r="P447" s="8">
        <f t="shared" si="52"/>
        <v>0.88600206574158624</v>
      </c>
      <c r="Q447" s="8">
        <f t="shared" si="53"/>
        <v>1.190307043832741</v>
      </c>
      <c r="R447" s="8">
        <f t="shared" si="54"/>
        <v>1.3434585424317838</v>
      </c>
      <c r="S447" s="22">
        <f t="shared" si="55"/>
        <v>0.42595180214683148</v>
      </c>
      <c r="T447" s="25"/>
      <c r="U447" s="1" t="s">
        <v>1270</v>
      </c>
    </row>
    <row r="448" spans="1:21">
      <c r="A448" s="6" t="s">
        <v>1271</v>
      </c>
      <c r="B448" s="6" t="s">
        <v>1272</v>
      </c>
      <c r="C448" s="7">
        <v>1.0128915803677805</v>
      </c>
      <c r="D448" s="7">
        <v>1.0484700088691936</v>
      </c>
      <c r="E448" s="7">
        <v>1.0324757743690876</v>
      </c>
      <c r="F448" s="8">
        <v>0.99461685827119661</v>
      </c>
      <c r="G448" s="8">
        <f t="shared" si="48"/>
        <v>1.0306807946184871</v>
      </c>
      <c r="H448" s="8">
        <f t="shared" si="49"/>
        <v>1.0135463163201421</v>
      </c>
      <c r="I448" s="8">
        <f t="shared" si="50"/>
        <v>0.98337557235197404</v>
      </c>
      <c r="J448" s="22">
        <f t="shared" si="51"/>
        <v>-2.4185576707048739E-2</v>
      </c>
      <c r="K448" s="8"/>
      <c r="L448" s="8">
        <v>0.98218028033958471</v>
      </c>
      <c r="M448" s="8">
        <v>1.0685066407094257</v>
      </c>
      <c r="N448" s="8">
        <v>0.97055967741329729</v>
      </c>
      <c r="O448" s="8">
        <v>1.0237213822756972</v>
      </c>
      <c r="P448" s="8">
        <f t="shared" si="52"/>
        <v>1.0253434605245051</v>
      </c>
      <c r="Q448" s="8">
        <f t="shared" si="53"/>
        <v>0.9971405298444973</v>
      </c>
      <c r="R448" s="8">
        <f t="shared" si="54"/>
        <v>0.97249416242867459</v>
      </c>
      <c r="S448" s="22">
        <f t="shared" si="55"/>
        <v>-4.0238504799307823E-2</v>
      </c>
      <c r="T448" s="25"/>
      <c r="U448" s="1" t="s">
        <v>1273</v>
      </c>
    </row>
    <row r="449" spans="1:21">
      <c r="A449" s="6" t="s">
        <v>1274</v>
      </c>
      <c r="B449" s="6" t="s">
        <v>1275</v>
      </c>
      <c r="C449" s="7">
        <v>1.0420783906908957</v>
      </c>
      <c r="D449" s="7">
        <v>1.1170556877650957</v>
      </c>
      <c r="E449" s="7">
        <v>1.057395179076944</v>
      </c>
      <c r="F449" s="8">
        <v>1.1171235222903262</v>
      </c>
      <c r="G449" s="8">
        <f t="shared" si="48"/>
        <v>1.0795670392279957</v>
      </c>
      <c r="H449" s="8">
        <f t="shared" si="49"/>
        <v>1.087259350683635</v>
      </c>
      <c r="I449" s="8">
        <f t="shared" si="50"/>
        <v>1.0071253670926634</v>
      </c>
      <c r="J449" s="22">
        <f t="shared" si="51"/>
        <v>1.0243281383692437E-2</v>
      </c>
      <c r="K449" s="8"/>
      <c r="L449" s="8">
        <v>0.92053902869981463</v>
      </c>
      <c r="M449" s="8">
        <v>0.90622405020711083</v>
      </c>
      <c r="N449" s="8">
        <v>1.0455541929356393</v>
      </c>
      <c r="O449" s="8">
        <v>1.0697059548016936</v>
      </c>
      <c r="P449" s="8">
        <f t="shared" si="52"/>
        <v>0.91338153945346279</v>
      </c>
      <c r="Q449" s="8">
        <f t="shared" si="53"/>
        <v>1.0576300738686664</v>
      </c>
      <c r="R449" s="8">
        <f t="shared" si="54"/>
        <v>1.1579280160419239</v>
      </c>
      <c r="S449" s="22">
        <f t="shared" si="55"/>
        <v>0.21154556927941223</v>
      </c>
      <c r="T449" s="25"/>
      <c r="U449" s="1" t="s">
        <v>1276</v>
      </c>
    </row>
    <row r="450" spans="1:21">
      <c r="A450" s="6" t="s">
        <v>1277</v>
      </c>
      <c r="B450" s="6" t="s">
        <v>1278</v>
      </c>
      <c r="C450" s="7">
        <v>1.0482699128463586</v>
      </c>
      <c r="D450" s="7">
        <v>1.0681485472268957</v>
      </c>
      <c r="E450" s="7">
        <v>1.0736500781248848</v>
      </c>
      <c r="F450" s="8">
        <v>0.99969183499852321</v>
      </c>
      <c r="G450" s="8">
        <f t="shared" si="48"/>
        <v>1.0582092300366273</v>
      </c>
      <c r="H450" s="8">
        <f t="shared" si="49"/>
        <v>1.036670956561704</v>
      </c>
      <c r="I450" s="8">
        <f t="shared" si="50"/>
        <v>0.97964648874383975</v>
      </c>
      <c r="J450" s="22">
        <f t="shared" si="51"/>
        <v>-2.9666856827854873E-2</v>
      </c>
      <c r="K450" s="8"/>
      <c r="L450" s="8">
        <v>0.94201332755626888</v>
      </c>
      <c r="M450" s="8">
        <v>0.90049092336167935</v>
      </c>
      <c r="N450" s="8">
        <v>0.9566466677462564</v>
      </c>
      <c r="O450" s="8">
        <v>1.0620719737045488</v>
      </c>
      <c r="P450" s="8">
        <f t="shared" si="52"/>
        <v>0.92125212545897406</v>
      </c>
      <c r="Q450" s="8">
        <f t="shared" si="53"/>
        <v>1.0093593207254026</v>
      </c>
      <c r="R450" s="8">
        <f t="shared" si="54"/>
        <v>1.0956385259057426</v>
      </c>
      <c r="S450" s="22">
        <f t="shared" si="55"/>
        <v>0.13177190149177245</v>
      </c>
      <c r="T450" s="25"/>
      <c r="U450" s="1" t="s">
        <v>1279</v>
      </c>
    </row>
    <row r="451" spans="1:21">
      <c r="A451" s="6" t="s">
        <v>1280</v>
      </c>
      <c r="B451" s="6" t="s">
        <v>1281</v>
      </c>
      <c r="C451" s="7">
        <v>1.1112714765235991</v>
      </c>
      <c r="D451" s="7">
        <v>1.0874498612071342</v>
      </c>
      <c r="E451" s="7">
        <v>1.1774614017602523</v>
      </c>
      <c r="F451" s="8">
        <v>0.98717792464249599</v>
      </c>
      <c r="G451" s="8">
        <f t="shared" si="48"/>
        <v>1.0993606688653665</v>
      </c>
      <c r="H451" s="8">
        <f t="shared" si="49"/>
        <v>1.0823196632013741</v>
      </c>
      <c r="I451" s="8">
        <f t="shared" si="50"/>
        <v>0.98449916742830157</v>
      </c>
      <c r="J451" s="22">
        <f t="shared" si="51"/>
        <v>-2.2538108819008126E-2</v>
      </c>
      <c r="K451" s="8"/>
      <c r="L451" s="8">
        <v>0.87035815416996576</v>
      </c>
      <c r="M451" s="8">
        <v>0.69370834829720607</v>
      </c>
      <c r="N451" s="8">
        <v>0.86566067464929719</v>
      </c>
      <c r="O451" s="8">
        <v>0.84294509617644542</v>
      </c>
      <c r="P451" s="8">
        <f t="shared" si="52"/>
        <v>0.78203325123358591</v>
      </c>
      <c r="Q451" s="8">
        <f t="shared" si="53"/>
        <v>0.85430288541287136</v>
      </c>
      <c r="R451" s="8">
        <f t="shared" si="54"/>
        <v>1.0924124825450665</v>
      </c>
      <c r="S451" s="22">
        <f t="shared" si="55"/>
        <v>0.12751770438882931</v>
      </c>
      <c r="T451" s="25"/>
      <c r="U451" s="1" t="s">
        <v>1282</v>
      </c>
    </row>
    <row r="452" spans="1:21">
      <c r="A452" s="6" t="s">
        <v>1283</v>
      </c>
      <c r="B452" s="6" t="s">
        <v>1284</v>
      </c>
      <c r="C452" s="7">
        <v>1.0904739903381093</v>
      </c>
      <c r="D452" s="7">
        <v>1.126517732566483</v>
      </c>
      <c r="E452" s="7">
        <v>0.98893191384378654</v>
      </c>
      <c r="F452" s="8">
        <v>1.0197625494104663</v>
      </c>
      <c r="G452" s="8">
        <f t="shared" si="48"/>
        <v>1.1084958614522962</v>
      </c>
      <c r="H452" s="8">
        <f t="shared" si="49"/>
        <v>1.0043472316271265</v>
      </c>
      <c r="I452" s="8">
        <f t="shared" si="50"/>
        <v>0.90604508916368953</v>
      </c>
      <c r="J452" s="22">
        <f t="shared" si="51"/>
        <v>-0.14234524738160526</v>
      </c>
      <c r="K452" s="8"/>
      <c r="L452" s="8">
        <v>0.90692751284434203</v>
      </c>
      <c r="M452" s="8">
        <v>0.97985767935115564</v>
      </c>
      <c r="N452" s="8">
        <v>1.1874414409120162</v>
      </c>
      <c r="O452" s="8">
        <v>1.0498305010576481</v>
      </c>
      <c r="P452" s="8">
        <f t="shared" si="52"/>
        <v>0.94339259609774884</v>
      </c>
      <c r="Q452" s="8">
        <f t="shared" si="53"/>
        <v>1.1186359709848321</v>
      </c>
      <c r="R452" s="8">
        <f t="shared" si="54"/>
        <v>1.1857586922050909</v>
      </c>
      <c r="S452" s="22">
        <f t="shared" si="55"/>
        <v>0.24581044413341374</v>
      </c>
      <c r="T452" s="25"/>
      <c r="U452" s="1" t="s">
        <v>1285</v>
      </c>
    </row>
    <row r="453" spans="1:21">
      <c r="A453" s="6" t="s">
        <v>1286</v>
      </c>
      <c r="B453" s="6" t="s">
        <v>1287</v>
      </c>
      <c r="C453" s="7">
        <v>1.1296262627917717</v>
      </c>
      <c r="D453" s="7">
        <v>1.015852674364478</v>
      </c>
      <c r="E453" s="7">
        <v>1.0754272457020124</v>
      </c>
      <c r="F453" s="8">
        <v>1.0763927413303633</v>
      </c>
      <c r="G453" s="8">
        <f t="shared" si="48"/>
        <v>1.0727394685781249</v>
      </c>
      <c r="H453" s="8">
        <f t="shared" si="49"/>
        <v>1.0759099935161878</v>
      </c>
      <c r="I453" s="8">
        <f t="shared" si="50"/>
        <v>1.0029555404932247</v>
      </c>
      <c r="J453" s="22">
        <f t="shared" si="51"/>
        <v>4.2576548717562831E-3</v>
      </c>
      <c r="K453" s="8"/>
      <c r="L453" s="8">
        <v>0.85533727155016626</v>
      </c>
      <c r="M453" s="8">
        <v>1.2266941406078609</v>
      </c>
      <c r="N453" s="8">
        <v>1.451279612036998</v>
      </c>
      <c r="O453" s="8">
        <v>1.0720097005765716</v>
      </c>
      <c r="P453" s="8">
        <f t="shared" si="52"/>
        <v>1.0410157060790135</v>
      </c>
      <c r="Q453" s="8">
        <f t="shared" si="53"/>
        <v>1.2616446563067849</v>
      </c>
      <c r="R453" s="8">
        <f t="shared" si="54"/>
        <v>1.2119362358698416</v>
      </c>
      <c r="S453" s="22">
        <f t="shared" si="55"/>
        <v>0.27731379566372155</v>
      </c>
      <c r="T453" s="25"/>
      <c r="U453" s="1" t="s">
        <v>1288</v>
      </c>
    </row>
    <row r="454" spans="1:21">
      <c r="A454" s="6" t="s">
        <v>1289</v>
      </c>
      <c r="B454" s="6" t="s">
        <v>1290</v>
      </c>
      <c r="C454" s="7">
        <v>0.98107996653454022</v>
      </c>
      <c r="D454" s="7">
        <v>1.0678090452871782</v>
      </c>
      <c r="E454" s="7">
        <v>1.0483010285082721</v>
      </c>
      <c r="F454" s="8">
        <v>1.0677882001436445</v>
      </c>
      <c r="G454" s="8">
        <f t="shared" ref="G454:G517" si="56">AVERAGE(C454:D454)</f>
        <v>1.0244445059108593</v>
      </c>
      <c r="H454" s="8">
        <f t="shared" ref="H454:H517" si="57">AVERAGE(E454:F454)</f>
        <v>1.0580446143259583</v>
      </c>
      <c r="I454" s="8">
        <f t="shared" ref="I454:I517" si="58">H454/G454</f>
        <v>1.0327983685023761</v>
      </c>
      <c r="J454" s="22">
        <f t="shared" ref="J454:J517" si="59">LOG(I454,2)</f>
        <v>4.6558626753683975E-2</v>
      </c>
      <c r="K454" s="8"/>
      <c r="L454" s="8">
        <v>0.80860563673301211</v>
      </c>
      <c r="M454" s="8">
        <v>1.2907335574799592</v>
      </c>
      <c r="N454" s="8">
        <v>0.76882103724120499</v>
      </c>
      <c r="O454" s="8">
        <v>0.85992957483044807</v>
      </c>
      <c r="P454" s="8">
        <f t="shared" ref="P454:P517" si="60">AVERAGE(L454:M454)</f>
        <v>1.0496695971064858</v>
      </c>
      <c r="Q454" s="8">
        <f t="shared" ref="Q454:Q517" si="61">AVERAGE(N454:O454)</f>
        <v>0.81437530603582653</v>
      </c>
      <c r="R454" s="8">
        <f t="shared" ref="R454:R517" si="62">Q454/P454</f>
        <v>0.77583966257642367</v>
      </c>
      <c r="S454" s="22">
        <f t="shared" ref="S454:S517" si="63">LOG(R454,2)</f>
        <v>-0.36616956348870067</v>
      </c>
      <c r="T454" s="25"/>
      <c r="U454" s="1" t="s">
        <v>1291</v>
      </c>
    </row>
    <row r="455" spans="1:21">
      <c r="A455" s="6" t="s">
        <v>1292</v>
      </c>
      <c r="B455" s="6" t="s">
        <v>1293</v>
      </c>
      <c r="C455" s="7">
        <v>1.0666623757199396</v>
      </c>
      <c r="D455" s="7">
        <v>0.95879748727305703</v>
      </c>
      <c r="E455" s="7">
        <v>1.1650016994063241</v>
      </c>
      <c r="F455" s="8">
        <v>1.0285307995238731</v>
      </c>
      <c r="G455" s="8">
        <f t="shared" si="56"/>
        <v>1.0127299314964984</v>
      </c>
      <c r="H455" s="8">
        <f t="shared" si="57"/>
        <v>1.0967662494650985</v>
      </c>
      <c r="I455" s="8">
        <f t="shared" si="58"/>
        <v>1.0829799884006792</v>
      </c>
      <c r="J455" s="22">
        <f t="shared" si="59"/>
        <v>0.11500658468046132</v>
      </c>
      <c r="K455" s="8"/>
      <c r="L455" s="8">
        <v>0.84784537453979703</v>
      </c>
      <c r="M455" s="8">
        <v>0.82853433132208043</v>
      </c>
      <c r="N455" s="8">
        <v>1.0827121089976142</v>
      </c>
      <c r="O455" s="8">
        <v>1.173103485756513</v>
      </c>
      <c r="P455" s="8">
        <f t="shared" si="60"/>
        <v>0.83818985293093873</v>
      </c>
      <c r="Q455" s="8">
        <f t="shared" si="61"/>
        <v>1.1279077973770635</v>
      </c>
      <c r="R455" s="8">
        <f t="shared" si="62"/>
        <v>1.3456471626721012</v>
      </c>
      <c r="S455" s="22">
        <f t="shared" si="63"/>
        <v>0.42830017562898109</v>
      </c>
      <c r="T455" s="25"/>
      <c r="U455" s="1" t="s">
        <v>1294</v>
      </c>
    </row>
    <row r="456" spans="1:21">
      <c r="A456" s="6" t="s">
        <v>1295</v>
      </c>
      <c r="B456" s="6" t="s">
        <v>1296</v>
      </c>
      <c r="C456" s="7">
        <v>0.71233901958997059</v>
      </c>
      <c r="D456" s="7">
        <v>0.97566570401865282</v>
      </c>
      <c r="E456" s="7">
        <v>0.40326080549571169</v>
      </c>
      <c r="F456" s="8">
        <v>0.48725015267989041</v>
      </c>
      <c r="G456" s="8">
        <f t="shared" si="56"/>
        <v>0.84400236180431176</v>
      </c>
      <c r="H456" s="8">
        <f t="shared" si="57"/>
        <v>0.44525547908780105</v>
      </c>
      <c r="I456" s="8">
        <f t="shared" si="58"/>
        <v>0.5275524089007666</v>
      </c>
      <c r="J456" s="22">
        <f t="shared" si="59"/>
        <v>-0.92261367157858021</v>
      </c>
      <c r="K456" s="8"/>
      <c r="L456" s="8">
        <v>0.95899990592631379</v>
      </c>
      <c r="M456" s="8">
        <v>1.1239268668819298</v>
      </c>
      <c r="N456" s="8">
        <v>1.1107502168936936</v>
      </c>
      <c r="O456" s="8">
        <v>1.1971347161924955</v>
      </c>
      <c r="P456" s="8">
        <f t="shared" si="60"/>
        <v>1.0414633864041218</v>
      </c>
      <c r="Q456" s="8">
        <f t="shared" si="61"/>
        <v>1.1539424665430946</v>
      </c>
      <c r="R456" s="8">
        <f t="shared" si="62"/>
        <v>1.1080009932248613</v>
      </c>
      <c r="S456" s="22">
        <f t="shared" si="63"/>
        <v>0.14795917463614433</v>
      </c>
      <c r="T456" s="25"/>
      <c r="U456" s="1" t="s">
        <v>1297</v>
      </c>
    </row>
    <row r="457" spans="1:21">
      <c r="A457" s="6" t="s">
        <v>1298</v>
      </c>
      <c r="B457" s="6" t="s">
        <v>1299</v>
      </c>
      <c r="C457" s="7">
        <v>1.003811518464333</v>
      </c>
      <c r="D457" s="7">
        <v>0.99222585418931986</v>
      </c>
      <c r="E457" s="7">
        <v>1.1342300102595013</v>
      </c>
      <c r="F457" s="8">
        <v>1.1080016608952734</v>
      </c>
      <c r="G457" s="8">
        <f t="shared" si="56"/>
        <v>0.99801868632682644</v>
      </c>
      <c r="H457" s="8">
        <f t="shared" si="57"/>
        <v>1.1211158355773874</v>
      </c>
      <c r="I457" s="8">
        <f t="shared" si="58"/>
        <v>1.1233415275054777</v>
      </c>
      <c r="J457" s="22">
        <f t="shared" si="59"/>
        <v>0.16779661440858912</v>
      </c>
      <c r="K457" s="8"/>
      <c r="L457" s="8">
        <v>1.0949667100847957</v>
      </c>
      <c r="M457" s="8">
        <v>1.308907959588606</v>
      </c>
      <c r="N457" s="8">
        <v>1.4225204030301271</v>
      </c>
      <c r="O457" s="8">
        <v>1.0621623166761127</v>
      </c>
      <c r="P457" s="8">
        <f t="shared" si="60"/>
        <v>1.2019373348367008</v>
      </c>
      <c r="Q457" s="8">
        <f t="shared" si="61"/>
        <v>1.2423413598531199</v>
      </c>
      <c r="R457" s="8">
        <f t="shared" si="62"/>
        <v>1.0336157500439975</v>
      </c>
      <c r="S457" s="22">
        <f t="shared" si="63"/>
        <v>4.769995882989294E-2</v>
      </c>
      <c r="T457" s="25"/>
      <c r="U457" s="1" t="s">
        <v>1300</v>
      </c>
    </row>
    <row r="458" spans="1:21">
      <c r="A458" s="6" t="s">
        <v>1301</v>
      </c>
      <c r="B458" s="6" t="s">
        <v>1302</v>
      </c>
      <c r="C458" s="7">
        <v>0.98915531896042785</v>
      </c>
      <c r="D458" s="7">
        <v>1.0658286173054925</v>
      </c>
      <c r="E458" s="7">
        <v>1.0846450819262352</v>
      </c>
      <c r="F458" s="8">
        <v>1.0242809157870538</v>
      </c>
      <c r="G458" s="8">
        <f t="shared" si="56"/>
        <v>1.0274919681329602</v>
      </c>
      <c r="H458" s="8">
        <f t="shared" si="57"/>
        <v>1.0544629988566445</v>
      </c>
      <c r="I458" s="8">
        <f t="shared" si="58"/>
        <v>1.0262493835087518</v>
      </c>
      <c r="J458" s="22">
        <f t="shared" si="59"/>
        <v>3.7381355343753794E-2</v>
      </c>
      <c r="K458" s="8"/>
      <c r="L458" s="8">
        <v>0.87673739320849797</v>
      </c>
      <c r="M458" s="8">
        <v>1.2215460267058409</v>
      </c>
      <c r="N458" s="8">
        <v>1.1252146568219281</v>
      </c>
      <c r="O458" s="8">
        <v>1.1105409779485511</v>
      </c>
      <c r="P458" s="8">
        <f t="shared" si="60"/>
        <v>1.0491417099571694</v>
      </c>
      <c r="Q458" s="8">
        <f t="shared" si="61"/>
        <v>1.1178778173852395</v>
      </c>
      <c r="R458" s="8">
        <f t="shared" si="62"/>
        <v>1.0655165139043765</v>
      </c>
      <c r="S458" s="22">
        <f t="shared" si="63"/>
        <v>9.1552952898492107E-2</v>
      </c>
      <c r="T458" s="25"/>
      <c r="U458" s="1" t="s">
        <v>1303</v>
      </c>
    </row>
    <row r="459" spans="1:21">
      <c r="A459" s="6" t="s">
        <v>1304</v>
      </c>
      <c r="B459" s="6" t="s">
        <v>80</v>
      </c>
      <c r="C459" s="7">
        <v>0.99468750052124211</v>
      </c>
      <c r="D459" s="7">
        <v>1.0334187562083823</v>
      </c>
      <c r="E459" s="7">
        <v>1.0409580064313488</v>
      </c>
      <c r="F459" s="8">
        <v>0.97140948082391232</v>
      </c>
      <c r="G459" s="8">
        <f t="shared" si="56"/>
        <v>1.0140531283648122</v>
      </c>
      <c r="H459" s="8">
        <f t="shared" si="57"/>
        <v>1.0061837436276306</v>
      </c>
      <c r="I459" s="8">
        <f t="shared" si="58"/>
        <v>0.99223967214629949</v>
      </c>
      <c r="J459" s="22">
        <f t="shared" si="59"/>
        <v>-1.1239454060198642E-2</v>
      </c>
      <c r="K459" s="8"/>
      <c r="L459" s="8">
        <v>1.2303771852573591</v>
      </c>
      <c r="M459" s="8">
        <v>0.9363717172242435</v>
      </c>
      <c r="N459" s="8">
        <v>1.259848475977988</v>
      </c>
      <c r="O459" s="8">
        <v>1.3584420919197386</v>
      </c>
      <c r="P459" s="8">
        <f t="shared" si="60"/>
        <v>1.0833744512408012</v>
      </c>
      <c r="Q459" s="8">
        <f t="shared" si="61"/>
        <v>1.3091452839488633</v>
      </c>
      <c r="R459" s="8">
        <f t="shared" si="62"/>
        <v>1.2083959359106948</v>
      </c>
      <c r="S459" s="22">
        <f t="shared" si="63"/>
        <v>0.27309323710025091</v>
      </c>
      <c r="T459" s="25"/>
      <c r="U459" s="1">
        <v>0</v>
      </c>
    </row>
    <row r="460" spans="1:21">
      <c r="A460" s="6" t="s">
        <v>1305</v>
      </c>
      <c r="B460" s="6" t="s">
        <v>80</v>
      </c>
      <c r="C460" s="7">
        <v>1.0569355320903129</v>
      </c>
      <c r="D460" s="7">
        <v>1.0954973145930316</v>
      </c>
      <c r="E460" s="7">
        <v>1.0864352690460526</v>
      </c>
      <c r="F460" s="8">
        <v>1.153342485230769</v>
      </c>
      <c r="G460" s="8">
        <f t="shared" si="56"/>
        <v>1.0762164233416722</v>
      </c>
      <c r="H460" s="8">
        <f t="shared" si="57"/>
        <v>1.1198888771384108</v>
      </c>
      <c r="I460" s="8">
        <f t="shared" si="58"/>
        <v>1.0405796202785447</v>
      </c>
      <c r="J460" s="22">
        <f t="shared" si="59"/>
        <v>5.7387357563710134E-2</v>
      </c>
      <c r="K460" s="8"/>
      <c r="L460" s="8">
        <v>1.419083977280915</v>
      </c>
      <c r="M460" s="8">
        <v>1.2153838903685743</v>
      </c>
      <c r="N460" s="8">
        <v>1.6410988750248265</v>
      </c>
      <c r="O460" s="8">
        <v>1.761055544694009</v>
      </c>
      <c r="P460" s="8">
        <f t="shared" si="60"/>
        <v>1.3172339338247445</v>
      </c>
      <c r="Q460" s="8">
        <f t="shared" si="61"/>
        <v>1.7010772098594178</v>
      </c>
      <c r="R460" s="8">
        <f t="shared" si="62"/>
        <v>1.2914009927759293</v>
      </c>
      <c r="S460" s="22">
        <f t="shared" si="63"/>
        <v>0.36893704128289267</v>
      </c>
      <c r="T460" s="25"/>
      <c r="U460" s="1">
        <v>0</v>
      </c>
    </row>
    <row r="461" spans="1:21">
      <c r="A461" s="6" t="s">
        <v>1306</v>
      </c>
      <c r="B461" s="6" t="s">
        <v>1307</v>
      </c>
      <c r="C461" s="7">
        <v>1.0568350611425568</v>
      </c>
      <c r="D461" s="7">
        <v>1.0247174472348808</v>
      </c>
      <c r="E461" s="7">
        <v>1.1664794175015916</v>
      </c>
      <c r="F461" s="8">
        <v>1.1004317601252225</v>
      </c>
      <c r="G461" s="8">
        <f t="shared" si="56"/>
        <v>1.0407762541887187</v>
      </c>
      <c r="H461" s="8">
        <f t="shared" si="57"/>
        <v>1.133455588813407</v>
      </c>
      <c r="I461" s="8">
        <f t="shared" si="58"/>
        <v>1.0890482793508116</v>
      </c>
      <c r="J461" s="22">
        <f t="shared" si="59"/>
        <v>0.12306791258197004</v>
      </c>
      <c r="K461" s="8"/>
      <c r="L461" s="8">
        <v>1.2486247759954858</v>
      </c>
      <c r="M461" s="8">
        <v>1.0906591308332696</v>
      </c>
      <c r="N461" s="8">
        <v>1.0624364424706463</v>
      </c>
      <c r="O461" s="8">
        <v>1.0251216983349367</v>
      </c>
      <c r="P461" s="8">
        <f t="shared" si="60"/>
        <v>1.1696419534143776</v>
      </c>
      <c r="Q461" s="8">
        <f t="shared" si="61"/>
        <v>1.0437790704027914</v>
      </c>
      <c r="R461" s="8">
        <f t="shared" si="62"/>
        <v>0.89239195580820974</v>
      </c>
      <c r="S461" s="22">
        <f t="shared" si="63"/>
        <v>-0.1642505859757592</v>
      </c>
      <c r="T461" s="25"/>
      <c r="U461" s="1" t="s">
        <v>1308</v>
      </c>
    </row>
    <row r="462" spans="1:21">
      <c r="A462" s="6" t="s">
        <v>1309</v>
      </c>
      <c r="B462" s="6" t="s">
        <v>1310</v>
      </c>
      <c r="C462" s="7">
        <v>1.0980155908540432</v>
      </c>
      <c r="D462" s="7">
        <v>0.98200307356004712</v>
      </c>
      <c r="E462" s="7">
        <v>1.158179459036984</v>
      </c>
      <c r="F462" s="8">
        <v>1.0315888822744042</v>
      </c>
      <c r="G462" s="8">
        <f t="shared" si="56"/>
        <v>1.0400093322070452</v>
      </c>
      <c r="H462" s="8">
        <f t="shared" si="57"/>
        <v>1.094884170655694</v>
      </c>
      <c r="I462" s="8">
        <f t="shared" si="58"/>
        <v>1.0527637942749963</v>
      </c>
      <c r="J462" s="22">
        <f t="shared" si="59"/>
        <v>7.4181779142009754E-2</v>
      </c>
      <c r="K462" s="8"/>
      <c r="L462" s="8">
        <v>1.163172643758404</v>
      </c>
      <c r="M462" s="8">
        <v>0.81461102326888979</v>
      </c>
      <c r="N462" s="8">
        <v>0.79312638644612699</v>
      </c>
      <c r="O462" s="8">
        <v>0.89715087911475178</v>
      </c>
      <c r="P462" s="8">
        <f t="shared" si="60"/>
        <v>0.98889183351364696</v>
      </c>
      <c r="Q462" s="8">
        <f t="shared" si="61"/>
        <v>0.84513863278043933</v>
      </c>
      <c r="R462" s="8">
        <f t="shared" si="62"/>
        <v>0.85463202762789947</v>
      </c>
      <c r="S462" s="22">
        <f t="shared" si="63"/>
        <v>-0.2266247113645507</v>
      </c>
      <c r="T462" s="25"/>
      <c r="U462" s="1" t="s">
        <v>1311</v>
      </c>
    </row>
    <row r="463" spans="1:21">
      <c r="A463" s="6" t="s">
        <v>1312</v>
      </c>
      <c r="B463" s="6" t="s">
        <v>1313</v>
      </c>
      <c r="C463" s="7">
        <v>1.1497706878168477</v>
      </c>
      <c r="D463" s="7">
        <v>1.2030502716809588</v>
      </c>
      <c r="E463" s="7">
        <v>1.1403036269241904</v>
      </c>
      <c r="F463" s="8">
        <v>1.0775845423166515</v>
      </c>
      <c r="G463" s="8">
        <f t="shared" si="56"/>
        <v>1.1764104797489032</v>
      </c>
      <c r="H463" s="8">
        <f t="shared" si="57"/>
        <v>1.108944084620421</v>
      </c>
      <c r="I463" s="8">
        <f t="shared" si="58"/>
        <v>0.94265063403474403</v>
      </c>
      <c r="J463" s="22">
        <f t="shared" si="59"/>
        <v>-8.5204917768256325E-2</v>
      </c>
      <c r="K463" s="8"/>
      <c r="L463" s="8">
        <v>0.67734908465530685</v>
      </c>
      <c r="M463" s="8">
        <v>0.85396289392902813</v>
      </c>
      <c r="N463" s="8">
        <v>0.8838154555562896</v>
      </c>
      <c r="O463" s="8">
        <v>0.76656011371921551</v>
      </c>
      <c r="P463" s="8">
        <f t="shared" si="60"/>
        <v>0.76565598929216749</v>
      </c>
      <c r="Q463" s="8">
        <f t="shared" si="61"/>
        <v>0.82518778463775255</v>
      </c>
      <c r="R463" s="8">
        <f t="shared" si="62"/>
        <v>1.0777526672267279</v>
      </c>
      <c r="S463" s="22">
        <f t="shared" si="63"/>
        <v>0.10802613290843691</v>
      </c>
      <c r="T463" s="25"/>
      <c r="U463" s="1" t="s">
        <v>1314</v>
      </c>
    </row>
    <row r="464" spans="1:21">
      <c r="A464" s="6" t="s">
        <v>1315</v>
      </c>
      <c r="B464" s="9" t="s">
        <v>1316</v>
      </c>
      <c r="C464" s="10">
        <v>1.1858146403243093</v>
      </c>
      <c r="D464" s="10">
        <v>1.1681695909114598</v>
      </c>
      <c r="E464" s="10">
        <v>1.3044735504684517</v>
      </c>
      <c r="F464" s="8">
        <v>1.2366899739861401</v>
      </c>
      <c r="G464" s="8">
        <f t="shared" si="56"/>
        <v>1.1769921156178844</v>
      </c>
      <c r="H464" s="8">
        <f t="shared" si="57"/>
        <v>1.2705817622272959</v>
      </c>
      <c r="I464" s="8">
        <f t="shared" si="58"/>
        <v>1.0795159503343654</v>
      </c>
      <c r="J464" s="22">
        <f t="shared" si="59"/>
        <v>0.11038455998689926</v>
      </c>
      <c r="K464" s="8"/>
      <c r="L464" s="8">
        <v>0.89657979370625784</v>
      </c>
      <c r="M464" s="8">
        <v>0.52136353516821554</v>
      </c>
      <c r="N464" s="8">
        <v>0.39554516812547513</v>
      </c>
      <c r="O464" s="8">
        <v>0.44191264540454239</v>
      </c>
      <c r="P464" s="8">
        <f t="shared" si="60"/>
        <v>0.70897166443723669</v>
      </c>
      <c r="Q464" s="8">
        <f t="shared" si="61"/>
        <v>0.41872890676500873</v>
      </c>
      <c r="R464" s="8">
        <f t="shared" si="62"/>
        <v>0.59061444592060652</v>
      </c>
      <c r="S464" s="22">
        <f t="shared" si="63"/>
        <v>-0.75971145090594416</v>
      </c>
      <c r="T464" s="25"/>
      <c r="U464" s="1" t="s">
        <v>1317</v>
      </c>
    </row>
    <row r="465" spans="1:21">
      <c r="A465" s="6" t="s">
        <v>1318</v>
      </c>
      <c r="B465" s="6" t="s">
        <v>1319</v>
      </c>
      <c r="C465" s="7">
        <v>1.0428005256278918</v>
      </c>
      <c r="D465" s="7">
        <v>1.1340936554805505</v>
      </c>
      <c r="E465" s="7">
        <v>1.0281923448242156</v>
      </c>
      <c r="F465" s="8">
        <v>1.0844341238092756</v>
      </c>
      <c r="G465" s="8">
        <f t="shared" si="56"/>
        <v>1.0884470905542212</v>
      </c>
      <c r="H465" s="8">
        <f t="shared" si="57"/>
        <v>1.0563132343167456</v>
      </c>
      <c r="I465" s="8">
        <f t="shared" si="58"/>
        <v>0.9704773373769473</v>
      </c>
      <c r="J465" s="22">
        <f t="shared" si="59"/>
        <v>-4.3233571423579524E-2</v>
      </c>
      <c r="K465" s="8"/>
      <c r="L465" s="8">
        <v>1.2664643921439391</v>
      </c>
      <c r="M465" s="8">
        <v>0.96105926343620351</v>
      </c>
      <c r="N465" s="8">
        <v>0.77878919965509097</v>
      </c>
      <c r="O465" s="8">
        <v>0.84529401343710542</v>
      </c>
      <c r="P465" s="8">
        <f t="shared" si="60"/>
        <v>1.1137618277900714</v>
      </c>
      <c r="Q465" s="8">
        <f t="shared" si="61"/>
        <v>0.81204160654609825</v>
      </c>
      <c r="R465" s="8">
        <f t="shared" si="62"/>
        <v>0.72909807670222726</v>
      </c>
      <c r="S465" s="22">
        <f t="shared" si="63"/>
        <v>-0.45581519905295881</v>
      </c>
      <c r="T465" s="25"/>
      <c r="U465" s="1" t="s">
        <v>1320</v>
      </c>
    </row>
    <row r="466" spans="1:21">
      <c r="A466" s="6" t="s">
        <v>1321</v>
      </c>
      <c r="B466" s="6" t="s">
        <v>1322</v>
      </c>
      <c r="C466" s="7">
        <v>1.070160020588695</v>
      </c>
      <c r="D466" s="7">
        <v>1.0404036942644228</v>
      </c>
      <c r="E466" s="7">
        <v>1.1760683106924672</v>
      </c>
      <c r="F466" s="8">
        <v>1.0341820316731412</v>
      </c>
      <c r="G466" s="8">
        <f t="shared" si="56"/>
        <v>1.055281857426559</v>
      </c>
      <c r="H466" s="8">
        <f t="shared" si="57"/>
        <v>1.1051251711828041</v>
      </c>
      <c r="I466" s="8">
        <f t="shared" si="58"/>
        <v>1.0472322284378075</v>
      </c>
      <c r="J466" s="22">
        <f t="shared" si="59"/>
        <v>6.6581401834238552E-2</v>
      </c>
      <c r="K466" s="8"/>
      <c r="L466" s="8">
        <v>1.2011513691971072</v>
      </c>
      <c r="M466" s="8">
        <v>0.90368899411899484</v>
      </c>
      <c r="N466" s="8">
        <v>0.64313735540144279</v>
      </c>
      <c r="O466" s="8">
        <v>0.67635265661271737</v>
      </c>
      <c r="P466" s="8">
        <f t="shared" si="60"/>
        <v>1.052420181658051</v>
      </c>
      <c r="Q466" s="8">
        <f t="shared" si="61"/>
        <v>0.65974500600708008</v>
      </c>
      <c r="R466" s="8">
        <f t="shared" si="62"/>
        <v>0.62688365113606526</v>
      </c>
      <c r="S466" s="22">
        <f t="shared" si="63"/>
        <v>-0.6737303895075426</v>
      </c>
      <c r="T466" s="25"/>
      <c r="U466" s="1" t="s">
        <v>1323</v>
      </c>
    </row>
    <row r="467" spans="1:21">
      <c r="A467" s="6" t="s">
        <v>1324</v>
      </c>
      <c r="B467" s="6" t="s">
        <v>1325</v>
      </c>
      <c r="C467" s="7">
        <v>0.97221968482930876</v>
      </c>
      <c r="D467" s="7">
        <v>0.96412892514121395</v>
      </c>
      <c r="E467" s="7">
        <v>1.1603862715228679</v>
      </c>
      <c r="F467" s="8">
        <v>1.0339200973904406</v>
      </c>
      <c r="G467" s="8">
        <f t="shared" si="56"/>
        <v>0.96817430498526136</v>
      </c>
      <c r="H467" s="8">
        <f t="shared" si="57"/>
        <v>1.0971531844566542</v>
      </c>
      <c r="I467" s="8">
        <f t="shared" si="58"/>
        <v>1.1332186557805377</v>
      </c>
      <c r="J467" s="22">
        <f t="shared" si="59"/>
        <v>0.18042625760567141</v>
      </c>
      <c r="K467" s="8"/>
      <c r="L467" s="8">
        <v>0.63962997941003241</v>
      </c>
      <c r="M467" s="8">
        <v>0.95852420734808752</v>
      </c>
      <c r="N467" s="8">
        <v>0.89488647849256286</v>
      </c>
      <c r="O467" s="8">
        <v>0.91422570074031828</v>
      </c>
      <c r="P467" s="8">
        <f t="shared" si="60"/>
        <v>0.79907709337905997</v>
      </c>
      <c r="Q467" s="8">
        <f t="shared" si="61"/>
        <v>0.90455608961644063</v>
      </c>
      <c r="R467" s="8">
        <f t="shared" si="62"/>
        <v>1.1320010260728928</v>
      </c>
      <c r="S467" s="22">
        <f t="shared" si="63"/>
        <v>0.17887526586379096</v>
      </c>
      <c r="T467" s="25"/>
      <c r="U467" s="1" t="s">
        <v>1326</v>
      </c>
    </row>
    <row r="468" spans="1:21">
      <c r="A468" s="6" t="s">
        <v>1327</v>
      </c>
      <c r="B468" s="6" t="s">
        <v>1328</v>
      </c>
      <c r="C468" s="7">
        <v>1.1002133928362057</v>
      </c>
      <c r="D468" s="7">
        <v>1.0352923039497866</v>
      </c>
      <c r="E468" s="7">
        <v>1.1289505856988766</v>
      </c>
      <c r="F468" s="8">
        <v>1.1487062484269661</v>
      </c>
      <c r="G468" s="8">
        <f t="shared" si="56"/>
        <v>1.0677528483929961</v>
      </c>
      <c r="H468" s="8">
        <f t="shared" si="57"/>
        <v>1.1388284170629213</v>
      </c>
      <c r="I468" s="8">
        <f t="shared" si="58"/>
        <v>1.0665655622243446</v>
      </c>
      <c r="J468" s="22">
        <f t="shared" si="59"/>
        <v>9.2972651462584543E-2</v>
      </c>
      <c r="K468" s="8"/>
      <c r="L468" s="8">
        <v>1.2824124897402696</v>
      </c>
      <c r="M468" s="8">
        <v>1.3169031364818946</v>
      </c>
      <c r="N468" s="8">
        <v>0.91482280332033483</v>
      </c>
      <c r="O468" s="8">
        <v>0.96816045476393309</v>
      </c>
      <c r="P468" s="8">
        <f t="shared" si="60"/>
        <v>1.2996578131110821</v>
      </c>
      <c r="Q468" s="8">
        <f t="shared" si="61"/>
        <v>0.94149162904213402</v>
      </c>
      <c r="R468" s="8">
        <f t="shared" si="62"/>
        <v>0.72441501104696127</v>
      </c>
      <c r="S468" s="22">
        <f t="shared" si="63"/>
        <v>-0.46511165332232041</v>
      </c>
      <c r="T468" s="25"/>
      <c r="U468" s="1" t="s">
        <v>1329</v>
      </c>
    </row>
    <row r="469" spans="1:21">
      <c r="A469" s="6" t="s">
        <v>1330</v>
      </c>
      <c r="B469" s="6" t="s">
        <v>1331</v>
      </c>
      <c r="C469" s="7">
        <v>0.95021654727074689</v>
      </c>
      <c r="D469" s="7">
        <v>1.0068621600349208</v>
      </c>
      <c r="E469" s="7">
        <v>0.99757038041832302</v>
      </c>
      <c r="F469" s="8">
        <v>0.95459984823159316</v>
      </c>
      <c r="G469" s="8">
        <f t="shared" si="56"/>
        <v>0.97853935365283384</v>
      </c>
      <c r="H469" s="8">
        <f t="shared" si="57"/>
        <v>0.97608511432495804</v>
      </c>
      <c r="I469" s="8">
        <f t="shared" si="58"/>
        <v>0.99749193599755159</v>
      </c>
      <c r="J469" s="22">
        <f t="shared" si="59"/>
        <v>-3.6229166534994493E-3</v>
      </c>
      <c r="K469" s="8"/>
      <c r="L469" s="8">
        <v>1.3532517139472255</v>
      </c>
      <c r="M469" s="8">
        <v>0.97170649900629047</v>
      </c>
      <c r="N469" s="8">
        <v>0.86027362517455885</v>
      </c>
      <c r="O469" s="8">
        <v>1.0875486916855528</v>
      </c>
      <c r="P469" s="8">
        <f t="shared" si="60"/>
        <v>1.1624791064767579</v>
      </c>
      <c r="Q469" s="8">
        <f t="shared" si="61"/>
        <v>0.97391115843005582</v>
      </c>
      <c r="R469" s="8">
        <f t="shared" si="62"/>
        <v>0.83778809701086687</v>
      </c>
      <c r="S469" s="22">
        <f t="shared" si="63"/>
        <v>-0.25534270782470581</v>
      </c>
      <c r="T469" s="25"/>
      <c r="U469" s="1" t="s">
        <v>1332</v>
      </c>
    </row>
    <row r="470" spans="1:21">
      <c r="A470" s="6" t="s">
        <v>1333</v>
      </c>
      <c r="B470" s="13" t="s">
        <v>1334</v>
      </c>
      <c r="C470" s="14">
        <v>1.1106184153631853</v>
      </c>
      <c r="D470" s="14">
        <v>1.1005332600321751</v>
      </c>
      <c r="E470" s="14">
        <v>0.97837306472253704</v>
      </c>
      <c r="F470" s="8">
        <v>1.0274830623930702</v>
      </c>
      <c r="G470" s="8">
        <f t="shared" si="56"/>
        <v>1.1055758376976801</v>
      </c>
      <c r="H470" s="8">
        <f t="shared" si="57"/>
        <v>1.0029280635578037</v>
      </c>
      <c r="I470" s="8">
        <f t="shared" si="58"/>
        <v>0.90715447042182429</v>
      </c>
      <c r="J470" s="22">
        <f t="shared" si="59"/>
        <v>-0.14057986085168103</v>
      </c>
      <c r="K470" s="8"/>
      <c r="L470" s="8">
        <v>0.41676458765108049</v>
      </c>
      <c r="M470" s="8">
        <v>0.54511506067071736</v>
      </c>
      <c r="N470" s="8">
        <v>0.5304759112683316</v>
      </c>
      <c r="O470" s="8">
        <v>0.54973698196599008</v>
      </c>
      <c r="P470" s="8">
        <f t="shared" si="60"/>
        <v>0.48093982416089892</v>
      </c>
      <c r="Q470" s="8">
        <f t="shared" si="61"/>
        <v>0.54010644661716078</v>
      </c>
      <c r="R470" s="8">
        <f t="shared" si="62"/>
        <v>1.123022921962203</v>
      </c>
      <c r="S470" s="22">
        <f t="shared" si="63"/>
        <v>0.16738737481216193</v>
      </c>
      <c r="T470" s="25"/>
      <c r="U470" s="1" t="s">
        <v>1335</v>
      </c>
    </row>
    <row r="471" spans="1:21">
      <c r="A471" s="6" t="s">
        <v>1336</v>
      </c>
      <c r="B471" s="6" t="s">
        <v>1337</v>
      </c>
      <c r="C471" s="7">
        <v>1.0891364708461075</v>
      </c>
      <c r="D471" s="7">
        <v>1.0200272908084123</v>
      </c>
      <c r="E471" s="7">
        <v>1.1057172117693208</v>
      </c>
      <c r="F471" s="8">
        <v>1.1195333176911728</v>
      </c>
      <c r="G471" s="8">
        <f t="shared" si="56"/>
        <v>1.0545818808272598</v>
      </c>
      <c r="H471" s="8">
        <f t="shared" si="57"/>
        <v>1.1126252647302468</v>
      </c>
      <c r="I471" s="8">
        <f t="shared" si="58"/>
        <v>1.0550392387336063</v>
      </c>
      <c r="J471" s="22">
        <f t="shared" si="59"/>
        <v>7.7296656253473137E-2</v>
      </c>
      <c r="K471" s="8"/>
      <c r="L471" s="8">
        <v>0.98440559628325874</v>
      </c>
      <c r="M471" s="8">
        <v>1.192217377809484</v>
      </c>
      <c r="N471" s="8">
        <v>0.96177921094659768</v>
      </c>
      <c r="O471" s="8">
        <v>0.90997958107681765</v>
      </c>
      <c r="P471" s="8">
        <f t="shared" si="60"/>
        <v>1.0883114870463713</v>
      </c>
      <c r="Q471" s="8">
        <f t="shared" si="61"/>
        <v>0.93587939601170766</v>
      </c>
      <c r="R471" s="8">
        <f t="shared" si="62"/>
        <v>0.85993707422094989</v>
      </c>
      <c r="S471" s="22">
        <f t="shared" si="63"/>
        <v>-0.21769700022472546</v>
      </c>
      <c r="T471" s="25"/>
      <c r="U471" s="1" t="s">
        <v>1338</v>
      </c>
    </row>
    <row r="472" spans="1:21">
      <c r="A472" s="6" t="s">
        <v>1339</v>
      </c>
      <c r="B472" s="6" t="s">
        <v>1340</v>
      </c>
      <c r="C472" s="7">
        <v>1.0095948773945371</v>
      </c>
      <c r="D472" s="7">
        <v>0.94661942695392942</v>
      </c>
      <c r="E472" s="7">
        <v>0.76411045068011596</v>
      </c>
      <c r="F472" s="8">
        <v>0.77503080072611052</v>
      </c>
      <c r="G472" s="8">
        <f t="shared" si="56"/>
        <v>0.97810715217423327</v>
      </c>
      <c r="H472" s="8">
        <f t="shared" si="57"/>
        <v>0.76957062570311319</v>
      </c>
      <c r="I472" s="8">
        <f t="shared" si="58"/>
        <v>0.78679582701387629</v>
      </c>
      <c r="J472" s="22">
        <f t="shared" si="59"/>
        <v>-0.34593878897700919</v>
      </c>
      <c r="K472" s="8"/>
      <c r="L472" s="8">
        <v>0.95284319848214905</v>
      </c>
      <c r="M472" s="8">
        <v>0.93110660073354123</v>
      </c>
      <c r="N472" s="8">
        <v>0.95507721238747434</v>
      </c>
      <c r="O472" s="8">
        <v>1.0197914630126699</v>
      </c>
      <c r="P472" s="8">
        <f t="shared" si="60"/>
        <v>0.9419748996078452</v>
      </c>
      <c r="Q472" s="8">
        <f t="shared" si="61"/>
        <v>0.98743433770007205</v>
      </c>
      <c r="R472" s="8">
        <f t="shared" si="62"/>
        <v>1.0482597127706399</v>
      </c>
      <c r="S472" s="22">
        <f t="shared" si="63"/>
        <v>6.7996197702659744E-2</v>
      </c>
      <c r="T472" s="25"/>
      <c r="U472" s="1" t="s">
        <v>1341</v>
      </c>
    </row>
    <row r="473" spans="1:21">
      <c r="A473" s="6" t="s">
        <v>1342</v>
      </c>
      <c r="B473" s="6" t="s">
        <v>1343</v>
      </c>
      <c r="C473" s="7">
        <v>0.94681309391551272</v>
      </c>
      <c r="D473" s="7">
        <v>1.0601136679869139</v>
      </c>
      <c r="E473" s="7">
        <v>1.1961379357484552</v>
      </c>
      <c r="F473" s="8">
        <v>1.0490075120740023</v>
      </c>
      <c r="G473" s="8">
        <f t="shared" si="56"/>
        <v>1.0034633809512132</v>
      </c>
      <c r="H473" s="8">
        <f t="shared" si="57"/>
        <v>1.1225727239112286</v>
      </c>
      <c r="I473" s="8">
        <f t="shared" si="58"/>
        <v>1.1186982457168573</v>
      </c>
      <c r="J473" s="22">
        <f t="shared" si="59"/>
        <v>0.16182094058942165</v>
      </c>
      <c r="K473" s="8"/>
      <c r="L473" s="8">
        <v>1.1001591139533684</v>
      </c>
      <c r="M473" s="8">
        <v>1.5362439893982653</v>
      </c>
      <c r="N473" s="8">
        <v>0.91291400626235664</v>
      </c>
      <c r="O473" s="8">
        <v>0.90153251323559824</v>
      </c>
      <c r="P473" s="8">
        <f t="shared" si="60"/>
        <v>1.3182015516758168</v>
      </c>
      <c r="Q473" s="8">
        <f t="shared" si="61"/>
        <v>0.90722325974897744</v>
      </c>
      <c r="R473" s="8">
        <f t="shared" si="62"/>
        <v>0.68822803204535254</v>
      </c>
      <c r="S473" s="22">
        <f t="shared" si="63"/>
        <v>-0.53904143956167683</v>
      </c>
      <c r="T473" s="25"/>
      <c r="U473" s="1" t="s">
        <v>1344</v>
      </c>
    </row>
    <row r="474" spans="1:21">
      <c r="A474" s="6" t="s">
        <v>1345</v>
      </c>
      <c r="B474" s="13" t="s">
        <v>1346</v>
      </c>
      <c r="C474" s="14">
        <v>1.0944300339060014</v>
      </c>
      <c r="D474" s="14">
        <v>1.0253084320929076</v>
      </c>
      <c r="E474" s="14">
        <v>1.0943381314586276</v>
      </c>
      <c r="F474" s="8">
        <v>1.1020623010350343</v>
      </c>
      <c r="G474" s="8">
        <f t="shared" si="56"/>
        <v>1.0598692329994543</v>
      </c>
      <c r="H474" s="8">
        <f t="shared" si="57"/>
        <v>1.098200216246831</v>
      </c>
      <c r="I474" s="8">
        <f t="shared" si="58"/>
        <v>1.0361657665435755</v>
      </c>
      <c r="J474" s="22">
        <f t="shared" si="59"/>
        <v>5.1254824877364019E-2</v>
      </c>
      <c r="K474" s="8"/>
      <c r="L474" s="8">
        <v>1.137915307797704</v>
      </c>
      <c r="M474" s="8">
        <v>1.2754062183625812</v>
      </c>
      <c r="N474" s="8">
        <v>0.91461071475833722</v>
      </c>
      <c r="O474" s="8">
        <v>0.99088171211223985</v>
      </c>
      <c r="P474" s="8">
        <f t="shared" si="60"/>
        <v>1.2066607630801425</v>
      </c>
      <c r="Q474" s="8">
        <f t="shared" si="61"/>
        <v>0.95274621343528854</v>
      </c>
      <c r="R474" s="8">
        <f t="shared" si="62"/>
        <v>0.78957254813133448</v>
      </c>
      <c r="S474" s="22">
        <f t="shared" si="63"/>
        <v>-0.34085626386112017</v>
      </c>
      <c r="T474" s="25"/>
      <c r="U474" s="1" t="s">
        <v>1347</v>
      </c>
    </row>
    <row r="475" spans="1:21">
      <c r="A475" s="6" t="s">
        <v>1348</v>
      </c>
      <c r="B475" s="6" t="s">
        <v>1349</v>
      </c>
      <c r="C475" s="7">
        <v>1.0057769813798094</v>
      </c>
      <c r="D475" s="7">
        <v>1.0482625354615884</v>
      </c>
      <c r="E475" s="7">
        <v>1.035248936961968</v>
      </c>
      <c r="F475" s="8">
        <v>1.07072841246696</v>
      </c>
      <c r="G475" s="8">
        <f t="shared" si="56"/>
        <v>1.0270197584206988</v>
      </c>
      <c r="H475" s="8">
        <f t="shared" si="57"/>
        <v>1.0529886747144639</v>
      </c>
      <c r="I475" s="8">
        <f t="shared" si="58"/>
        <v>1.0252857027149105</v>
      </c>
      <c r="J475" s="22">
        <f t="shared" si="59"/>
        <v>3.6025982370736308E-2</v>
      </c>
      <c r="K475" s="8"/>
      <c r="L475" s="8">
        <v>0.9854811656560345</v>
      </c>
      <c r="M475" s="8">
        <v>0.8645711286362211</v>
      </c>
      <c r="N475" s="8">
        <v>1.2092441450853668</v>
      </c>
      <c r="O475" s="8">
        <v>1.0874583487139891</v>
      </c>
      <c r="P475" s="8">
        <f t="shared" si="60"/>
        <v>0.92502614714612785</v>
      </c>
      <c r="Q475" s="8">
        <f t="shared" si="61"/>
        <v>1.1483512468996779</v>
      </c>
      <c r="R475" s="8">
        <f t="shared" si="62"/>
        <v>1.2414257158487338</v>
      </c>
      <c r="S475" s="22">
        <f t="shared" si="63"/>
        <v>0.31199793643785262</v>
      </c>
      <c r="T475" s="25"/>
      <c r="U475" s="1" t="s">
        <v>1350</v>
      </c>
    </row>
    <row r="476" spans="1:21">
      <c r="A476" s="6" t="s">
        <v>1351</v>
      </c>
      <c r="B476" s="6" t="s">
        <v>1352</v>
      </c>
      <c r="C476" s="7">
        <v>1.0163955046707707</v>
      </c>
      <c r="D476" s="7">
        <v>1.0047622776670382</v>
      </c>
      <c r="E476" s="7">
        <v>1.1198889839869288</v>
      </c>
      <c r="F476" s="8">
        <v>1.0333307452543639</v>
      </c>
      <c r="G476" s="8">
        <f t="shared" si="56"/>
        <v>1.0105788911689044</v>
      </c>
      <c r="H476" s="8">
        <f t="shared" si="57"/>
        <v>1.0766098646206463</v>
      </c>
      <c r="I476" s="8">
        <f t="shared" si="58"/>
        <v>1.0653397513333829</v>
      </c>
      <c r="J476" s="22">
        <f t="shared" si="59"/>
        <v>9.1313598898569631E-2</v>
      </c>
      <c r="K476" s="8"/>
      <c r="L476" s="8">
        <v>0.87336233069392566</v>
      </c>
      <c r="M476" s="8">
        <v>0.88188751176119773</v>
      </c>
      <c r="N476" s="8">
        <v>0.83134474531808977</v>
      </c>
      <c r="O476" s="8">
        <v>0.93211360910995944</v>
      </c>
      <c r="P476" s="8">
        <f t="shared" si="60"/>
        <v>0.87762492122756175</v>
      </c>
      <c r="Q476" s="8">
        <f t="shared" si="61"/>
        <v>0.88172917721402455</v>
      </c>
      <c r="R476" s="8">
        <f t="shared" si="62"/>
        <v>1.0046765490441201</v>
      </c>
      <c r="S476" s="22">
        <f t="shared" si="63"/>
        <v>6.7311071769139705E-3</v>
      </c>
      <c r="T476" s="25"/>
      <c r="U476" s="1" t="s">
        <v>1353</v>
      </c>
    </row>
    <row r="477" spans="1:21">
      <c r="A477" s="6" t="s">
        <v>1354</v>
      </c>
      <c r="B477" s="6" t="s">
        <v>1355</v>
      </c>
      <c r="C477" s="7">
        <v>0.99464982391583356</v>
      </c>
      <c r="D477" s="7">
        <v>1.1216641122431135</v>
      </c>
      <c r="E477" s="7">
        <v>1.1056260749704936</v>
      </c>
      <c r="F477" s="8">
        <v>0.96755904686821159</v>
      </c>
      <c r="G477" s="8">
        <f t="shared" si="56"/>
        <v>1.0581569680794736</v>
      </c>
      <c r="H477" s="8">
        <f t="shared" si="57"/>
        <v>1.0365925609193525</v>
      </c>
      <c r="I477" s="8">
        <f t="shared" si="58"/>
        <v>0.97962078613037917</v>
      </c>
      <c r="J477" s="22">
        <f t="shared" si="59"/>
        <v>-2.9704708767153937E-2</v>
      </c>
      <c r="K477" s="8"/>
      <c r="L477" s="8">
        <v>0.93871244223981909</v>
      </c>
      <c r="M477" s="8">
        <v>1.100175341379428</v>
      </c>
      <c r="N477" s="8">
        <v>1.0480568379672106</v>
      </c>
      <c r="O477" s="8">
        <v>1.3889780163083181</v>
      </c>
      <c r="P477" s="8">
        <f t="shared" si="60"/>
        <v>1.0194438918096236</v>
      </c>
      <c r="Q477" s="8">
        <f t="shared" si="61"/>
        <v>1.2185174271377643</v>
      </c>
      <c r="R477" s="8">
        <f t="shared" si="62"/>
        <v>1.1952765982782667</v>
      </c>
      <c r="S477" s="22">
        <f t="shared" si="63"/>
        <v>0.25734451007982828</v>
      </c>
      <c r="T477" s="25"/>
      <c r="U477" s="1" t="s">
        <v>1356</v>
      </c>
    </row>
    <row r="478" spans="1:21">
      <c r="A478" s="6" t="s">
        <v>1357</v>
      </c>
      <c r="B478" s="6" t="s">
        <v>1358</v>
      </c>
      <c r="C478" s="7">
        <v>1.1391521645258866</v>
      </c>
      <c r="D478" s="7">
        <v>1.11216434500398</v>
      </c>
      <c r="E478" s="7">
        <v>1.1692135214664032</v>
      </c>
      <c r="F478" s="8">
        <v>1.2831964058796539</v>
      </c>
      <c r="G478" s="8">
        <f t="shared" si="56"/>
        <v>1.1256582547649332</v>
      </c>
      <c r="H478" s="8">
        <f t="shared" si="57"/>
        <v>1.2262049636730286</v>
      </c>
      <c r="I478" s="8">
        <f t="shared" si="58"/>
        <v>1.0893225883455118</v>
      </c>
      <c r="J478" s="22">
        <f t="shared" si="59"/>
        <v>0.12343125220818843</v>
      </c>
      <c r="K478" s="8"/>
      <c r="L478" s="8">
        <v>0.64960681255750419</v>
      </c>
      <c r="M478" s="8">
        <v>1.0975232827026298</v>
      </c>
      <c r="N478" s="8">
        <v>0.69492938224125034</v>
      </c>
      <c r="O478" s="8">
        <v>0.81733286373809577</v>
      </c>
      <c r="P478" s="8">
        <f t="shared" si="60"/>
        <v>0.87356504763006693</v>
      </c>
      <c r="Q478" s="8">
        <f t="shared" si="61"/>
        <v>0.756131122989673</v>
      </c>
      <c r="R478" s="8">
        <f t="shared" si="62"/>
        <v>0.8655693414486012</v>
      </c>
      <c r="S478" s="22">
        <f t="shared" si="63"/>
        <v>-0.20827869521822881</v>
      </c>
      <c r="T478" s="25"/>
      <c r="U478" s="1" t="s">
        <v>1359</v>
      </c>
    </row>
    <row r="479" spans="1:21">
      <c r="A479" s="6" t="s">
        <v>1360</v>
      </c>
      <c r="B479" s="6" t="s">
        <v>1361</v>
      </c>
      <c r="C479" s="7">
        <v>1.0679119831326547</v>
      </c>
      <c r="D479" s="7">
        <v>1.0282822176019148</v>
      </c>
      <c r="E479" s="7">
        <v>1.1636606865092973</v>
      </c>
      <c r="F479" s="8">
        <v>1.0767529009690768</v>
      </c>
      <c r="G479" s="8">
        <f t="shared" si="56"/>
        <v>1.0480971003672848</v>
      </c>
      <c r="H479" s="8">
        <f t="shared" si="57"/>
        <v>1.1202067937391871</v>
      </c>
      <c r="I479" s="8">
        <f t="shared" si="58"/>
        <v>1.0688005847422275</v>
      </c>
      <c r="J479" s="22">
        <f t="shared" si="59"/>
        <v>9.599270222520262E-2</v>
      </c>
      <c r="K479" s="8"/>
      <c r="L479" s="8">
        <v>1.108355694345901</v>
      </c>
      <c r="M479" s="8">
        <v>0.7612578428297726</v>
      </c>
      <c r="N479" s="8">
        <v>1.1792972401313093</v>
      </c>
      <c r="O479" s="8">
        <v>0.93762453037535387</v>
      </c>
      <c r="P479" s="8">
        <f t="shared" si="60"/>
        <v>0.93480676858783673</v>
      </c>
      <c r="Q479" s="8">
        <f t="shared" si="61"/>
        <v>1.0584608852533317</v>
      </c>
      <c r="R479" s="8">
        <f t="shared" si="62"/>
        <v>1.1322777292811996</v>
      </c>
      <c r="S479" s="22">
        <f t="shared" si="63"/>
        <v>0.17922787116688416</v>
      </c>
      <c r="T479" s="25"/>
      <c r="U479" s="1" t="s">
        <v>1362</v>
      </c>
    </row>
    <row r="480" spans="1:21">
      <c r="A480" s="6" t="s">
        <v>1363</v>
      </c>
      <c r="B480" s="15" t="s">
        <v>1364</v>
      </c>
      <c r="C480" s="16">
        <v>1.2135383424707278</v>
      </c>
      <c r="D480" s="16">
        <v>1.1836169291686083</v>
      </c>
      <c r="E480" s="16">
        <v>1.3039918273889373</v>
      </c>
      <c r="F480" s="8">
        <v>1.2444825188964865</v>
      </c>
      <c r="G480" s="8">
        <f t="shared" si="56"/>
        <v>1.198577635819668</v>
      </c>
      <c r="H480" s="8">
        <f t="shared" si="57"/>
        <v>1.274237173142712</v>
      </c>
      <c r="I480" s="8">
        <f t="shared" si="58"/>
        <v>1.0631244360498207</v>
      </c>
      <c r="J480" s="22">
        <f t="shared" si="59"/>
        <v>8.8310470589807552E-2</v>
      </c>
      <c r="K480" s="8"/>
      <c r="L480" s="8">
        <v>0.54594417818135665</v>
      </c>
      <c r="M480" s="8">
        <v>0.77077405337593097</v>
      </c>
      <c r="N480" s="8">
        <v>1.040336814310499</v>
      </c>
      <c r="O480" s="8">
        <v>0.99033965428285675</v>
      </c>
      <c r="P480" s="8">
        <f t="shared" si="60"/>
        <v>0.65835911577864381</v>
      </c>
      <c r="Q480" s="8">
        <f t="shared" si="61"/>
        <v>1.0153382342966779</v>
      </c>
      <c r="R480" s="8">
        <f t="shared" si="62"/>
        <v>1.5422255270147411</v>
      </c>
      <c r="S480" s="22">
        <f t="shared" si="63"/>
        <v>0.62501375287592331</v>
      </c>
      <c r="T480" s="25"/>
      <c r="U480" s="1" t="s">
        <v>1365</v>
      </c>
    </row>
    <row r="481" spans="1:21">
      <c r="A481" s="6" t="s">
        <v>1366</v>
      </c>
      <c r="B481" s="6" t="s">
        <v>1367</v>
      </c>
      <c r="C481" s="7">
        <v>1.1170862326249771</v>
      </c>
      <c r="D481" s="7">
        <v>1.0656211438978873</v>
      </c>
      <c r="E481" s="7">
        <v>1.0039955247356309</v>
      </c>
      <c r="F481" s="8">
        <v>1.0865950816415566</v>
      </c>
      <c r="G481" s="8">
        <f t="shared" si="56"/>
        <v>1.0913536882614321</v>
      </c>
      <c r="H481" s="8">
        <f t="shared" si="57"/>
        <v>1.0452953031885936</v>
      </c>
      <c r="I481" s="8">
        <f t="shared" si="58"/>
        <v>0.95779701340798951</v>
      </c>
      <c r="J481" s="22">
        <f t="shared" si="59"/>
        <v>-6.2208157902089369E-2</v>
      </c>
      <c r="K481" s="8"/>
      <c r="L481" s="8">
        <v>1.126640373683089</v>
      </c>
      <c r="M481" s="8">
        <v>1.4935770453921293</v>
      </c>
      <c r="N481" s="8">
        <v>1.0207398311819231</v>
      </c>
      <c r="O481" s="8">
        <v>1.3807568058960082</v>
      </c>
      <c r="P481" s="8">
        <f t="shared" si="60"/>
        <v>1.3101087095376092</v>
      </c>
      <c r="Q481" s="8">
        <f t="shared" si="61"/>
        <v>1.2007483185389658</v>
      </c>
      <c r="R481" s="8">
        <f t="shared" si="62"/>
        <v>0.9165257125591959</v>
      </c>
      <c r="S481" s="22">
        <f t="shared" si="63"/>
        <v>-0.12575273964179579</v>
      </c>
      <c r="T481" s="25"/>
      <c r="U481" s="1" t="s">
        <v>1368</v>
      </c>
    </row>
    <row r="482" spans="1:21">
      <c r="A482" s="6" t="s">
        <v>1369</v>
      </c>
      <c r="B482" s="6" t="s">
        <v>1370</v>
      </c>
      <c r="C482" s="7">
        <v>1.0775446352487603</v>
      </c>
      <c r="D482" s="7">
        <v>1.1194824979267803</v>
      </c>
      <c r="E482" s="7">
        <v>1.1250186838066234</v>
      </c>
      <c r="F482" s="8">
        <v>1.0760325816916498</v>
      </c>
      <c r="G482" s="8">
        <f t="shared" si="56"/>
        <v>1.0985135665877703</v>
      </c>
      <c r="H482" s="8">
        <f t="shared" si="57"/>
        <v>1.1005256327491366</v>
      </c>
      <c r="I482" s="8">
        <f t="shared" si="58"/>
        <v>1.0018316261378695</v>
      </c>
      <c r="J482" s="22">
        <f t="shared" si="59"/>
        <v>2.6400608810190707E-3</v>
      </c>
      <c r="K482" s="8"/>
      <c r="L482" s="8">
        <v>1.1235249313619455</v>
      </c>
      <c r="M482" s="8">
        <v>1.1756810119423893</v>
      </c>
      <c r="N482" s="8">
        <v>0.98417576309354149</v>
      </c>
      <c r="O482" s="8">
        <v>1.0138288268894562</v>
      </c>
      <c r="P482" s="8">
        <f t="shared" si="60"/>
        <v>1.1496029716521674</v>
      </c>
      <c r="Q482" s="8">
        <f t="shared" si="61"/>
        <v>0.99900229499149884</v>
      </c>
      <c r="R482" s="8">
        <f t="shared" si="62"/>
        <v>0.86899766234578291</v>
      </c>
      <c r="S482" s="22">
        <f t="shared" si="63"/>
        <v>-0.20257579877597506</v>
      </c>
      <c r="T482" s="25"/>
      <c r="U482" s="1" t="s">
        <v>1371</v>
      </c>
    </row>
    <row r="483" spans="1:21">
      <c r="A483" s="6" t="s">
        <v>1372</v>
      </c>
      <c r="B483" s="6" t="s">
        <v>80</v>
      </c>
      <c r="C483" s="7">
        <v>0.98548184993309951</v>
      </c>
      <c r="D483" s="7">
        <v>1.0697328896122444</v>
      </c>
      <c r="E483" s="7">
        <v>1.1029961273471984</v>
      </c>
      <c r="F483" s="8">
        <v>1.0092982748165722</v>
      </c>
      <c r="G483" s="8">
        <f t="shared" si="56"/>
        <v>1.027607369772672</v>
      </c>
      <c r="H483" s="8">
        <f t="shared" si="57"/>
        <v>1.0561472010818853</v>
      </c>
      <c r="I483" s="8">
        <f t="shared" si="58"/>
        <v>1.0277730893614814</v>
      </c>
      <c r="J483" s="22">
        <f t="shared" si="59"/>
        <v>3.9521783026279296E-2</v>
      </c>
      <c r="K483" s="8"/>
      <c r="L483" s="8">
        <v>1.2404652842020145</v>
      </c>
      <c r="M483" s="8">
        <v>1.2886275108836782</v>
      </c>
      <c r="N483" s="8">
        <v>1.3116405028177955</v>
      </c>
      <c r="O483" s="8">
        <v>1.1468588525172163</v>
      </c>
      <c r="P483" s="8">
        <f t="shared" si="60"/>
        <v>1.2645463975428464</v>
      </c>
      <c r="Q483" s="8">
        <f t="shared" si="61"/>
        <v>1.2292496776675059</v>
      </c>
      <c r="R483" s="8">
        <f t="shared" si="62"/>
        <v>0.97208744578773398</v>
      </c>
      <c r="S483" s="22">
        <f t="shared" si="63"/>
        <v>-4.0841995120319691E-2</v>
      </c>
      <c r="T483" s="25"/>
      <c r="U483" s="1">
        <v>0</v>
      </c>
    </row>
    <row r="484" spans="1:21">
      <c r="A484" s="6" t="s">
        <v>1373</v>
      </c>
      <c r="B484" s="6" t="s">
        <v>80</v>
      </c>
      <c r="C484" s="7">
        <v>1.0957235973583597</v>
      </c>
      <c r="D484" s="7">
        <v>1.1506915280889638</v>
      </c>
      <c r="E484" s="7">
        <v>1.0989014811713256</v>
      </c>
      <c r="F484" s="8">
        <v>1.0388117201198765</v>
      </c>
      <c r="G484" s="8">
        <f t="shared" si="56"/>
        <v>1.1232075627236617</v>
      </c>
      <c r="H484" s="8">
        <f t="shared" si="57"/>
        <v>1.0688566006456011</v>
      </c>
      <c r="I484" s="8">
        <f t="shared" si="58"/>
        <v>0.9516109364984463</v>
      </c>
      <c r="J484" s="22">
        <f t="shared" si="59"/>
        <v>-7.155624268988077E-2</v>
      </c>
      <c r="K484" s="8"/>
      <c r="L484" s="8">
        <v>1.369867406326658</v>
      </c>
      <c r="M484" s="8">
        <v>1.0100053463682883</v>
      </c>
      <c r="N484" s="8">
        <v>1.6819471320655592</v>
      </c>
      <c r="O484" s="8">
        <v>1.4856901673674128</v>
      </c>
      <c r="P484" s="8">
        <f t="shared" si="60"/>
        <v>1.1899363763474731</v>
      </c>
      <c r="Q484" s="8">
        <f t="shared" si="61"/>
        <v>1.5838186497164859</v>
      </c>
      <c r="R484" s="8">
        <f t="shared" si="62"/>
        <v>1.3310112046309905</v>
      </c>
      <c r="S484" s="22">
        <f t="shared" si="63"/>
        <v>0.41252271610143948</v>
      </c>
      <c r="T484" s="25"/>
      <c r="U484" s="1">
        <v>0</v>
      </c>
    </row>
    <row r="485" spans="1:21">
      <c r="A485" s="6" t="s">
        <v>1374</v>
      </c>
      <c r="B485" s="6" t="s">
        <v>1375</v>
      </c>
      <c r="C485" s="7">
        <v>0.89120242433257213</v>
      </c>
      <c r="D485" s="7">
        <v>0.95618835199559804</v>
      </c>
      <c r="E485" s="7">
        <v>0.93266145033942105</v>
      </c>
      <c r="F485" s="8">
        <v>0.8951538627726634</v>
      </c>
      <c r="G485" s="8">
        <f t="shared" si="56"/>
        <v>0.92369538816408503</v>
      </c>
      <c r="H485" s="8">
        <f t="shared" si="57"/>
        <v>0.91390765655604222</v>
      </c>
      <c r="I485" s="8">
        <f t="shared" si="58"/>
        <v>0.98940372363718665</v>
      </c>
      <c r="J485" s="22">
        <f t="shared" si="59"/>
        <v>-1.5368765774094474E-2</v>
      </c>
      <c r="K485" s="8"/>
      <c r="L485" s="8">
        <v>0.91275042289695563</v>
      </c>
      <c r="M485" s="8">
        <v>1.1365631464596153</v>
      </c>
      <c r="N485" s="8">
        <v>0.95058093487312578</v>
      </c>
      <c r="O485" s="8">
        <v>1.0114347381430144</v>
      </c>
      <c r="P485" s="8">
        <f t="shared" si="60"/>
        <v>1.0246567846782855</v>
      </c>
      <c r="Q485" s="8">
        <f t="shared" si="61"/>
        <v>0.98100783650807011</v>
      </c>
      <c r="R485" s="8">
        <f t="shared" si="62"/>
        <v>0.95740139642571154</v>
      </c>
      <c r="S485" s="22">
        <f t="shared" si="63"/>
        <v>-6.2804184573384977E-2</v>
      </c>
      <c r="T485" s="25"/>
      <c r="U485" s="1" t="s">
        <v>1376</v>
      </c>
    </row>
    <row r="486" spans="1:21">
      <c r="A486" s="6" t="s">
        <v>1377</v>
      </c>
      <c r="B486" s="6" t="s">
        <v>1378</v>
      </c>
      <c r="C486" s="7">
        <v>1.0332243884198991</v>
      </c>
      <c r="D486" s="7">
        <v>1.0407180479123095</v>
      </c>
      <c r="E486" s="7">
        <v>1.1376606597582057</v>
      </c>
      <c r="F486" s="8">
        <v>1.1799222665678253</v>
      </c>
      <c r="G486" s="8">
        <f t="shared" si="56"/>
        <v>1.0369712181661042</v>
      </c>
      <c r="H486" s="8">
        <f t="shared" si="57"/>
        <v>1.1587914631630154</v>
      </c>
      <c r="I486" s="8">
        <f t="shared" si="58"/>
        <v>1.1174769780132874</v>
      </c>
      <c r="J486" s="22">
        <f t="shared" si="59"/>
        <v>0.1602451096652466</v>
      </c>
      <c r="K486" s="8"/>
      <c r="L486" s="8">
        <v>1.0644798816564618</v>
      </c>
      <c r="M486" s="8">
        <v>0.84167762211738928</v>
      </c>
      <c r="N486" s="8">
        <v>0.80398532082040275</v>
      </c>
      <c r="O486" s="8">
        <v>0.93554664202938542</v>
      </c>
      <c r="P486" s="8">
        <f t="shared" si="60"/>
        <v>0.95307875188692548</v>
      </c>
      <c r="Q486" s="8">
        <f t="shared" si="61"/>
        <v>0.86976598142489414</v>
      </c>
      <c r="R486" s="8">
        <f t="shared" si="62"/>
        <v>0.91258563859797848</v>
      </c>
      <c r="S486" s="22">
        <f t="shared" si="63"/>
        <v>-0.13196814468313545</v>
      </c>
      <c r="T486" s="25"/>
      <c r="U486" s="1" t="s">
        <v>1379</v>
      </c>
    </row>
    <row r="487" spans="1:21">
      <c r="A487" s="6" t="s">
        <v>1380</v>
      </c>
      <c r="B487" s="6" t="s">
        <v>1381</v>
      </c>
      <c r="C487" s="7">
        <v>0.92870948501673023</v>
      </c>
      <c r="D487" s="7">
        <v>0.89108571151827953</v>
      </c>
      <c r="E487" s="7">
        <v>0.92949119169450822</v>
      </c>
      <c r="F487" s="8">
        <v>0.94895516443939254</v>
      </c>
      <c r="G487" s="8">
        <f t="shared" si="56"/>
        <v>0.90989759826750483</v>
      </c>
      <c r="H487" s="8">
        <f t="shared" si="57"/>
        <v>0.93922317806695044</v>
      </c>
      <c r="I487" s="8">
        <f t="shared" si="58"/>
        <v>1.0322295386374061</v>
      </c>
      <c r="J487" s="22">
        <f t="shared" si="59"/>
        <v>4.5763820985470778E-2</v>
      </c>
      <c r="K487" s="8"/>
      <c r="L487" s="8">
        <v>0.81787778649832044</v>
      </c>
      <c r="M487" s="8">
        <v>0.82588227264528224</v>
      </c>
      <c r="N487" s="8">
        <v>0.96322141316818122</v>
      </c>
      <c r="O487" s="8">
        <v>0.74148993911024874</v>
      </c>
      <c r="P487" s="8">
        <f t="shared" si="60"/>
        <v>0.8218800295718014</v>
      </c>
      <c r="Q487" s="8">
        <f t="shared" si="61"/>
        <v>0.85235567613921503</v>
      </c>
      <c r="R487" s="8">
        <f t="shared" si="62"/>
        <v>1.0370804076883233</v>
      </c>
      <c r="S487" s="22">
        <f t="shared" si="63"/>
        <v>5.2527754590899325E-2</v>
      </c>
      <c r="T487" s="25"/>
      <c r="U487" s="1" t="s">
        <v>1382</v>
      </c>
    </row>
    <row r="488" spans="1:21">
      <c r="A488" s="6" t="s">
        <v>1383</v>
      </c>
      <c r="B488" s="6" t="s">
        <v>1384</v>
      </c>
      <c r="C488" s="7">
        <v>1.0933625300860941</v>
      </c>
      <c r="D488" s="7">
        <v>0.97633842082513023</v>
      </c>
      <c r="E488" s="7">
        <v>1.0144306882013294</v>
      </c>
      <c r="F488" s="8">
        <v>1.0001502199932495</v>
      </c>
      <c r="G488" s="8">
        <f t="shared" si="56"/>
        <v>1.0348504754556123</v>
      </c>
      <c r="H488" s="8">
        <f t="shared" si="57"/>
        <v>1.0072904540972893</v>
      </c>
      <c r="I488" s="8">
        <f t="shared" si="58"/>
        <v>0.97336811258052613</v>
      </c>
      <c r="J488" s="22">
        <f t="shared" si="59"/>
        <v>-3.8942582008643124E-2</v>
      </c>
      <c r="K488" s="8"/>
      <c r="L488" s="8">
        <v>0.85908322005535076</v>
      </c>
      <c r="M488" s="8">
        <v>0.79604661253130227</v>
      </c>
      <c r="N488" s="8">
        <v>1.0400398903237025</v>
      </c>
      <c r="O488" s="8">
        <v>0.78693245380686228</v>
      </c>
      <c r="P488" s="8">
        <f t="shared" si="60"/>
        <v>0.82756491629332651</v>
      </c>
      <c r="Q488" s="8">
        <f t="shared" si="61"/>
        <v>0.91348617206528238</v>
      </c>
      <c r="R488" s="8">
        <f t="shared" si="62"/>
        <v>1.1038241883872968</v>
      </c>
      <c r="S488" s="22">
        <f t="shared" si="63"/>
        <v>0.14251040514129495</v>
      </c>
      <c r="T488" s="25"/>
      <c r="U488" s="1" t="s">
        <v>1385</v>
      </c>
    </row>
    <row r="489" spans="1:21" ht="14.5">
      <c r="A489" s="6" t="s">
        <v>1386</v>
      </c>
      <c r="B489" s="6" t="s">
        <v>1387</v>
      </c>
      <c r="C489" s="7">
        <v>0.86232958572119445</v>
      </c>
      <c r="D489" s="7">
        <v>0.7924478238844167</v>
      </c>
      <c r="E489" s="7">
        <v>1.0649790626936244</v>
      </c>
      <c r="F489" s="8">
        <v>1.0022587909689904</v>
      </c>
      <c r="G489" s="8">
        <f t="shared" si="56"/>
        <v>0.82738870480280557</v>
      </c>
      <c r="H489" s="8">
        <f t="shared" si="57"/>
        <v>1.0336189268313074</v>
      </c>
      <c r="I489" s="8">
        <f t="shared" si="58"/>
        <v>1.2492543357570411</v>
      </c>
      <c r="J489" s="22">
        <f t="shared" si="59"/>
        <v>0.32106722520954378</v>
      </c>
      <c r="K489" s="8"/>
      <c r="L489" s="8">
        <v>1.1441091038409299</v>
      </c>
      <c r="M489" s="8">
        <v>1.2017725892185365</v>
      </c>
      <c r="N489" s="8">
        <v>1.3352671686243252</v>
      </c>
      <c r="O489" s="8">
        <v>1.4490560923982743</v>
      </c>
      <c r="P489" s="8">
        <f t="shared" si="60"/>
        <v>1.1729408465297331</v>
      </c>
      <c r="Q489" s="8">
        <f t="shared" si="61"/>
        <v>1.3921616305112998</v>
      </c>
      <c r="R489" s="8">
        <f t="shared" si="62"/>
        <v>1.1868984140420671</v>
      </c>
      <c r="S489" s="22">
        <f t="shared" si="63"/>
        <v>0.247196460818536</v>
      </c>
      <c r="T489" s="25"/>
      <c r="U489" s="1" t="s">
        <v>1388</v>
      </c>
    </row>
    <row r="490" spans="1:21">
      <c r="A490" s="6" t="s">
        <v>1389</v>
      </c>
      <c r="B490" s="6" t="s">
        <v>1390</v>
      </c>
      <c r="C490" s="7">
        <v>1.1543358365055105</v>
      </c>
      <c r="D490" s="7">
        <v>1.1183633989403041</v>
      </c>
      <c r="E490" s="7">
        <v>1.0212333992566349</v>
      </c>
      <c r="F490" s="8">
        <v>1.0693532574827813</v>
      </c>
      <c r="G490" s="8">
        <f t="shared" si="56"/>
        <v>1.1363496177229073</v>
      </c>
      <c r="H490" s="8">
        <f t="shared" si="57"/>
        <v>1.0452933283697081</v>
      </c>
      <c r="I490" s="8">
        <f t="shared" si="58"/>
        <v>0.91986947684669107</v>
      </c>
      <c r="J490" s="22">
        <f t="shared" si="59"/>
        <v>-0.12049892770137267</v>
      </c>
      <c r="K490" s="8"/>
      <c r="L490" s="8">
        <v>2.1627474770577071</v>
      </c>
      <c r="M490" s="8">
        <v>0.87498435902894345</v>
      </c>
      <c r="N490" s="8">
        <v>0.71418702367063003</v>
      </c>
      <c r="O490" s="8">
        <v>1.1897265925242602</v>
      </c>
      <c r="P490" s="8">
        <f t="shared" si="60"/>
        <v>1.5188659180433253</v>
      </c>
      <c r="Q490" s="8">
        <f t="shared" si="61"/>
        <v>0.9519568080974451</v>
      </c>
      <c r="R490" s="8">
        <f t="shared" si="62"/>
        <v>0.62675499975916293</v>
      </c>
      <c r="S490" s="22">
        <f t="shared" si="63"/>
        <v>-0.6740264950942354</v>
      </c>
      <c r="T490" s="25"/>
      <c r="U490" s="1" t="s">
        <v>1391</v>
      </c>
    </row>
    <row r="491" spans="1:21">
      <c r="A491" s="6" t="s">
        <v>1392</v>
      </c>
      <c r="B491" s="6" t="s">
        <v>1393</v>
      </c>
      <c r="C491" s="7">
        <v>0.91297950225868307</v>
      </c>
      <c r="D491" s="7">
        <v>1.0363485322066854</v>
      </c>
      <c r="E491" s="7">
        <v>0.95222331323051523</v>
      </c>
      <c r="F491" s="8">
        <v>0.91540793118249708</v>
      </c>
      <c r="G491" s="8">
        <f t="shared" si="56"/>
        <v>0.97466401723268425</v>
      </c>
      <c r="H491" s="8">
        <f t="shared" si="57"/>
        <v>0.93381562220650616</v>
      </c>
      <c r="I491" s="8">
        <f t="shared" si="58"/>
        <v>0.95808976805960588</v>
      </c>
      <c r="J491" s="22">
        <f t="shared" si="59"/>
        <v>-6.1767259523900456E-2</v>
      </c>
      <c r="K491" s="8"/>
      <c r="L491" s="8">
        <v>0.56493354090070813</v>
      </c>
      <c r="M491" s="8">
        <v>0.74394145970479597</v>
      </c>
      <c r="N491" s="8">
        <v>0.71393251739623298</v>
      </c>
      <c r="O491" s="8">
        <v>0.68967824491838425</v>
      </c>
      <c r="P491" s="8">
        <f t="shared" si="60"/>
        <v>0.65443750030275205</v>
      </c>
      <c r="Q491" s="8">
        <f t="shared" si="61"/>
        <v>0.70180538115730862</v>
      </c>
      <c r="R491" s="8">
        <f t="shared" si="62"/>
        <v>1.0723795333131789</v>
      </c>
      <c r="S491" s="22">
        <f t="shared" si="63"/>
        <v>0.10081559042588871</v>
      </c>
      <c r="T491" s="25"/>
      <c r="U491" s="1" t="s">
        <v>1394</v>
      </c>
    </row>
    <row r="492" spans="1:21">
      <c r="A492" s="6" t="s">
        <v>1395</v>
      </c>
      <c r="B492" s="6" t="s">
        <v>1396</v>
      </c>
      <c r="C492" s="7">
        <v>1.0624865519538313</v>
      </c>
      <c r="D492" s="7">
        <v>1.0358644275889402</v>
      </c>
      <c r="E492" s="7">
        <v>1.0216630441653911</v>
      </c>
      <c r="F492" s="8">
        <v>0.99096942338458904</v>
      </c>
      <c r="G492" s="8">
        <f t="shared" si="56"/>
        <v>1.0491754897713856</v>
      </c>
      <c r="H492" s="8">
        <f t="shared" si="57"/>
        <v>1.00631623377499</v>
      </c>
      <c r="I492" s="8">
        <f t="shared" si="58"/>
        <v>0.95914958325443289</v>
      </c>
      <c r="J492" s="22">
        <f t="shared" si="59"/>
        <v>-6.0172267974697692E-2</v>
      </c>
      <c r="K492" s="8"/>
      <c r="L492" s="8">
        <v>0.93637586049896138</v>
      </c>
      <c r="M492" s="8">
        <v>0.9119961779154363</v>
      </c>
      <c r="N492" s="8">
        <v>1.1501986894252423</v>
      </c>
      <c r="O492" s="8">
        <v>0.9454843689014083</v>
      </c>
      <c r="P492" s="8">
        <f t="shared" si="60"/>
        <v>0.92418601920719889</v>
      </c>
      <c r="Q492" s="8">
        <f t="shared" si="61"/>
        <v>1.0478415291633252</v>
      </c>
      <c r="R492" s="8">
        <f t="shared" si="62"/>
        <v>1.1337993730550076</v>
      </c>
      <c r="S492" s="22">
        <f t="shared" si="63"/>
        <v>0.18116537651844977</v>
      </c>
      <c r="T492" s="25"/>
      <c r="U492" s="1" t="s">
        <v>1397</v>
      </c>
    </row>
    <row r="493" spans="1:21">
      <c r="A493" s="6" t="s">
        <v>1398</v>
      </c>
      <c r="B493" s="6" t="s">
        <v>1399</v>
      </c>
      <c r="C493" s="7">
        <v>1.0507628482375542</v>
      </c>
      <c r="D493" s="7">
        <v>1.0590260043652262</v>
      </c>
      <c r="E493" s="7">
        <v>1.1315935528648613</v>
      </c>
      <c r="F493" s="8">
        <v>1.0564006072032304</v>
      </c>
      <c r="G493" s="8">
        <f t="shared" si="56"/>
        <v>1.0548944263013902</v>
      </c>
      <c r="H493" s="8">
        <f t="shared" si="57"/>
        <v>1.0939970800340459</v>
      </c>
      <c r="I493" s="8">
        <f t="shared" si="58"/>
        <v>1.0370678361338539</v>
      </c>
      <c r="J493" s="22">
        <f t="shared" si="59"/>
        <v>5.2510266044124954E-2</v>
      </c>
      <c r="K493" s="8"/>
      <c r="L493" s="8">
        <v>1.1885041569172266</v>
      </c>
      <c r="M493" s="8">
        <v>1.2787212917085791</v>
      </c>
      <c r="N493" s="8">
        <v>0.80462158650639548</v>
      </c>
      <c r="O493" s="8">
        <v>0.82532821672149592</v>
      </c>
      <c r="P493" s="8">
        <f t="shared" si="60"/>
        <v>1.2336127243129029</v>
      </c>
      <c r="Q493" s="8">
        <f t="shared" si="61"/>
        <v>0.8149749016139457</v>
      </c>
      <c r="R493" s="8">
        <f t="shared" si="62"/>
        <v>0.66064080367513234</v>
      </c>
      <c r="S493" s="22">
        <f t="shared" si="63"/>
        <v>-0.59806201620883237</v>
      </c>
      <c r="T493" s="25"/>
      <c r="U493" s="1" t="s">
        <v>1400</v>
      </c>
    </row>
    <row r="494" spans="1:21">
      <c r="A494" s="6" t="s">
        <v>1401</v>
      </c>
      <c r="B494" s="6" t="s">
        <v>1402</v>
      </c>
      <c r="C494" s="7">
        <v>0.98945673180369587</v>
      </c>
      <c r="D494" s="7">
        <v>1.0046113879160525</v>
      </c>
      <c r="E494" s="7">
        <v>1.0343831373731109</v>
      </c>
      <c r="F494" s="8">
        <v>0.99452518127225131</v>
      </c>
      <c r="G494" s="8">
        <f t="shared" si="56"/>
        <v>0.99703405985987414</v>
      </c>
      <c r="H494" s="8">
        <f t="shared" si="57"/>
        <v>1.014454159322681</v>
      </c>
      <c r="I494" s="8">
        <f t="shared" si="58"/>
        <v>1.0174719201320517</v>
      </c>
      <c r="J494" s="22">
        <f t="shared" si="59"/>
        <v>2.4988979999892597E-2</v>
      </c>
      <c r="K494" s="8"/>
      <c r="L494" s="8">
        <v>0.72953274353446229</v>
      </c>
      <c r="M494" s="8">
        <v>0.92135638501001826</v>
      </c>
      <c r="N494" s="8">
        <v>0.87588334333758033</v>
      </c>
      <c r="O494" s="8">
        <v>0.95171803393931353</v>
      </c>
      <c r="P494" s="8">
        <f t="shared" si="60"/>
        <v>0.82544456427224033</v>
      </c>
      <c r="Q494" s="8">
        <f t="shared" si="61"/>
        <v>0.91380068863844688</v>
      </c>
      <c r="R494" s="8">
        <f t="shared" si="62"/>
        <v>1.107040652020171</v>
      </c>
      <c r="S494" s="22">
        <f t="shared" si="63"/>
        <v>0.1467082007925134</v>
      </c>
      <c r="T494" s="25"/>
      <c r="U494" s="1" t="s">
        <v>1403</v>
      </c>
    </row>
    <row r="495" spans="1:21">
      <c r="A495" s="6" t="s">
        <v>1404</v>
      </c>
      <c r="B495" s="6" t="s">
        <v>1405</v>
      </c>
      <c r="C495" s="7">
        <v>0.8968476357096119</v>
      </c>
      <c r="D495" s="7">
        <v>0.97034055322345358</v>
      </c>
      <c r="E495" s="7">
        <v>1.0040476029063892</v>
      </c>
      <c r="F495" s="8">
        <v>1.0028677881762695</v>
      </c>
      <c r="G495" s="8">
        <f t="shared" si="56"/>
        <v>0.93359409446653274</v>
      </c>
      <c r="H495" s="8">
        <f t="shared" si="57"/>
        <v>1.0034576955413295</v>
      </c>
      <c r="I495" s="8">
        <f t="shared" si="58"/>
        <v>1.074832950946115</v>
      </c>
      <c r="J495" s="22">
        <f t="shared" si="59"/>
        <v>0.10411245556481553</v>
      </c>
      <c r="K495" s="8"/>
      <c r="L495" s="8">
        <v>0.84606512178485782</v>
      </c>
      <c r="M495" s="8">
        <v>0.89444578961309518</v>
      </c>
      <c r="N495" s="8">
        <v>0.84339137563955202</v>
      </c>
      <c r="O495" s="8">
        <v>0.89629262088489525</v>
      </c>
      <c r="P495" s="8">
        <f t="shared" si="60"/>
        <v>0.87025545569897655</v>
      </c>
      <c r="Q495" s="8">
        <f t="shared" si="61"/>
        <v>0.86984199826222364</v>
      </c>
      <c r="R495" s="8">
        <f t="shared" si="62"/>
        <v>0.99952490106893865</v>
      </c>
      <c r="S495" s="22">
        <f t="shared" si="63"/>
        <v>-6.8558574520007423E-4</v>
      </c>
      <c r="T495" s="25"/>
      <c r="U495" s="1" t="s">
        <v>1406</v>
      </c>
    </row>
    <row r="496" spans="1:21">
      <c r="A496" s="6" t="s">
        <v>1407</v>
      </c>
      <c r="B496" s="6" t="s">
        <v>1408</v>
      </c>
      <c r="C496" s="7">
        <v>1.0015258044028841</v>
      </c>
      <c r="D496" s="7">
        <v>1.0321613416168358</v>
      </c>
      <c r="E496" s="7">
        <v>1.0025568652684322</v>
      </c>
      <c r="F496" s="8">
        <v>1.0625167727042923</v>
      </c>
      <c r="G496" s="8">
        <f t="shared" si="56"/>
        <v>1.0168435730098599</v>
      </c>
      <c r="H496" s="8">
        <f t="shared" si="57"/>
        <v>1.0325368189863622</v>
      </c>
      <c r="I496" s="8">
        <f t="shared" si="58"/>
        <v>1.0154332941595434</v>
      </c>
      <c r="J496" s="22">
        <f t="shared" si="59"/>
        <v>2.2095469229211729E-2</v>
      </c>
      <c r="K496" s="8"/>
      <c r="L496" s="8">
        <v>0.81216614224289052</v>
      </c>
      <c r="M496" s="8">
        <v>1.1975994968888686</v>
      </c>
      <c r="N496" s="8">
        <v>1.3325100173183566</v>
      </c>
      <c r="O496" s="8">
        <v>0.82379238620491058</v>
      </c>
      <c r="P496" s="8">
        <f t="shared" si="60"/>
        <v>1.0048828195658794</v>
      </c>
      <c r="Q496" s="8">
        <f t="shared" si="61"/>
        <v>1.0781512017616337</v>
      </c>
      <c r="R496" s="8">
        <f t="shared" si="62"/>
        <v>1.0729123642768685</v>
      </c>
      <c r="S496" s="22">
        <f t="shared" si="63"/>
        <v>0.10153224125146412</v>
      </c>
      <c r="T496" s="25"/>
      <c r="U496" s="1" t="s">
        <v>1409</v>
      </c>
    </row>
    <row r="497" spans="1:21">
      <c r="A497" s="6" t="s">
        <v>1410</v>
      </c>
      <c r="B497" s="6" t="s">
        <v>1411</v>
      </c>
      <c r="C497" s="7">
        <v>0.96938765998943677</v>
      </c>
      <c r="D497" s="7">
        <v>0.99523107506311592</v>
      </c>
      <c r="E497" s="7">
        <v>0.95752226710517441</v>
      </c>
      <c r="F497" s="8">
        <v>0.93817656870625765</v>
      </c>
      <c r="G497" s="8">
        <f t="shared" si="56"/>
        <v>0.9823093675262764</v>
      </c>
      <c r="H497" s="8">
        <f t="shared" si="57"/>
        <v>0.94784941790571597</v>
      </c>
      <c r="I497" s="8">
        <f t="shared" si="58"/>
        <v>0.96491945332116702</v>
      </c>
      <c r="J497" s="22">
        <f t="shared" si="59"/>
        <v>-5.1519576490121836E-2</v>
      </c>
      <c r="K497" s="8"/>
      <c r="L497" s="8">
        <v>0.83186018834440545</v>
      </c>
      <c r="M497" s="8">
        <v>1.1710789101208863</v>
      </c>
      <c r="N497" s="8">
        <v>0.9761163977376337</v>
      </c>
      <c r="O497" s="8">
        <v>0.89227235865030419</v>
      </c>
      <c r="P497" s="8">
        <f t="shared" si="60"/>
        <v>1.0014695492326458</v>
      </c>
      <c r="Q497" s="8">
        <f t="shared" si="61"/>
        <v>0.934194378193969</v>
      </c>
      <c r="R497" s="8">
        <f t="shared" si="62"/>
        <v>0.93282354806471657</v>
      </c>
      <c r="S497" s="22">
        <f t="shared" si="63"/>
        <v>-0.10032388670124197</v>
      </c>
      <c r="T497" s="25"/>
      <c r="U497" s="1" t="s">
        <v>1412</v>
      </c>
    </row>
    <row r="498" spans="1:21">
      <c r="A498" s="6" t="s">
        <v>1413</v>
      </c>
      <c r="B498" s="13" t="s">
        <v>1414</v>
      </c>
      <c r="C498" s="14">
        <v>1.0081757252574839</v>
      </c>
      <c r="D498" s="14">
        <v>1.0405420098694931</v>
      </c>
      <c r="E498" s="14">
        <v>0.90560033085912861</v>
      </c>
      <c r="F498" s="8">
        <v>0.91197659207911752</v>
      </c>
      <c r="G498" s="8">
        <f t="shared" si="56"/>
        <v>1.0243588675634885</v>
      </c>
      <c r="H498" s="8">
        <f t="shared" si="57"/>
        <v>0.90878846146912307</v>
      </c>
      <c r="I498" s="8">
        <f t="shared" si="58"/>
        <v>0.88717781457853928</v>
      </c>
      <c r="J498" s="22">
        <f t="shared" si="59"/>
        <v>-0.17270480603078595</v>
      </c>
      <c r="K498" s="8"/>
      <c r="L498" s="8">
        <v>1.1279755632492934</v>
      </c>
      <c r="M498" s="8">
        <v>1.0131254153998157</v>
      </c>
      <c r="N498" s="8">
        <v>1.1297957697610757</v>
      </c>
      <c r="O498" s="8">
        <v>0.85216007927595749</v>
      </c>
      <c r="P498" s="8">
        <f t="shared" si="60"/>
        <v>1.0705504893245545</v>
      </c>
      <c r="Q498" s="8">
        <f t="shared" si="61"/>
        <v>0.99097792451851663</v>
      </c>
      <c r="R498" s="8">
        <f t="shared" si="62"/>
        <v>0.9256713573067975</v>
      </c>
      <c r="S498" s="22">
        <f t="shared" si="63"/>
        <v>-0.1114280129996406</v>
      </c>
      <c r="T498" s="25"/>
      <c r="U498" s="1" t="s">
        <v>1415</v>
      </c>
    </row>
    <row r="499" spans="1:21">
      <c r="A499" s="6" t="s">
        <v>1416</v>
      </c>
      <c r="B499" s="6" t="s">
        <v>1417</v>
      </c>
      <c r="C499" s="7">
        <v>0.96470948148454849</v>
      </c>
      <c r="D499" s="7">
        <v>0.99990237027071105</v>
      </c>
      <c r="E499" s="7">
        <v>0.92294887149299421</v>
      </c>
      <c r="F499" s="8">
        <v>0.93060011957913924</v>
      </c>
      <c r="G499" s="8">
        <f t="shared" si="56"/>
        <v>0.98230592587762977</v>
      </c>
      <c r="H499" s="8">
        <f t="shared" si="57"/>
        <v>0.92677449553606672</v>
      </c>
      <c r="I499" s="8">
        <f t="shared" si="58"/>
        <v>0.94346829345252181</v>
      </c>
      <c r="J499" s="22">
        <f t="shared" si="59"/>
        <v>-8.3954059994792718E-2</v>
      </c>
      <c r="K499" s="8"/>
      <c r="L499" s="8">
        <v>0.78535108512161866</v>
      </c>
      <c r="M499" s="8">
        <v>0.87510136161762575</v>
      </c>
      <c r="N499" s="8">
        <v>0.75995573534970651</v>
      </c>
      <c r="O499" s="8">
        <v>0.92167899589433544</v>
      </c>
      <c r="P499" s="8">
        <f t="shared" si="60"/>
        <v>0.83022622336962226</v>
      </c>
      <c r="Q499" s="8">
        <f t="shared" si="61"/>
        <v>0.84081736562202103</v>
      </c>
      <c r="R499" s="8">
        <f t="shared" si="62"/>
        <v>1.0127569353439749</v>
      </c>
      <c r="S499" s="22">
        <f t="shared" si="63"/>
        <v>1.8287964611711106E-2</v>
      </c>
      <c r="T499" s="25"/>
      <c r="U499" s="1" t="s">
        <v>1418</v>
      </c>
    </row>
    <row r="500" spans="1:21">
      <c r="A500" s="6" t="s">
        <v>1419</v>
      </c>
      <c r="B500" s="6" t="s">
        <v>1420</v>
      </c>
      <c r="C500" s="7">
        <v>0.97545359346020477</v>
      </c>
      <c r="D500" s="7">
        <v>0.93250494816382024</v>
      </c>
      <c r="E500" s="7">
        <v>0.98997347725895291</v>
      </c>
      <c r="F500" s="8">
        <v>0.95607322857178478</v>
      </c>
      <c r="G500" s="8">
        <f t="shared" si="56"/>
        <v>0.9539792708120125</v>
      </c>
      <c r="H500" s="8">
        <f t="shared" si="57"/>
        <v>0.9730233529153689</v>
      </c>
      <c r="I500" s="8">
        <f t="shared" si="58"/>
        <v>1.0199627839786773</v>
      </c>
      <c r="J500" s="22">
        <f t="shared" si="59"/>
        <v>2.8516512638999108E-2</v>
      </c>
      <c r="K500" s="8"/>
      <c r="L500" s="8">
        <v>0.75805387621255083</v>
      </c>
      <c r="M500" s="8">
        <v>1.0782958572958425</v>
      </c>
      <c r="N500" s="8">
        <v>1.1012486493162021</v>
      </c>
      <c r="O500" s="8">
        <v>0.90315868672374744</v>
      </c>
      <c r="P500" s="8">
        <f t="shared" si="60"/>
        <v>0.91817486675419668</v>
      </c>
      <c r="Q500" s="8">
        <f t="shared" si="61"/>
        <v>1.0022036680199748</v>
      </c>
      <c r="R500" s="8">
        <f t="shared" si="62"/>
        <v>1.0915172090941947</v>
      </c>
      <c r="S500" s="22">
        <f t="shared" si="63"/>
        <v>0.12633487634715038</v>
      </c>
      <c r="T500" s="25"/>
      <c r="U500" s="1" t="s">
        <v>1421</v>
      </c>
    </row>
    <row r="501" spans="1:21">
      <c r="A501" s="6" t="s">
        <v>1422</v>
      </c>
      <c r="B501" s="11" t="s">
        <v>1423</v>
      </c>
      <c r="C501" s="12">
        <v>1.0357989564561463</v>
      </c>
      <c r="D501" s="12">
        <v>1.0865570968471361</v>
      </c>
      <c r="E501" s="12">
        <v>0.93908008488538408</v>
      </c>
      <c r="F501" s="8">
        <v>0.96633450409658572</v>
      </c>
      <c r="G501" s="8">
        <f t="shared" si="56"/>
        <v>1.0611780266516413</v>
      </c>
      <c r="H501" s="8">
        <f t="shared" si="57"/>
        <v>0.9527072944909849</v>
      </c>
      <c r="I501" s="8">
        <f t="shared" si="58"/>
        <v>0.89778271935867682</v>
      </c>
      <c r="J501" s="22">
        <f t="shared" si="59"/>
        <v>-0.15556176755289927</v>
      </c>
      <c r="K501" s="8"/>
      <c r="L501" s="8">
        <v>0.61144264412349492</v>
      </c>
      <c r="M501" s="8">
        <v>0.58107385625906971</v>
      </c>
      <c r="N501" s="8">
        <v>1.073040870570525</v>
      </c>
      <c r="O501" s="8">
        <v>0.72572509057235801</v>
      </c>
      <c r="P501" s="8">
        <f t="shared" si="60"/>
        <v>0.59625825019128231</v>
      </c>
      <c r="Q501" s="8">
        <f t="shared" si="61"/>
        <v>0.8993829805714415</v>
      </c>
      <c r="R501" s="8">
        <f t="shared" si="62"/>
        <v>1.5083782577145313</v>
      </c>
      <c r="S501" s="22">
        <f t="shared" si="63"/>
        <v>0.59299826023720725</v>
      </c>
      <c r="T501" s="25"/>
      <c r="U501" s="1" t="s">
        <v>1424</v>
      </c>
    </row>
    <row r="502" spans="1:21">
      <c r="A502" s="6" t="s">
        <v>1425</v>
      </c>
      <c r="B502" s="6" t="s">
        <v>1426</v>
      </c>
      <c r="C502" s="7">
        <v>1.0730799575078536</v>
      </c>
      <c r="D502" s="7">
        <v>1.0280810312672675</v>
      </c>
      <c r="E502" s="7">
        <v>1.1026511094659246</v>
      </c>
      <c r="F502" s="8">
        <v>1.1185838059163826</v>
      </c>
      <c r="G502" s="8">
        <f t="shared" si="56"/>
        <v>1.0505804943875605</v>
      </c>
      <c r="H502" s="8">
        <f t="shared" si="57"/>
        <v>1.1106174576911536</v>
      </c>
      <c r="I502" s="8">
        <f t="shared" si="58"/>
        <v>1.0571464667622559</v>
      </c>
      <c r="J502" s="22">
        <f t="shared" si="59"/>
        <v>8.0175274764768184E-2</v>
      </c>
      <c r="K502" s="8"/>
      <c r="L502" s="8">
        <v>0.67990819799053193</v>
      </c>
      <c r="M502" s="8">
        <v>0.98215873026190703</v>
      </c>
      <c r="N502" s="8">
        <v>0.77738941514590698</v>
      </c>
      <c r="O502" s="8">
        <v>0.89014929881855387</v>
      </c>
      <c r="P502" s="8">
        <f t="shared" si="60"/>
        <v>0.83103346412621948</v>
      </c>
      <c r="Q502" s="8">
        <f t="shared" si="61"/>
        <v>0.83376935698223043</v>
      </c>
      <c r="R502" s="8">
        <f t="shared" si="62"/>
        <v>1.0032921572645543</v>
      </c>
      <c r="S502" s="22">
        <f t="shared" si="63"/>
        <v>4.7417778958248136E-3</v>
      </c>
      <c r="T502" s="25"/>
      <c r="U502" s="1" t="s">
        <v>1427</v>
      </c>
    </row>
    <row r="503" spans="1:21">
      <c r="A503" s="6" t="s">
        <v>1428</v>
      </c>
      <c r="B503" s="6" t="s">
        <v>1429</v>
      </c>
      <c r="C503" s="7">
        <v>1.0506937744609719</v>
      </c>
      <c r="D503" s="7">
        <v>1.0008768665791596</v>
      </c>
      <c r="E503" s="7">
        <v>0.94449621464424938</v>
      </c>
      <c r="F503" s="8">
        <v>1.0117670054310266</v>
      </c>
      <c r="G503" s="8">
        <f t="shared" si="56"/>
        <v>1.0257853205200658</v>
      </c>
      <c r="H503" s="8">
        <f t="shared" si="57"/>
        <v>0.97813161003763804</v>
      </c>
      <c r="I503" s="8">
        <f t="shared" si="58"/>
        <v>0.95354416803482078</v>
      </c>
      <c r="J503" s="22">
        <f t="shared" si="59"/>
        <v>-6.8628329365581622E-2</v>
      </c>
      <c r="K503" s="8"/>
      <c r="L503" s="8">
        <v>0.92339485082752959</v>
      </c>
      <c r="M503" s="8">
        <v>0.85712196382344952</v>
      </c>
      <c r="N503" s="8">
        <v>1.2337191651398869</v>
      </c>
      <c r="O503" s="8">
        <v>0.81832663642529802</v>
      </c>
      <c r="P503" s="8">
        <f t="shared" si="60"/>
        <v>0.89025840732548955</v>
      </c>
      <c r="Q503" s="8">
        <f t="shared" si="61"/>
        <v>1.0260229007825925</v>
      </c>
      <c r="R503" s="8">
        <f t="shared" si="62"/>
        <v>1.152500096983039</v>
      </c>
      <c r="S503" s="22">
        <f t="shared" si="63"/>
        <v>0.20476687205760116</v>
      </c>
      <c r="T503" s="25"/>
      <c r="U503" s="1" t="s">
        <v>1430</v>
      </c>
    </row>
    <row r="504" spans="1:21">
      <c r="A504" s="6" t="s">
        <v>1431</v>
      </c>
      <c r="B504" s="6" t="s">
        <v>1432</v>
      </c>
      <c r="C504" s="7">
        <v>0.79270321892629325</v>
      </c>
      <c r="D504" s="7">
        <v>0.92673970226157976</v>
      </c>
      <c r="E504" s="7">
        <v>0.59974523399551105</v>
      </c>
      <c r="F504" s="8">
        <v>0.77222810390121277</v>
      </c>
      <c r="G504" s="8">
        <f t="shared" si="56"/>
        <v>0.8597214605939365</v>
      </c>
      <c r="H504" s="8">
        <f t="shared" si="57"/>
        <v>0.68598666894836191</v>
      </c>
      <c r="I504" s="8">
        <f t="shared" si="58"/>
        <v>0.79791734927083202</v>
      </c>
      <c r="J504" s="22">
        <f t="shared" si="59"/>
        <v>-0.32568877948296865</v>
      </c>
      <c r="K504" s="8"/>
      <c r="L504" s="8">
        <v>0.57917556294022188</v>
      </c>
      <c r="M504" s="8">
        <v>1.6050025106805488</v>
      </c>
      <c r="N504" s="8">
        <v>1.4257865668848897</v>
      </c>
      <c r="O504" s="8">
        <v>1.2665181183535277</v>
      </c>
      <c r="P504" s="8">
        <f t="shared" si="60"/>
        <v>1.0920890368103853</v>
      </c>
      <c r="Q504" s="8">
        <f t="shared" si="61"/>
        <v>1.3461523426192086</v>
      </c>
      <c r="R504" s="8">
        <f t="shared" si="62"/>
        <v>1.2326397365464399</v>
      </c>
      <c r="S504" s="22">
        <f t="shared" si="63"/>
        <v>0.30175120505774988</v>
      </c>
      <c r="T504" s="25"/>
      <c r="U504" s="1" t="s">
        <v>1433</v>
      </c>
    </row>
    <row r="505" spans="1:21">
      <c r="A505" s="6" t="s">
        <v>1434</v>
      </c>
      <c r="B505" s="6" t="s">
        <v>1435</v>
      </c>
      <c r="C505" s="7">
        <v>1.0272086904230091</v>
      </c>
      <c r="D505" s="7">
        <v>1.0800374021899677</v>
      </c>
      <c r="E505" s="7">
        <v>1.0862399759057089</v>
      </c>
      <c r="F505" s="8">
        <v>1.0550909357897267</v>
      </c>
      <c r="G505" s="8">
        <f t="shared" si="56"/>
        <v>1.0536230463064884</v>
      </c>
      <c r="H505" s="8">
        <f t="shared" si="57"/>
        <v>1.0706654558477178</v>
      </c>
      <c r="I505" s="8">
        <f t="shared" si="58"/>
        <v>1.0161750538781134</v>
      </c>
      <c r="J505" s="22">
        <f t="shared" si="59"/>
        <v>2.3148952904937972E-2</v>
      </c>
      <c r="K505" s="8"/>
      <c r="L505" s="8">
        <v>0.93281535498908297</v>
      </c>
      <c r="M505" s="8">
        <v>0.82354222087163675</v>
      </c>
      <c r="N505" s="8">
        <v>0.90892674129680229</v>
      </c>
      <c r="O505" s="8">
        <v>1.1588744677352076</v>
      </c>
      <c r="P505" s="8">
        <f t="shared" si="60"/>
        <v>0.87817878793035986</v>
      </c>
      <c r="Q505" s="8">
        <f t="shared" si="61"/>
        <v>1.0339006045160049</v>
      </c>
      <c r="R505" s="8">
        <f t="shared" si="62"/>
        <v>1.1773235914211058</v>
      </c>
      <c r="S505" s="22">
        <f t="shared" si="63"/>
        <v>0.23551090455292864</v>
      </c>
      <c r="T505" s="25"/>
      <c r="U505" s="1" t="s">
        <v>1436</v>
      </c>
    </row>
    <row r="506" spans="1:21">
      <c r="A506" s="6" t="s">
        <v>1437</v>
      </c>
      <c r="B506" s="6" t="s">
        <v>1438</v>
      </c>
      <c r="C506" s="7">
        <v>1.0504614353942863</v>
      </c>
      <c r="D506" s="7">
        <v>1.152049535847834</v>
      </c>
      <c r="E506" s="7">
        <v>1.0309720171884409</v>
      </c>
      <c r="F506" s="8">
        <v>1.0310781104231377</v>
      </c>
      <c r="G506" s="8">
        <f t="shared" si="56"/>
        <v>1.1012554856210601</v>
      </c>
      <c r="H506" s="8">
        <f t="shared" si="57"/>
        <v>1.0310250638057892</v>
      </c>
      <c r="I506" s="8">
        <f t="shared" si="58"/>
        <v>0.93622694939343343</v>
      </c>
      <c r="J506" s="22">
        <f t="shared" si="59"/>
        <v>-9.5069801107868043E-2</v>
      </c>
      <c r="K506" s="8"/>
      <c r="L506" s="8">
        <v>1.2399831324142185</v>
      </c>
      <c r="M506" s="8">
        <v>0.92681650581519115</v>
      </c>
      <c r="N506" s="8">
        <v>1.0728711997209268</v>
      </c>
      <c r="O506" s="8">
        <v>0.82573476009353319</v>
      </c>
      <c r="P506" s="8">
        <f t="shared" si="60"/>
        <v>1.083399819114705</v>
      </c>
      <c r="Q506" s="8">
        <f t="shared" si="61"/>
        <v>0.94930297990723</v>
      </c>
      <c r="R506" s="8">
        <f t="shared" si="62"/>
        <v>0.87622589847111887</v>
      </c>
      <c r="S506" s="22">
        <f t="shared" si="63"/>
        <v>-0.19062523808581242</v>
      </c>
      <c r="T506" s="25"/>
      <c r="U506" s="1" t="s">
        <v>1439</v>
      </c>
    </row>
    <row r="507" spans="1:21">
      <c r="A507" s="6" t="s">
        <v>1440</v>
      </c>
      <c r="B507" s="6" t="s">
        <v>80</v>
      </c>
      <c r="C507" s="7">
        <v>0.9411113676303603</v>
      </c>
      <c r="D507" s="7">
        <v>0.95145418605842558</v>
      </c>
      <c r="E507" s="7">
        <v>0.90318520569021143</v>
      </c>
      <c r="F507" s="8">
        <v>1.0090690823192092</v>
      </c>
      <c r="G507" s="8">
        <f t="shared" si="56"/>
        <v>0.94628277684439288</v>
      </c>
      <c r="H507" s="8">
        <f t="shared" si="57"/>
        <v>0.95612714400471033</v>
      </c>
      <c r="I507" s="8">
        <f t="shared" si="58"/>
        <v>1.0104031980727217</v>
      </c>
      <c r="J507" s="22">
        <f t="shared" si="59"/>
        <v>1.4931110584455084E-2</v>
      </c>
      <c r="K507" s="8"/>
      <c r="L507" s="8">
        <v>1.23401186796536</v>
      </c>
      <c r="M507" s="8">
        <v>1.0281017467511468</v>
      </c>
      <c r="N507" s="8">
        <v>1.6058073383084304</v>
      </c>
      <c r="O507" s="8">
        <v>1.1028618253656244</v>
      </c>
      <c r="P507" s="8">
        <f t="shared" si="60"/>
        <v>1.1310568073582534</v>
      </c>
      <c r="Q507" s="8">
        <f t="shared" si="61"/>
        <v>1.3543345818370274</v>
      </c>
      <c r="R507" s="8">
        <f t="shared" si="62"/>
        <v>1.1974063309872751</v>
      </c>
      <c r="S507" s="22">
        <f t="shared" si="63"/>
        <v>0.25991280326365807</v>
      </c>
      <c r="T507" s="25"/>
      <c r="U507" s="1">
        <v>0</v>
      </c>
    </row>
    <row r="508" spans="1:21">
      <c r="A508" s="6" t="s">
        <v>1441</v>
      </c>
      <c r="B508" s="6" t="s">
        <v>80</v>
      </c>
      <c r="C508" s="7">
        <v>1.0747879636197053</v>
      </c>
      <c r="D508" s="7">
        <v>1.0771453486294107</v>
      </c>
      <c r="E508" s="7">
        <v>1.0184407073497199</v>
      </c>
      <c r="F508" s="8">
        <v>1.0268151299721833</v>
      </c>
      <c r="G508" s="8">
        <f t="shared" si="56"/>
        <v>1.075966656124558</v>
      </c>
      <c r="H508" s="8">
        <f t="shared" si="57"/>
        <v>1.0226279186609517</v>
      </c>
      <c r="I508" s="8">
        <f t="shared" si="58"/>
        <v>0.95042714645477677</v>
      </c>
      <c r="J508" s="22">
        <f t="shared" si="59"/>
        <v>-7.3352051366139759E-2</v>
      </c>
      <c r="K508" s="8"/>
      <c r="L508" s="8">
        <v>1.4026537278967885</v>
      </c>
      <c r="M508" s="8">
        <v>1.0986543077265585</v>
      </c>
      <c r="N508" s="8">
        <v>1.5711096495656272</v>
      </c>
      <c r="O508" s="8">
        <v>1.865266162392903</v>
      </c>
      <c r="P508" s="8">
        <f t="shared" si="60"/>
        <v>1.2506540178116734</v>
      </c>
      <c r="Q508" s="8">
        <f t="shared" si="61"/>
        <v>1.7181879059792651</v>
      </c>
      <c r="R508" s="8">
        <f t="shared" si="62"/>
        <v>1.3738315165577584</v>
      </c>
      <c r="S508" s="22">
        <f t="shared" si="63"/>
        <v>0.45820508630247381</v>
      </c>
      <c r="T508" s="25"/>
      <c r="U508" s="1">
        <v>0</v>
      </c>
    </row>
    <row r="509" spans="1:21">
      <c r="A509" s="6" t="s">
        <v>1442</v>
      </c>
      <c r="B509" s="6" t="s">
        <v>1443</v>
      </c>
      <c r="C509" s="7">
        <v>1.0920438488967965</v>
      </c>
      <c r="D509" s="7">
        <v>0.96678835700233479</v>
      </c>
      <c r="E509" s="7">
        <v>1.1436821982521366</v>
      </c>
      <c r="F509" s="8">
        <v>0.95365688481387056</v>
      </c>
      <c r="G509" s="8">
        <f t="shared" si="56"/>
        <v>1.0294161029495656</v>
      </c>
      <c r="H509" s="8">
        <f t="shared" si="57"/>
        <v>1.0486695415330036</v>
      </c>
      <c r="I509" s="8">
        <f t="shared" si="58"/>
        <v>1.0187032615171567</v>
      </c>
      <c r="J509" s="22">
        <f t="shared" si="59"/>
        <v>2.6733869479435058E-2</v>
      </c>
      <c r="K509" s="8"/>
      <c r="L509" s="8">
        <v>0.61244403629814825</v>
      </c>
      <c r="M509" s="8">
        <v>1.0419080522156552</v>
      </c>
      <c r="N509" s="8">
        <v>0.73802577803915737</v>
      </c>
      <c r="O509" s="8">
        <v>0.79501814976182628</v>
      </c>
      <c r="P509" s="8">
        <f t="shared" si="60"/>
        <v>0.82717604425690172</v>
      </c>
      <c r="Q509" s="8">
        <f t="shared" si="61"/>
        <v>0.76652196390049188</v>
      </c>
      <c r="R509" s="8">
        <f t="shared" si="62"/>
        <v>0.92667331122856833</v>
      </c>
      <c r="S509" s="22">
        <f t="shared" si="63"/>
        <v>-0.10986727312258573</v>
      </c>
      <c r="T509" s="25"/>
      <c r="U509" s="1" t="s">
        <v>1444</v>
      </c>
    </row>
    <row r="510" spans="1:21">
      <c r="A510" s="6" t="s">
        <v>1445</v>
      </c>
      <c r="B510" s="15" t="s">
        <v>1446</v>
      </c>
      <c r="C510" s="16">
        <v>1.0568790171822</v>
      </c>
      <c r="D510" s="16">
        <v>1.070374171053933</v>
      </c>
      <c r="E510" s="16">
        <v>1.0101537684278021</v>
      </c>
      <c r="F510" s="8">
        <v>0.938471244774296</v>
      </c>
      <c r="G510" s="8">
        <f t="shared" si="56"/>
        <v>1.0636265941180665</v>
      </c>
      <c r="H510" s="8">
        <f t="shared" si="57"/>
        <v>0.97431250660104907</v>
      </c>
      <c r="I510" s="8">
        <f t="shared" si="58"/>
        <v>0.9160287190909564</v>
      </c>
      <c r="J510" s="22">
        <f t="shared" si="59"/>
        <v>-0.12653526486143313</v>
      </c>
      <c r="K510" s="8"/>
      <c r="L510" s="8">
        <v>0.92710371073365294</v>
      </c>
      <c r="M510" s="8">
        <v>0.89744885605594016</v>
      </c>
      <c r="N510" s="8">
        <v>0.83571376969523981</v>
      </c>
      <c r="O510" s="8">
        <v>0.97290346077103496</v>
      </c>
      <c r="P510" s="8">
        <f t="shared" si="60"/>
        <v>0.91227628339479661</v>
      </c>
      <c r="Q510" s="8">
        <f t="shared" si="61"/>
        <v>0.90430861523313744</v>
      </c>
      <c r="R510" s="8">
        <f t="shared" si="62"/>
        <v>0.99126616760000641</v>
      </c>
      <c r="S510" s="22">
        <f t="shared" si="63"/>
        <v>-1.2655603451693526E-2</v>
      </c>
      <c r="T510" s="25"/>
      <c r="U510" s="1" t="s">
        <v>1447</v>
      </c>
    </row>
    <row r="511" spans="1:21">
      <c r="A511" s="6" t="s">
        <v>1448</v>
      </c>
      <c r="B511" s="6" t="s">
        <v>1449</v>
      </c>
      <c r="C511" s="7">
        <v>1.092910410821192</v>
      </c>
      <c r="D511" s="7">
        <v>1.0691104693894289</v>
      </c>
      <c r="E511" s="7">
        <v>0.9408312133771326</v>
      </c>
      <c r="F511" s="8">
        <v>0.92532869213978708</v>
      </c>
      <c r="G511" s="8">
        <f t="shared" si="56"/>
        <v>1.0810104401053104</v>
      </c>
      <c r="H511" s="8">
        <f t="shared" si="57"/>
        <v>0.9330799527584599</v>
      </c>
      <c r="I511" s="8">
        <f t="shared" si="58"/>
        <v>0.86315535737801075</v>
      </c>
      <c r="J511" s="22">
        <f t="shared" si="59"/>
        <v>-0.21230784469867423</v>
      </c>
      <c r="K511" s="8"/>
      <c r="L511" s="8">
        <v>0.60487796208965661</v>
      </c>
      <c r="M511" s="8">
        <v>0.65069039652502314</v>
      </c>
      <c r="N511" s="8">
        <v>0.85552284138581325</v>
      </c>
      <c r="O511" s="8">
        <v>0.99201099925678793</v>
      </c>
      <c r="P511" s="8">
        <f t="shared" si="60"/>
        <v>0.62778417930733987</v>
      </c>
      <c r="Q511" s="8">
        <f t="shared" si="61"/>
        <v>0.92376692032130059</v>
      </c>
      <c r="R511" s="8">
        <f t="shared" si="62"/>
        <v>1.4714721249275995</v>
      </c>
      <c r="S511" s="22">
        <f t="shared" si="63"/>
        <v>0.55726021260815761</v>
      </c>
      <c r="T511" s="25"/>
      <c r="U511" s="1" t="s">
        <v>1450</v>
      </c>
    </row>
    <row r="512" spans="1:21">
      <c r="A512" s="6" t="s">
        <v>1451</v>
      </c>
      <c r="B512" s="6" t="s">
        <v>1452</v>
      </c>
      <c r="C512" s="7">
        <v>1.0566215603785754</v>
      </c>
      <c r="D512" s="7">
        <v>1.1182628057729804</v>
      </c>
      <c r="E512" s="7">
        <v>0.97326289421687684</v>
      </c>
      <c r="F512" s="8">
        <v>1.0479204848007944</v>
      </c>
      <c r="G512" s="8">
        <f t="shared" si="56"/>
        <v>1.0874421830757779</v>
      </c>
      <c r="H512" s="8">
        <f t="shared" si="57"/>
        <v>1.0105916895088356</v>
      </c>
      <c r="I512" s="8">
        <f t="shared" si="58"/>
        <v>0.92932912226232167</v>
      </c>
      <c r="J512" s="22">
        <f t="shared" si="59"/>
        <v>-0.10573847678709038</v>
      </c>
      <c r="K512" s="8"/>
      <c r="L512" s="8">
        <v>0.76736311457692041</v>
      </c>
      <c r="M512" s="8">
        <v>0.92720651444413205</v>
      </c>
      <c r="N512" s="8">
        <v>0.76568212652364098</v>
      </c>
      <c r="O512" s="8">
        <v>0.76168159325476792</v>
      </c>
      <c r="P512" s="8">
        <f t="shared" si="60"/>
        <v>0.84728481451052629</v>
      </c>
      <c r="Q512" s="8">
        <f t="shared" si="61"/>
        <v>0.76368185988920445</v>
      </c>
      <c r="R512" s="8">
        <f t="shared" si="62"/>
        <v>0.9013283925433988</v>
      </c>
      <c r="S512" s="22">
        <f t="shared" si="63"/>
        <v>-0.14987525746571137</v>
      </c>
      <c r="T512" s="25"/>
      <c r="U512" s="1" t="s">
        <v>1453</v>
      </c>
    </row>
    <row r="513" spans="1:21">
      <c r="A513" s="6" t="s">
        <v>1454</v>
      </c>
      <c r="B513" s="6" t="s">
        <v>1455</v>
      </c>
      <c r="C513" s="7">
        <v>1.0802510714039373</v>
      </c>
      <c r="D513" s="7">
        <v>1.1400412264985653</v>
      </c>
      <c r="E513" s="7">
        <v>1.0375273569326446</v>
      </c>
      <c r="F513" s="8">
        <v>1.164906883812006</v>
      </c>
      <c r="G513" s="8">
        <f t="shared" si="56"/>
        <v>1.1101461489512512</v>
      </c>
      <c r="H513" s="8">
        <f t="shared" si="57"/>
        <v>1.1012171203723253</v>
      </c>
      <c r="I513" s="8">
        <f t="shared" si="58"/>
        <v>0.99195688911107693</v>
      </c>
      <c r="J513" s="22">
        <f t="shared" si="59"/>
        <v>-1.1650673082840944E-2</v>
      </c>
      <c r="K513" s="8"/>
      <c r="L513" s="8">
        <v>0.81739563471052434</v>
      </c>
      <c r="M513" s="8">
        <v>1.1064544803053766</v>
      </c>
      <c r="N513" s="8">
        <v>0.85030546276067287</v>
      </c>
      <c r="O513" s="8">
        <v>0.90320385820952931</v>
      </c>
      <c r="P513" s="8">
        <f t="shared" si="60"/>
        <v>0.96192505750795054</v>
      </c>
      <c r="Q513" s="8">
        <f t="shared" si="61"/>
        <v>0.87675466048510109</v>
      </c>
      <c r="R513" s="8">
        <f t="shared" si="62"/>
        <v>0.91145838612053676</v>
      </c>
      <c r="S513" s="22">
        <f t="shared" si="63"/>
        <v>-0.13375130533499766</v>
      </c>
      <c r="T513" s="25"/>
      <c r="U513" s="1" t="s">
        <v>1456</v>
      </c>
    </row>
    <row r="514" spans="1:21">
      <c r="A514" s="6" t="s">
        <v>1457</v>
      </c>
      <c r="B514" s="6" t="s">
        <v>1458</v>
      </c>
      <c r="C514" s="7">
        <v>1.0437361613288696</v>
      </c>
      <c r="D514" s="7">
        <v>1.0283890978421963</v>
      </c>
      <c r="E514" s="7">
        <v>0.96036703718284766</v>
      </c>
      <c r="F514" s="8">
        <v>1.073105466082469</v>
      </c>
      <c r="G514" s="8">
        <f t="shared" si="56"/>
        <v>1.0360626295855329</v>
      </c>
      <c r="H514" s="8">
        <f t="shared" si="57"/>
        <v>1.0167362516326583</v>
      </c>
      <c r="I514" s="8">
        <f t="shared" si="58"/>
        <v>0.98134632270193367</v>
      </c>
      <c r="J514" s="22">
        <f t="shared" si="59"/>
        <v>-2.7165733293307577E-2</v>
      </c>
      <c r="K514" s="8"/>
      <c r="L514" s="8">
        <v>0.79135943816953846</v>
      </c>
      <c r="M514" s="8">
        <v>0.90119293889377294</v>
      </c>
      <c r="N514" s="8">
        <v>0.81102666107872223</v>
      </c>
      <c r="O514" s="8">
        <v>0.85843891579964471</v>
      </c>
      <c r="P514" s="8">
        <f t="shared" si="60"/>
        <v>0.84627618853165565</v>
      </c>
      <c r="Q514" s="8">
        <f t="shared" si="61"/>
        <v>0.83473278843918353</v>
      </c>
      <c r="R514" s="8">
        <f t="shared" si="62"/>
        <v>0.98635977208279879</v>
      </c>
      <c r="S514" s="22">
        <f t="shared" si="63"/>
        <v>-1.9814133143492462E-2</v>
      </c>
      <c r="T514" s="25"/>
      <c r="U514" s="1" t="s">
        <v>1459</v>
      </c>
    </row>
    <row r="515" spans="1:21">
      <c r="A515" s="6" t="s">
        <v>1460</v>
      </c>
      <c r="B515" s="6" t="s">
        <v>1461</v>
      </c>
      <c r="C515" s="7">
        <v>1.0231835730785348</v>
      </c>
      <c r="D515" s="7">
        <v>1.0881351521595268</v>
      </c>
      <c r="E515" s="7">
        <v>0.98673161112924745</v>
      </c>
      <c r="F515" s="8">
        <v>1.1272407339596417</v>
      </c>
      <c r="G515" s="8">
        <f t="shared" si="56"/>
        <v>1.0556593626190307</v>
      </c>
      <c r="H515" s="8">
        <f t="shared" si="57"/>
        <v>1.0569861725444447</v>
      </c>
      <c r="I515" s="8">
        <f t="shared" si="58"/>
        <v>1.0012568542205909</v>
      </c>
      <c r="J515" s="22">
        <f t="shared" si="59"/>
        <v>1.8121188049805719E-3</v>
      </c>
      <c r="K515" s="8"/>
      <c r="L515" s="8">
        <v>0.70297730660661917</v>
      </c>
      <c r="M515" s="8">
        <v>0.8366855116669456</v>
      </c>
      <c r="N515" s="8">
        <v>0.87359278686800645</v>
      </c>
      <c r="O515" s="8">
        <v>0.87284861976407779</v>
      </c>
      <c r="P515" s="8">
        <f t="shared" si="60"/>
        <v>0.76983140913678239</v>
      </c>
      <c r="Q515" s="8">
        <f t="shared" si="61"/>
        <v>0.87322070331604218</v>
      </c>
      <c r="R515" s="8">
        <f t="shared" si="62"/>
        <v>1.1343012157625407</v>
      </c>
      <c r="S515" s="22">
        <f t="shared" si="63"/>
        <v>0.18180380146384145</v>
      </c>
      <c r="T515" s="25"/>
      <c r="U515" s="1" t="s">
        <v>1462</v>
      </c>
    </row>
    <row r="516" spans="1:21">
      <c r="A516" s="6" t="s">
        <v>1463</v>
      </c>
      <c r="B516" s="6" t="s">
        <v>1464</v>
      </c>
      <c r="C516" s="7">
        <v>1.0225933062604684</v>
      </c>
      <c r="D516" s="7">
        <v>0.94605359038773351</v>
      </c>
      <c r="E516" s="7">
        <v>0.9478943152862298</v>
      </c>
      <c r="F516" s="8">
        <v>0.99525859726381338</v>
      </c>
      <c r="G516" s="8">
        <f t="shared" si="56"/>
        <v>0.98432344832410101</v>
      </c>
      <c r="H516" s="8">
        <f t="shared" si="57"/>
        <v>0.97157645627502154</v>
      </c>
      <c r="I516" s="8">
        <f t="shared" si="58"/>
        <v>0.98704999655267545</v>
      </c>
      <c r="J516" s="22">
        <f t="shared" si="59"/>
        <v>-1.8804932240341195E-2</v>
      </c>
      <c r="K516" s="8"/>
      <c r="L516" s="8">
        <v>0.46572153841190866</v>
      </c>
      <c r="M516" s="8">
        <v>0.56079340755414209</v>
      </c>
      <c r="N516" s="8">
        <v>0.42125030183958106</v>
      </c>
      <c r="O516" s="8">
        <v>0.76497911171684818</v>
      </c>
      <c r="P516" s="8">
        <f t="shared" si="60"/>
        <v>0.51325747298302538</v>
      </c>
      <c r="Q516" s="8">
        <f t="shared" si="61"/>
        <v>0.59311470677821465</v>
      </c>
      <c r="R516" s="8">
        <f t="shared" si="62"/>
        <v>1.155589032792963</v>
      </c>
      <c r="S516" s="22">
        <f t="shared" si="63"/>
        <v>0.20862841707133953</v>
      </c>
      <c r="T516" s="25"/>
      <c r="U516" s="1" t="s">
        <v>1465</v>
      </c>
    </row>
    <row r="517" spans="1:21">
      <c r="A517" s="6" t="s">
        <v>1466</v>
      </c>
      <c r="B517" s="6" t="s">
        <v>1467</v>
      </c>
      <c r="C517" s="7">
        <v>0.89887589296743597</v>
      </c>
      <c r="D517" s="7">
        <v>0.89892569149657175</v>
      </c>
      <c r="E517" s="7">
        <v>0.99331298995883033</v>
      </c>
      <c r="F517" s="8">
        <v>0.98945020454492483</v>
      </c>
      <c r="G517" s="8">
        <f t="shared" si="56"/>
        <v>0.89890079223200381</v>
      </c>
      <c r="H517" s="8">
        <f t="shared" si="57"/>
        <v>0.99138159725187758</v>
      </c>
      <c r="I517" s="8">
        <f t="shared" si="58"/>
        <v>1.1028821042533965</v>
      </c>
      <c r="J517" s="22">
        <f t="shared" si="59"/>
        <v>0.14127857814629979</v>
      </c>
      <c r="K517" s="8"/>
      <c r="L517" s="8">
        <v>0.99286179686921994</v>
      </c>
      <c r="M517" s="8">
        <v>1.3649521995674154</v>
      </c>
      <c r="N517" s="8">
        <v>0.88932975816822646</v>
      </c>
      <c r="O517" s="8">
        <v>1.0255734131927559</v>
      </c>
      <c r="P517" s="8">
        <f t="shared" si="60"/>
        <v>1.1789069982183178</v>
      </c>
      <c r="Q517" s="8">
        <f t="shared" si="61"/>
        <v>0.95745158568049116</v>
      </c>
      <c r="R517" s="8">
        <f t="shared" si="62"/>
        <v>0.8121519230333587</v>
      </c>
      <c r="S517" s="22">
        <f t="shared" si="63"/>
        <v>-0.30017846833218881</v>
      </c>
      <c r="T517" s="25"/>
      <c r="U517" s="1" t="s">
        <v>1468</v>
      </c>
    </row>
    <row r="518" spans="1:21">
      <c r="A518" s="6" t="s">
        <v>1469</v>
      </c>
      <c r="B518" s="6" t="s">
        <v>1470</v>
      </c>
      <c r="C518" s="7">
        <v>1.1049480862492067</v>
      </c>
      <c r="D518" s="7">
        <v>0.9873030760634155</v>
      </c>
      <c r="E518" s="7">
        <v>0.88238648624360716</v>
      </c>
      <c r="F518" s="8">
        <v>1.0285373478809405</v>
      </c>
      <c r="G518" s="8">
        <f t="shared" ref="G518:G581" si="64">AVERAGE(C518:D518)</f>
        <v>1.046125581156311</v>
      </c>
      <c r="H518" s="8">
        <f t="shared" ref="H518:H581" si="65">AVERAGE(E518:F518)</f>
        <v>0.95546191706227379</v>
      </c>
      <c r="I518" s="8">
        <f t="shared" ref="I518:I581" si="66">H518/G518</f>
        <v>0.91333386189273358</v>
      </c>
      <c r="J518" s="22">
        <f t="shared" ref="J518:J581" si="67">LOG(I518,2)</f>
        <v>-0.13078577262680866</v>
      </c>
      <c r="K518" s="8"/>
      <c r="L518" s="8">
        <v>1.0616982367268692</v>
      </c>
      <c r="M518" s="8">
        <v>0.89577181895149427</v>
      </c>
      <c r="N518" s="8">
        <v>0.86650902889728754</v>
      </c>
      <c r="O518" s="8">
        <v>0.85175353590392022</v>
      </c>
      <c r="P518" s="8">
        <f t="shared" ref="P518:P581" si="68">AVERAGE(L518:M518)</f>
        <v>0.97873502783918176</v>
      </c>
      <c r="Q518" s="8">
        <f t="shared" ref="Q518:Q581" si="69">AVERAGE(N518:O518)</f>
        <v>0.85913128240060388</v>
      </c>
      <c r="R518" s="8">
        <f t="shared" ref="R518:R581" si="70">Q518/P518</f>
        <v>0.87779762444730824</v>
      </c>
      <c r="S518" s="22">
        <f t="shared" ref="S518:S581" si="71">LOG(R518,2)</f>
        <v>-0.18803972899913104</v>
      </c>
      <c r="T518" s="25"/>
      <c r="U518" s="1" t="s">
        <v>1471</v>
      </c>
    </row>
    <row r="519" spans="1:21">
      <c r="A519" s="6" t="s">
        <v>1472</v>
      </c>
      <c r="B519" s="6" t="s">
        <v>1473</v>
      </c>
      <c r="C519" s="7">
        <v>0.94919299949048275</v>
      </c>
      <c r="D519" s="7">
        <v>1.0525377450728464</v>
      </c>
      <c r="E519" s="7">
        <v>0.9418532474782646</v>
      </c>
      <c r="F519" s="8">
        <v>0.98009915065250885</v>
      </c>
      <c r="G519" s="8">
        <f t="shared" si="64"/>
        <v>1.0008653722816645</v>
      </c>
      <c r="H519" s="8">
        <f t="shared" si="65"/>
        <v>0.96097619906538667</v>
      </c>
      <c r="I519" s="8">
        <f t="shared" si="66"/>
        <v>0.9601453159226172</v>
      </c>
      <c r="J519" s="22">
        <f t="shared" si="67"/>
        <v>-5.8675323745918294E-2</v>
      </c>
      <c r="K519" s="8"/>
      <c r="L519" s="8">
        <v>0.82043689983354551</v>
      </c>
      <c r="M519" s="8">
        <v>0.92720651444413205</v>
      </c>
      <c r="N519" s="8">
        <v>0.74939372496222723</v>
      </c>
      <c r="O519" s="8">
        <v>0.83743417491105099</v>
      </c>
      <c r="P519" s="8">
        <f t="shared" si="68"/>
        <v>0.87382170713883878</v>
      </c>
      <c r="Q519" s="8">
        <f t="shared" si="69"/>
        <v>0.79341394993663905</v>
      </c>
      <c r="R519" s="8">
        <f t="shared" si="70"/>
        <v>0.90798150635845443</v>
      </c>
      <c r="S519" s="22">
        <f t="shared" si="71"/>
        <v>-0.13926518168467228</v>
      </c>
      <c r="T519" s="25"/>
      <c r="U519" s="1" t="s">
        <v>1474</v>
      </c>
    </row>
    <row r="520" spans="1:21">
      <c r="A520" s="6" t="s">
        <v>1475</v>
      </c>
      <c r="B520" s="6" t="s">
        <v>1476</v>
      </c>
      <c r="C520" s="7">
        <v>1.3606215305512628</v>
      </c>
      <c r="D520" s="7">
        <v>1.1533446728771268</v>
      </c>
      <c r="E520" s="7">
        <v>0.84879606610449032</v>
      </c>
      <c r="F520" s="8">
        <v>0.88326859469511798</v>
      </c>
      <c r="G520" s="8">
        <f t="shared" si="64"/>
        <v>1.2569831017141948</v>
      </c>
      <c r="H520" s="8">
        <f t="shared" si="65"/>
        <v>0.8660323303998041</v>
      </c>
      <c r="I520" s="8">
        <f t="shared" si="66"/>
        <v>0.68897690765990682</v>
      </c>
      <c r="J520" s="22">
        <f t="shared" si="67"/>
        <v>-0.53747246575001517</v>
      </c>
      <c r="K520" s="8"/>
      <c r="L520" s="8">
        <v>0.92728915372895915</v>
      </c>
      <c r="M520" s="8">
        <v>0.86418112000728009</v>
      </c>
      <c r="N520" s="8">
        <v>0.85713471445699474</v>
      </c>
      <c r="O520" s="8">
        <v>0.84633295761008964</v>
      </c>
      <c r="P520" s="8">
        <f t="shared" si="68"/>
        <v>0.89573513686811967</v>
      </c>
      <c r="Q520" s="8">
        <f t="shared" si="69"/>
        <v>0.85173383603354225</v>
      </c>
      <c r="R520" s="8">
        <f t="shared" si="70"/>
        <v>0.95087688422224326</v>
      </c>
      <c r="S520" s="22">
        <f t="shared" si="71"/>
        <v>-7.2669536157149717E-2</v>
      </c>
      <c r="T520" s="25"/>
      <c r="U520" s="1" t="s">
        <v>1477</v>
      </c>
    </row>
    <row r="521" spans="1:21">
      <c r="A521" s="6" t="s">
        <v>1478</v>
      </c>
      <c r="B521" s="6" t="s">
        <v>1479</v>
      </c>
      <c r="C521" s="7">
        <v>1.0160626946563289</v>
      </c>
      <c r="D521" s="7">
        <v>0.96809606817754312</v>
      </c>
      <c r="E521" s="7">
        <v>0.643998659597394</v>
      </c>
      <c r="F521" s="8">
        <v>0.64359217766688626</v>
      </c>
      <c r="G521" s="8">
        <f t="shared" si="64"/>
        <v>0.99207938141693597</v>
      </c>
      <c r="H521" s="8">
        <f t="shared" si="65"/>
        <v>0.64379541863214018</v>
      </c>
      <c r="I521" s="8">
        <f t="shared" si="66"/>
        <v>0.64893538832813991</v>
      </c>
      <c r="J521" s="22">
        <f t="shared" si="67"/>
        <v>-0.623853252377779</v>
      </c>
      <c r="K521" s="8"/>
      <c r="L521" s="8">
        <v>0.81517031876685042</v>
      </c>
      <c r="M521" s="8">
        <v>1.0281017467511468</v>
      </c>
      <c r="N521" s="8">
        <v>0.98396367453154387</v>
      </c>
      <c r="O521" s="8">
        <v>0.9285902332189695</v>
      </c>
      <c r="P521" s="8">
        <f t="shared" si="68"/>
        <v>0.92163603275899864</v>
      </c>
      <c r="Q521" s="8">
        <f t="shared" si="69"/>
        <v>0.95627695387525669</v>
      </c>
      <c r="R521" s="8">
        <f t="shared" si="70"/>
        <v>1.0375863354783963</v>
      </c>
      <c r="S521" s="22">
        <f t="shared" si="71"/>
        <v>5.3231385215585146E-2</v>
      </c>
      <c r="T521" s="25"/>
      <c r="U521" s="1" t="s">
        <v>1480</v>
      </c>
    </row>
    <row r="522" spans="1:21">
      <c r="A522" s="6" t="s">
        <v>1481</v>
      </c>
      <c r="B522" s="6" t="s">
        <v>1482</v>
      </c>
      <c r="C522" s="7">
        <v>0.4727095297576992</v>
      </c>
      <c r="D522" s="7">
        <v>0.5266366663044505</v>
      </c>
      <c r="E522" s="7">
        <v>0.40040301587534888</v>
      </c>
      <c r="F522" s="8">
        <v>0.32583969932263557</v>
      </c>
      <c r="G522" s="8">
        <f t="shared" si="64"/>
        <v>0.49967309803107485</v>
      </c>
      <c r="H522" s="8">
        <f t="shared" si="65"/>
        <v>0.36312135759899222</v>
      </c>
      <c r="I522" s="8">
        <f t="shared" si="66"/>
        <v>0.72671784618752799</v>
      </c>
      <c r="J522" s="22">
        <f t="shared" si="67"/>
        <v>-0.46053275951588962</v>
      </c>
      <c r="K522" s="8"/>
      <c r="L522" s="8">
        <v>0.92688117913928558</v>
      </c>
      <c r="M522" s="8">
        <v>0.89553781377412967</v>
      </c>
      <c r="N522" s="8">
        <v>0.86197033367053943</v>
      </c>
      <c r="O522" s="8">
        <v>0.98884899525205339</v>
      </c>
      <c r="P522" s="8">
        <f t="shared" si="68"/>
        <v>0.91120949645670768</v>
      </c>
      <c r="Q522" s="8">
        <f t="shared" si="69"/>
        <v>0.92540966446129636</v>
      </c>
      <c r="R522" s="8">
        <f t="shared" si="70"/>
        <v>1.0155838674419075</v>
      </c>
      <c r="S522" s="22">
        <f t="shared" si="71"/>
        <v>2.2309383057476768E-2</v>
      </c>
      <c r="T522" s="25"/>
      <c r="U522" s="1" t="s">
        <v>1483</v>
      </c>
    </row>
    <row r="523" spans="1:21">
      <c r="A523" s="6" t="s">
        <v>1484</v>
      </c>
      <c r="B523" s="6" t="s">
        <v>1485</v>
      </c>
      <c r="C523" s="7">
        <v>1.0242887535038507</v>
      </c>
      <c r="D523" s="7">
        <v>0.9360005607283195</v>
      </c>
      <c r="E523" s="7">
        <v>0.9186003442346744</v>
      </c>
      <c r="F523" s="8">
        <v>0.98609744572635549</v>
      </c>
      <c r="G523" s="8">
        <f t="shared" si="64"/>
        <v>0.98014465711608512</v>
      </c>
      <c r="H523" s="8">
        <f t="shared" si="65"/>
        <v>0.952348894980515</v>
      </c>
      <c r="I523" s="8">
        <f t="shared" si="66"/>
        <v>0.97164116344075724</v>
      </c>
      <c r="J523" s="22">
        <f t="shared" si="67"/>
        <v>-4.1504484047093337E-2</v>
      </c>
      <c r="K523" s="8"/>
      <c r="L523" s="8">
        <v>0.61615289620427161</v>
      </c>
      <c r="M523" s="8">
        <v>0.72533804810431424</v>
      </c>
      <c r="N523" s="8">
        <v>0.78888461520617548</v>
      </c>
      <c r="O523" s="8">
        <v>0.83323322673333222</v>
      </c>
      <c r="P523" s="8">
        <f t="shared" si="68"/>
        <v>0.67074547215429292</v>
      </c>
      <c r="Q523" s="8">
        <f t="shared" si="69"/>
        <v>0.81105892096975385</v>
      </c>
      <c r="R523" s="8">
        <f t="shared" si="70"/>
        <v>1.2091903033870712</v>
      </c>
      <c r="S523" s="22">
        <f t="shared" si="71"/>
        <v>0.27404131501484713</v>
      </c>
      <c r="T523" s="25"/>
      <c r="U523" s="1" t="s">
        <v>1486</v>
      </c>
    </row>
    <row r="524" spans="1:21">
      <c r="A524" s="6" t="s">
        <v>1487</v>
      </c>
      <c r="B524" s="6" t="s">
        <v>1488</v>
      </c>
      <c r="C524" s="7">
        <v>0.90059017851352252</v>
      </c>
      <c r="D524" s="7">
        <v>1.0447794970430047</v>
      </c>
      <c r="E524" s="7">
        <v>0.9545017332011918</v>
      </c>
      <c r="F524" s="8">
        <v>0.95217695611661146</v>
      </c>
      <c r="G524" s="8">
        <f t="shared" si="64"/>
        <v>0.97268483777826353</v>
      </c>
      <c r="H524" s="8">
        <f t="shared" si="65"/>
        <v>0.95333934465890158</v>
      </c>
      <c r="I524" s="8">
        <f t="shared" si="66"/>
        <v>0.9801112422359235</v>
      </c>
      <c r="J524" s="22">
        <f t="shared" si="67"/>
        <v>-2.8982591053330498E-2</v>
      </c>
      <c r="K524" s="8"/>
      <c r="L524" s="8">
        <v>0.7180723664245412</v>
      </c>
      <c r="M524" s="8">
        <v>1.1192077624717447</v>
      </c>
      <c r="N524" s="8">
        <v>0.82956320139731021</v>
      </c>
      <c r="O524" s="8">
        <v>0.90568828992753503</v>
      </c>
      <c r="P524" s="8">
        <f t="shared" si="68"/>
        <v>0.91864006444814295</v>
      </c>
      <c r="Q524" s="8">
        <f t="shared" si="69"/>
        <v>0.86762574566242257</v>
      </c>
      <c r="R524" s="8">
        <f t="shared" si="70"/>
        <v>0.94446756595972514</v>
      </c>
      <c r="S524" s="22">
        <f t="shared" si="71"/>
        <v>-8.2426841135022466E-2</v>
      </c>
      <c r="T524" s="25"/>
      <c r="U524" s="1" t="s">
        <v>1489</v>
      </c>
    </row>
    <row r="525" spans="1:21">
      <c r="A525" s="6" t="s">
        <v>1490</v>
      </c>
      <c r="B525" s="6" t="s">
        <v>1491</v>
      </c>
      <c r="C525" s="7">
        <v>0.97328090921498145</v>
      </c>
      <c r="D525" s="7">
        <v>0.96262002763135823</v>
      </c>
      <c r="E525" s="7">
        <v>0.99807814258321659</v>
      </c>
      <c r="F525" s="8">
        <v>0.97454614385925353</v>
      </c>
      <c r="G525" s="8">
        <f t="shared" si="64"/>
        <v>0.9679504684231699</v>
      </c>
      <c r="H525" s="8">
        <f t="shared" si="65"/>
        <v>0.98631214322123506</v>
      </c>
      <c r="I525" s="8">
        <f t="shared" si="66"/>
        <v>1.0189696429694146</v>
      </c>
      <c r="J525" s="22">
        <f t="shared" si="67"/>
        <v>2.7111071533307711E-2</v>
      </c>
      <c r="K525" s="8"/>
      <c r="L525" s="8">
        <v>0.79744196841558079</v>
      </c>
      <c r="M525" s="8">
        <v>0.81710707849411168</v>
      </c>
      <c r="N525" s="8">
        <v>0.79948904330605419</v>
      </c>
      <c r="O525" s="8">
        <v>0.88942655504604318</v>
      </c>
      <c r="P525" s="8">
        <f t="shared" si="68"/>
        <v>0.80727452345484618</v>
      </c>
      <c r="Q525" s="8">
        <f t="shared" si="69"/>
        <v>0.84445779917604868</v>
      </c>
      <c r="R525" s="8">
        <f t="shared" si="70"/>
        <v>1.0460602615849579</v>
      </c>
      <c r="S525" s="22">
        <f t="shared" si="71"/>
        <v>6.4965964955339239E-2</v>
      </c>
      <c r="T525" s="25"/>
      <c r="U525" s="1" t="s">
        <v>1492</v>
      </c>
    </row>
    <row r="526" spans="1:21">
      <c r="A526" s="6" t="s">
        <v>1493</v>
      </c>
      <c r="B526" s="6" t="s">
        <v>1494</v>
      </c>
      <c r="C526" s="7">
        <v>1.0225744679577642</v>
      </c>
      <c r="D526" s="7">
        <v>1.0231959755791094</v>
      </c>
      <c r="E526" s="7">
        <v>0.99309816750445223</v>
      </c>
      <c r="F526" s="8">
        <v>0.98058372907550517</v>
      </c>
      <c r="G526" s="8">
        <f t="shared" si="64"/>
        <v>1.0228852217684368</v>
      </c>
      <c r="H526" s="8">
        <f t="shared" si="65"/>
        <v>0.9868409482899787</v>
      </c>
      <c r="I526" s="8">
        <f t="shared" si="66"/>
        <v>0.96476215247675379</v>
      </c>
      <c r="J526" s="22">
        <f t="shared" si="67"/>
        <v>-5.1754783322154052E-2</v>
      </c>
      <c r="K526" s="8"/>
      <c r="L526" s="8">
        <v>0.79781285440619309</v>
      </c>
      <c r="M526" s="8">
        <v>1.045652135053488</v>
      </c>
      <c r="N526" s="8">
        <v>0.83859817413840687</v>
      </c>
      <c r="O526" s="8">
        <v>1.0246699834771176</v>
      </c>
      <c r="P526" s="8">
        <f t="shared" si="68"/>
        <v>0.92173249472984053</v>
      </c>
      <c r="Q526" s="8">
        <f t="shared" si="69"/>
        <v>0.93163407880776217</v>
      </c>
      <c r="R526" s="8">
        <f t="shared" si="70"/>
        <v>1.0107423619483262</v>
      </c>
      <c r="S526" s="22">
        <f t="shared" si="71"/>
        <v>1.541530138758666E-2</v>
      </c>
      <c r="T526" s="25"/>
      <c r="U526" s="1" t="s">
        <v>1495</v>
      </c>
    </row>
    <row r="527" spans="1:21">
      <c r="A527" s="6" t="s">
        <v>1496</v>
      </c>
      <c r="B527" s="6" t="s">
        <v>1497</v>
      </c>
      <c r="C527" s="7">
        <v>1.0640250133413449</v>
      </c>
      <c r="D527" s="7">
        <v>1.0392657340590734</v>
      </c>
      <c r="E527" s="7">
        <v>1.1437668252796189</v>
      </c>
      <c r="F527" s="8">
        <v>1.0173789474378896</v>
      </c>
      <c r="G527" s="8">
        <f t="shared" si="64"/>
        <v>1.0516453737002092</v>
      </c>
      <c r="H527" s="8">
        <f t="shared" si="65"/>
        <v>1.0805728863587543</v>
      </c>
      <c r="I527" s="8">
        <f t="shared" si="66"/>
        <v>1.0275069081098733</v>
      </c>
      <c r="J527" s="22">
        <f t="shared" si="67"/>
        <v>3.9148093432363078E-2</v>
      </c>
      <c r="K527" s="8"/>
      <c r="L527" s="8">
        <v>0.77385361941263631</v>
      </c>
      <c r="M527" s="8">
        <v>0.81059393439079841</v>
      </c>
      <c r="N527" s="8">
        <v>0.77017840403798954</v>
      </c>
      <c r="O527" s="8">
        <v>0.83513042913617297</v>
      </c>
      <c r="P527" s="8">
        <f t="shared" si="68"/>
        <v>0.7922237769017173</v>
      </c>
      <c r="Q527" s="8">
        <f t="shared" si="69"/>
        <v>0.80265441658708125</v>
      </c>
      <c r="R527" s="8">
        <f t="shared" si="70"/>
        <v>1.0131662795153118</v>
      </c>
      <c r="S527" s="22">
        <f t="shared" si="71"/>
        <v>1.8870966780509622E-2</v>
      </c>
      <c r="T527" s="25"/>
      <c r="U527" s="1" t="s">
        <v>1498</v>
      </c>
    </row>
    <row r="528" spans="1:21">
      <c r="A528" s="6" t="s">
        <v>1499</v>
      </c>
      <c r="B528" s="6" t="s">
        <v>1500</v>
      </c>
      <c r="C528" s="7">
        <v>1.0728538978754025</v>
      </c>
      <c r="D528" s="7">
        <v>1.0226490002317867</v>
      </c>
      <c r="E528" s="7">
        <v>1.0408473403184875</v>
      </c>
      <c r="F528" s="8">
        <v>1.0478746463013218</v>
      </c>
      <c r="G528" s="8">
        <f t="shared" si="64"/>
        <v>1.0477514490535946</v>
      </c>
      <c r="H528" s="8">
        <f t="shared" si="65"/>
        <v>1.0443609933099047</v>
      </c>
      <c r="I528" s="8">
        <f t="shared" si="66"/>
        <v>0.9967640648488223</v>
      </c>
      <c r="J528" s="22">
        <f t="shared" si="67"/>
        <v>-4.6760373590268517E-3</v>
      </c>
      <c r="K528" s="8"/>
      <c r="L528" s="8">
        <v>1.0573217820376437</v>
      </c>
      <c r="M528" s="8">
        <v>0.63477804446423369</v>
      </c>
      <c r="N528" s="8">
        <v>0.81484425519467851</v>
      </c>
      <c r="O528" s="8">
        <v>0.77432960927370598</v>
      </c>
      <c r="P528" s="8">
        <f t="shared" si="68"/>
        <v>0.8460499132509387</v>
      </c>
      <c r="Q528" s="8">
        <f t="shared" si="69"/>
        <v>0.7945869322341923</v>
      </c>
      <c r="R528" s="8">
        <f t="shared" si="70"/>
        <v>0.93917264193196315</v>
      </c>
      <c r="S528" s="22">
        <f t="shared" si="71"/>
        <v>-9.0537711486192246E-2</v>
      </c>
      <c r="T528" s="25"/>
      <c r="U528" s="1" t="s">
        <v>1501</v>
      </c>
    </row>
    <row r="529" spans="1:21">
      <c r="A529" s="6" t="s">
        <v>1502</v>
      </c>
      <c r="B529" s="6" t="s">
        <v>1503</v>
      </c>
      <c r="C529" s="7">
        <v>0.9566780850983041</v>
      </c>
      <c r="D529" s="7">
        <v>1.0480927844917296</v>
      </c>
      <c r="E529" s="7">
        <v>1.0015283213959554</v>
      </c>
      <c r="F529" s="8">
        <v>1.0437295362775827</v>
      </c>
      <c r="G529" s="8">
        <f t="shared" si="64"/>
        <v>1.0023854347950167</v>
      </c>
      <c r="H529" s="8">
        <f t="shared" si="65"/>
        <v>1.0226289288367689</v>
      </c>
      <c r="I529" s="8">
        <f t="shared" si="66"/>
        <v>1.0201953194241014</v>
      </c>
      <c r="J529" s="22">
        <f t="shared" si="67"/>
        <v>2.8845386891281164E-2</v>
      </c>
      <c r="K529" s="8"/>
      <c r="L529" s="8">
        <v>0.83167474534909924</v>
      </c>
      <c r="M529" s="8">
        <v>0.95396110638947884</v>
      </c>
      <c r="N529" s="8">
        <v>0.93548022925889851</v>
      </c>
      <c r="O529" s="8">
        <v>0.9620171326975917</v>
      </c>
      <c r="P529" s="8">
        <f t="shared" si="68"/>
        <v>0.89281792586928899</v>
      </c>
      <c r="Q529" s="8">
        <f t="shared" si="69"/>
        <v>0.94874868097824505</v>
      </c>
      <c r="R529" s="8">
        <f t="shared" si="70"/>
        <v>1.062645197288685</v>
      </c>
      <c r="S529" s="22">
        <f t="shared" si="71"/>
        <v>8.7659981105940407E-2</v>
      </c>
      <c r="T529" s="25"/>
      <c r="U529" s="1" t="s">
        <v>1504</v>
      </c>
    </row>
    <row r="530" spans="1:21">
      <c r="A530" s="6" t="s">
        <v>1505</v>
      </c>
      <c r="B530" s="6" t="s">
        <v>1506</v>
      </c>
      <c r="C530" s="7">
        <v>1.0210799626098939</v>
      </c>
      <c r="D530" s="7">
        <v>1.0287977575844489</v>
      </c>
      <c r="E530" s="7">
        <v>1.0618739017621595</v>
      </c>
      <c r="F530" s="8">
        <v>1.0630144478414236</v>
      </c>
      <c r="G530" s="8">
        <f t="shared" si="64"/>
        <v>1.0249388600971714</v>
      </c>
      <c r="H530" s="8">
        <f t="shared" si="65"/>
        <v>1.0624441748017914</v>
      </c>
      <c r="I530" s="8">
        <f t="shared" si="66"/>
        <v>1.036592733639804</v>
      </c>
      <c r="J530" s="22">
        <f t="shared" si="67"/>
        <v>5.1849185793997096E-2</v>
      </c>
      <c r="K530" s="8"/>
      <c r="L530" s="8">
        <v>0.74177198122466936</v>
      </c>
      <c r="M530" s="8">
        <v>0.73161718703026302</v>
      </c>
      <c r="N530" s="8">
        <v>1.2247690278235892</v>
      </c>
      <c r="O530" s="8">
        <v>1.0051559016193272</v>
      </c>
      <c r="P530" s="8">
        <f t="shared" si="68"/>
        <v>0.73669458412746613</v>
      </c>
      <c r="Q530" s="8">
        <f t="shared" si="69"/>
        <v>1.1149624647214582</v>
      </c>
      <c r="R530" s="8">
        <f t="shared" si="70"/>
        <v>1.5134663519238558</v>
      </c>
      <c r="S530" s="22">
        <f t="shared" si="71"/>
        <v>0.59785660086598147</v>
      </c>
      <c r="T530" s="25"/>
      <c r="U530" s="1" t="s">
        <v>1507</v>
      </c>
    </row>
    <row r="531" spans="1:21">
      <c r="A531" s="6" t="s">
        <v>1508</v>
      </c>
      <c r="B531" s="6" t="s">
        <v>80</v>
      </c>
      <c r="C531" s="7">
        <v>0.91139080539729145</v>
      </c>
      <c r="D531" s="7">
        <v>0.98893771503242589</v>
      </c>
      <c r="E531" s="7">
        <v>0.97750075536233516</v>
      </c>
      <c r="F531" s="8">
        <v>0.93877246919940183</v>
      </c>
      <c r="G531" s="8">
        <f t="shared" si="64"/>
        <v>0.95016426021485867</v>
      </c>
      <c r="H531" s="8">
        <f t="shared" si="65"/>
        <v>0.95813661228086855</v>
      </c>
      <c r="I531" s="8">
        <f t="shared" si="66"/>
        <v>1.0083904987798711</v>
      </c>
      <c r="J531" s="22">
        <f t="shared" si="67"/>
        <v>1.2054430064605376E-2</v>
      </c>
      <c r="K531" s="8"/>
      <c r="L531" s="8">
        <v>1.0682258301616463</v>
      </c>
      <c r="M531" s="8">
        <v>0.87802642633468264</v>
      </c>
      <c r="N531" s="8">
        <v>1.3641960484807942</v>
      </c>
      <c r="O531" s="8">
        <v>1.1675022215195547</v>
      </c>
      <c r="P531" s="8">
        <f t="shared" si="68"/>
        <v>0.97312612824816447</v>
      </c>
      <c r="Q531" s="8">
        <f t="shared" si="69"/>
        <v>1.2658491350001744</v>
      </c>
      <c r="R531" s="8">
        <f t="shared" si="70"/>
        <v>1.30080685150133</v>
      </c>
      <c r="S531" s="22">
        <f t="shared" si="71"/>
        <v>0.37940676138855478</v>
      </c>
      <c r="T531" s="25"/>
      <c r="U531" s="1">
        <v>0</v>
      </c>
    </row>
    <row r="532" spans="1:21">
      <c r="A532" s="6" t="s">
        <v>1509</v>
      </c>
      <c r="B532" s="6" t="s">
        <v>80</v>
      </c>
      <c r="C532" s="7">
        <v>0.98142533541745136</v>
      </c>
      <c r="D532" s="7">
        <v>0.99928623712085329</v>
      </c>
      <c r="E532" s="7">
        <v>0.9857030672567707</v>
      </c>
      <c r="F532" s="8">
        <v>0.96722508065776824</v>
      </c>
      <c r="G532" s="8">
        <f t="shared" si="64"/>
        <v>0.99035578626915233</v>
      </c>
      <c r="H532" s="8">
        <f t="shared" si="65"/>
        <v>0.97646407395726942</v>
      </c>
      <c r="I532" s="8">
        <f t="shared" si="66"/>
        <v>0.98597300838296154</v>
      </c>
      <c r="J532" s="22">
        <f t="shared" si="67"/>
        <v>-2.0379942406948858E-2</v>
      </c>
      <c r="K532" s="8"/>
      <c r="L532" s="8">
        <v>1.4079203089634837</v>
      </c>
      <c r="M532" s="8">
        <v>1.0494352187542149</v>
      </c>
      <c r="N532" s="8">
        <v>1.5789145086471379</v>
      </c>
      <c r="O532" s="8">
        <v>1.7516147041655874</v>
      </c>
      <c r="P532" s="8">
        <f t="shared" si="68"/>
        <v>1.2286777638588493</v>
      </c>
      <c r="Q532" s="8">
        <f t="shared" si="69"/>
        <v>1.6652646064063625</v>
      </c>
      <c r="R532" s="8">
        <f t="shared" si="70"/>
        <v>1.3553306289000835</v>
      </c>
      <c r="S532" s="22">
        <f t="shared" si="71"/>
        <v>0.43864483570374402</v>
      </c>
      <c r="T532" s="25"/>
      <c r="U532" s="1">
        <v>0</v>
      </c>
    </row>
    <row r="533" spans="1:21">
      <c r="A533" s="6" t="s">
        <v>1510</v>
      </c>
      <c r="B533" s="6" t="s">
        <v>1511</v>
      </c>
      <c r="C533" s="7">
        <v>0.98541277615651723</v>
      </c>
      <c r="D533" s="7">
        <v>0.99724922548254802</v>
      </c>
      <c r="E533" s="7">
        <v>0.7165630807777692</v>
      </c>
      <c r="F533" s="8">
        <v>0.97576413827381181</v>
      </c>
      <c r="G533" s="8">
        <f t="shared" si="64"/>
        <v>0.99133100081953263</v>
      </c>
      <c r="H533" s="8">
        <f t="shared" si="65"/>
        <v>0.84616360952579051</v>
      </c>
      <c r="I533" s="8">
        <f t="shared" si="66"/>
        <v>0.85356314775414832</v>
      </c>
      <c r="J533" s="22">
        <f t="shared" si="67"/>
        <v>-0.22843020515900009</v>
      </c>
      <c r="K533" s="8"/>
      <c r="L533" s="8">
        <v>0.95614408379859883</v>
      </c>
      <c r="M533" s="8">
        <v>0.70638362873778582</v>
      </c>
      <c r="N533" s="8">
        <v>0.67338118434229688</v>
      </c>
      <c r="O533" s="8">
        <v>0.64089304027390859</v>
      </c>
      <c r="P533" s="8">
        <f t="shared" si="68"/>
        <v>0.83126385626819232</v>
      </c>
      <c r="Q533" s="8">
        <f t="shared" si="69"/>
        <v>0.65713711230810268</v>
      </c>
      <c r="R533" s="8">
        <f t="shared" si="70"/>
        <v>0.79052770952679219</v>
      </c>
      <c r="S533" s="22">
        <f t="shared" si="71"/>
        <v>-0.33911206216297596</v>
      </c>
      <c r="T533" s="25"/>
      <c r="U533" s="1" t="s">
        <v>1512</v>
      </c>
    </row>
    <row r="534" spans="1:21">
      <c r="A534" s="6" t="s">
        <v>1513</v>
      </c>
      <c r="B534" s="6" t="s">
        <v>1514</v>
      </c>
      <c r="C534" s="7">
        <v>0.97928404834340188</v>
      </c>
      <c r="D534" s="7">
        <v>0.9666751896890956</v>
      </c>
      <c r="E534" s="7">
        <v>1.005727123913345</v>
      </c>
      <c r="F534" s="8">
        <v>0.94306164307862628</v>
      </c>
      <c r="G534" s="8">
        <f t="shared" si="64"/>
        <v>0.97297961901624874</v>
      </c>
      <c r="H534" s="8">
        <f t="shared" si="65"/>
        <v>0.97439438349598562</v>
      </c>
      <c r="I534" s="8">
        <f t="shared" si="66"/>
        <v>1.0014540535609238</v>
      </c>
      <c r="J534" s="22">
        <f t="shared" si="67"/>
        <v>2.0962322136397131E-3</v>
      </c>
      <c r="K534" s="8"/>
      <c r="L534" s="8">
        <v>0.69444692882253545</v>
      </c>
      <c r="M534" s="8">
        <v>1.0024001781039404</v>
      </c>
      <c r="N534" s="8">
        <v>0.78273404690824588</v>
      </c>
      <c r="O534" s="8">
        <v>0.8428095817190997</v>
      </c>
      <c r="P534" s="8">
        <f t="shared" si="68"/>
        <v>0.84842355346323794</v>
      </c>
      <c r="Q534" s="8">
        <f t="shared" si="69"/>
        <v>0.81277181431367285</v>
      </c>
      <c r="R534" s="8">
        <f t="shared" si="70"/>
        <v>0.95797884322749427</v>
      </c>
      <c r="S534" s="22">
        <f t="shared" si="71"/>
        <v>-6.1934300207553382E-2</v>
      </c>
      <c r="T534" s="25"/>
      <c r="U534" s="1" t="s">
        <v>1515</v>
      </c>
    </row>
    <row r="535" spans="1:21">
      <c r="A535" s="6" t="s">
        <v>1516</v>
      </c>
      <c r="B535" s="6" t="s">
        <v>1517</v>
      </c>
      <c r="C535" s="7">
        <v>1.1137895296517337</v>
      </c>
      <c r="D535" s="7">
        <v>0.97380473042316407</v>
      </c>
      <c r="E535" s="7">
        <v>0.95571906044266752</v>
      </c>
      <c r="F535" s="8">
        <v>1.0030707872453626</v>
      </c>
      <c r="G535" s="8">
        <f t="shared" si="64"/>
        <v>1.0437971300374489</v>
      </c>
      <c r="H535" s="8">
        <f t="shared" si="65"/>
        <v>0.97939492384401505</v>
      </c>
      <c r="I535" s="8">
        <f t="shared" si="66"/>
        <v>0.93830007351033506</v>
      </c>
      <c r="J535" s="22">
        <f t="shared" si="67"/>
        <v>-9.1878716567120294E-2</v>
      </c>
      <c r="K535" s="8"/>
      <c r="L535" s="8">
        <v>0.61926833852541519</v>
      </c>
      <c r="M535" s="8">
        <v>1.1668278160654304</v>
      </c>
      <c r="N535" s="8">
        <v>0.85391096831463165</v>
      </c>
      <c r="O535" s="8">
        <v>0.74176096802494029</v>
      </c>
      <c r="P535" s="8">
        <f t="shared" si="68"/>
        <v>0.89304807729542279</v>
      </c>
      <c r="Q535" s="8">
        <f t="shared" si="69"/>
        <v>0.79783596816978597</v>
      </c>
      <c r="R535" s="8">
        <f t="shared" si="70"/>
        <v>0.89338523698076289</v>
      </c>
      <c r="S535" s="22">
        <f t="shared" si="71"/>
        <v>-0.16264568030732837</v>
      </c>
      <c r="T535" s="25"/>
      <c r="U535" s="1" t="s">
        <v>1518</v>
      </c>
    </row>
    <row r="536" spans="1:21">
      <c r="A536" s="6" t="s">
        <v>1519</v>
      </c>
      <c r="B536" s="11" t="s">
        <v>1520</v>
      </c>
      <c r="C536" s="12">
        <v>0.9807722742570375</v>
      </c>
      <c r="D536" s="12">
        <v>1.1311575924092894</v>
      </c>
      <c r="E536" s="12">
        <v>0.98154332336744976</v>
      </c>
      <c r="F536" s="8">
        <v>0.99738681331075674</v>
      </c>
      <c r="G536" s="8">
        <f t="shared" si="64"/>
        <v>1.0559649333331635</v>
      </c>
      <c r="H536" s="8">
        <f t="shared" si="65"/>
        <v>0.9894650683391033</v>
      </c>
      <c r="I536" s="8">
        <f t="shared" si="66"/>
        <v>0.93702455176787658</v>
      </c>
      <c r="J536" s="22">
        <f t="shared" si="67"/>
        <v>-9.3841245242267779E-2</v>
      </c>
      <c r="K536" s="8"/>
      <c r="L536" s="8">
        <v>1.0103676156261221</v>
      </c>
      <c r="M536" s="8">
        <v>1.4888579409819442</v>
      </c>
      <c r="N536" s="8">
        <v>0.91838589116189406</v>
      </c>
      <c r="O536" s="8">
        <v>0.99286925748664445</v>
      </c>
      <c r="P536" s="8">
        <f t="shared" si="68"/>
        <v>1.2496127783040332</v>
      </c>
      <c r="Q536" s="8">
        <f t="shared" si="69"/>
        <v>0.95562757432426926</v>
      </c>
      <c r="R536" s="8">
        <f t="shared" si="70"/>
        <v>0.7647389582725308</v>
      </c>
      <c r="S536" s="22">
        <f t="shared" si="71"/>
        <v>-0.38696072338889809</v>
      </c>
      <c r="T536" s="25"/>
      <c r="U536" s="1" t="s">
        <v>1521</v>
      </c>
    </row>
    <row r="537" spans="1:21">
      <c r="A537" s="6" t="s">
        <v>1522</v>
      </c>
      <c r="B537" s="6" t="s">
        <v>1523</v>
      </c>
      <c r="C537" s="7">
        <v>1.0299151265781861</v>
      </c>
      <c r="D537" s="7">
        <v>1.0196940759416526</v>
      </c>
      <c r="E537" s="7">
        <v>1.1225254413815688</v>
      </c>
      <c r="F537" s="8">
        <v>1.0741008163567318</v>
      </c>
      <c r="G537" s="8">
        <f t="shared" si="64"/>
        <v>1.0248046012599192</v>
      </c>
      <c r="H537" s="8">
        <f t="shared" si="65"/>
        <v>1.0983131288691503</v>
      </c>
      <c r="I537" s="8">
        <f t="shared" si="66"/>
        <v>1.071729310659669</v>
      </c>
      <c r="J537" s="22">
        <f t="shared" si="67"/>
        <v>9.9940566726334959E-2</v>
      </c>
      <c r="K537" s="8"/>
      <c r="L537" s="8">
        <v>0.89157283283299138</v>
      </c>
      <c r="M537" s="8">
        <v>0.73005715251449932</v>
      </c>
      <c r="N537" s="8">
        <v>1.0850450831795875</v>
      </c>
      <c r="O537" s="8">
        <v>0.88156671651998875</v>
      </c>
      <c r="P537" s="8">
        <f t="shared" si="68"/>
        <v>0.81081499267374535</v>
      </c>
      <c r="Q537" s="8">
        <f t="shared" si="69"/>
        <v>0.98330589984978811</v>
      </c>
      <c r="R537" s="8">
        <f t="shared" si="70"/>
        <v>1.2127376882946335</v>
      </c>
      <c r="S537" s="22">
        <f t="shared" si="71"/>
        <v>0.2782675333761141</v>
      </c>
      <c r="T537" s="25"/>
      <c r="U537" s="1" t="s">
        <v>1524</v>
      </c>
    </row>
    <row r="538" spans="1:21">
      <c r="A538" s="6" t="s">
        <v>1525</v>
      </c>
      <c r="B538" s="6" t="s">
        <v>1526</v>
      </c>
      <c r="C538" s="7">
        <v>0.92359174611540951</v>
      </c>
      <c r="D538" s="7">
        <v>1.0421577876196302</v>
      </c>
      <c r="E538" s="7">
        <v>1.0327622043082583</v>
      </c>
      <c r="F538" s="8">
        <v>1.0327151996900172</v>
      </c>
      <c r="G538" s="8">
        <f t="shared" si="64"/>
        <v>0.98287476686751984</v>
      </c>
      <c r="H538" s="8">
        <f t="shared" si="65"/>
        <v>1.0327387019991376</v>
      </c>
      <c r="I538" s="8">
        <f t="shared" si="66"/>
        <v>1.0507327452209778</v>
      </c>
      <c r="J538" s="22">
        <f t="shared" si="67"/>
        <v>7.1395765232669814E-2</v>
      </c>
      <c r="K538" s="8"/>
      <c r="L538" s="8">
        <v>0.72126198594380719</v>
      </c>
      <c r="M538" s="8">
        <v>1.0206135810754813</v>
      </c>
      <c r="N538" s="8">
        <v>0.84763314687950342</v>
      </c>
      <c r="O538" s="8">
        <v>0.8127705436741216</v>
      </c>
      <c r="P538" s="8">
        <f t="shared" si="68"/>
        <v>0.87093778350964424</v>
      </c>
      <c r="Q538" s="8">
        <f t="shared" si="69"/>
        <v>0.83020184527681251</v>
      </c>
      <c r="R538" s="8">
        <f t="shared" si="70"/>
        <v>0.95322749913469496</v>
      </c>
      <c r="S538" s="22">
        <f t="shared" si="71"/>
        <v>-6.9107523244829563E-2</v>
      </c>
      <c r="T538" s="25"/>
      <c r="U538" s="1" t="s">
        <v>1527</v>
      </c>
    </row>
    <row r="539" spans="1:21">
      <c r="A539" s="6" t="s">
        <v>1528</v>
      </c>
      <c r="B539" s="6" t="s">
        <v>1529</v>
      </c>
      <c r="C539" s="7">
        <v>1.0489292534410073</v>
      </c>
      <c r="D539" s="7">
        <v>1.0170786535912359</v>
      </c>
      <c r="E539" s="7">
        <v>0.92456329478650212</v>
      </c>
      <c r="F539" s="8">
        <v>1.0356619603704003</v>
      </c>
      <c r="G539" s="8">
        <f t="shared" si="64"/>
        <v>1.0330039535161215</v>
      </c>
      <c r="H539" s="8">
        <f t="shared" si="65"/>
        <v>0.98011262757845119</v>
      </c>
      <c r="I539" s="8">
        <f t="shared" si="66"/>
        <v>0.94879852515797281</v>
      </c>
      <c r="J539" s="22">
        <f t="shared" si="67"/>
        <v>-7.5826327571882138E-2</v>
      </c>
      <c r="K539" s="8"/>
      <c r="L539" s="8">
        <v>0.8154670275593402</v>
      </c>
      <c r="M539" s="8">
        <v>0.87038225720744067</v>
      </c>
      <c r="N539" s="8">
        <v>1.0304110696090125</v>
      </c>
      <c r="O539" s="8">
        <v>1.2503467264435995</v>
      </c>
      <c r="P539" s="8">
        <f t="shared" si="68"/>
        <v>0.84292464238339049</v>
      </c>
      <c r="Q539" s="8">
        <f t="shared" si="69"/>
        <v>1.1403788980263059</v>
      </c>
      <c r="R539" s="8">
        <f t="shared" si="70"/>
        <v>1.3528835683363771</v>
      </c>
      <c r="S539" s="22">
        <f t="shared" si="71"/>
        <v>0.436037683651745</v>
      </c>
      <c r="T539" s="25"/>
      <c r="U539" s="1" t="s">
        <v>1530</v>
      </c>
    </row>
    <row r="540" spans="1:21">
      <c r="A540" s="6" t="s">
        <v>1531</v>
      </c>
      <c r="B540" s="6" t="s">
        <v>1532</v>
      </c>
      <c r="C540" s="7">
        <v>0.87537197062676897</v>
      </c>
      <c r="D540" s="7">
        <v>0.87758736587802821</v>
      </c>
      <c r="E540" s="7">
        <v>0.91610059203827499</v>
      </c>
      <c r="F540" s="8">
        <v>1.0043608135876636</v>
      </c>
      <c r="G540" s="8">
        <f t="shared" si="64"/>
        <v>0.87647966825239854</v>
      </c>
      <c r="H540" s="8">
        <f t="shared" si="65"/>
        <v>0.96023070281296929</v>
      </c>
      <c r="I540" s="8">
        <f t="shared" si="66"/>
        <v>1.0955538817318613</v>
      </c>
      <c r="J540" s="22">
        <f t="shared" si="67"/>
        <v>0.13166044096504387</v>
      </c>
      <c r="K540" s="8"/>
      <c r="L540" s="8">
        <v>0.90307029854197374</v>
      </c>
      <c r="M540" s="8">
        <v>1.1038024216285784</v>
      </c>
      <c r="N540" s="8">
        <v>0.83702871877962481</v>
      </c>
      <c r="O540" s="8">
        <v>0.85758065756978819</v>
      </c>
      <c r="P540" s="8">
        <f t="shared" si="68"/>
        <v>1.003436360085276</v>
      </c>
      <c r="Q540" s="8">
        <f t="shared" si="69"/>
        <v>0.8473046881747065</v>
      </c>
      <c r="R540" s="8">
        <f t="shared" si="70"/>
        <v>0.84440301535684748</v>
      </c>
      <c r="S540" s="22">
        <f t="shared" si="71"/>
        <v>-0.24399636433990238</v>
      </c>
      <c r="T540" s="25"/>
      <c r="U540" s="1" t="s">
        <v>1533</v>
      </c>
    </row>
    <row r="541" spans="1:21">
      <c r="A541" s="6" t="s">
        <v>1534</v>
      </c>
      <c r="B541" s="6" t="s">
        <v>1535</v>
      </c>
      <c r="C541" s="7">
        <v>0.87486333645375425</v>
      </c>
      <c r="D541" s="7">
        <v>0.87318012773465781</v>
      </c>
      <c r="E541" s="7">
        <v>0.91088626519109817</v>
      </c>
      <c r="F541" s="8">
        <v>0.93237472434443658</v>
      </c>
      <c r="G541" s="8">
        <f t="shared" si="64"/>
        <v>0.87402173209420608</v>
      </c>
      <c r="H541" s="8">
        <f t="shared" si="65"/>
        <v>0.92163049476776737</v>
      </c>
      <c r="I541" s="8">
        <f t="shared" si="66"/>
        <v>1.0544709140806923</v>
      </c>
      <c r="J541" s="22">
        <f t="shared" si="67"/>
        <v>7.6519301210059593E-2</v>
      </c>
      <c r="K541" s="8"/>
      <c r="L541" s="8">
        <v>0.54943050649311254</v>
      </c>
      <c r="M541" s="8">
        <v>0.66313167178823829</v>
      </c>
      <c r="N541" s="8">
        <v>0.73259631085201948</v>
      </c>
      <c r="O541" s="8">
        <v>0.7208917415936924</v>
      </c>
      <c r="P541" s="8">
        <f t="shared" si="68"/>
        <v>0.60628108914067536</v>
      </c>
      <c r="Q541" s="8">
        <f t="shared" si="69"/>
        <v>0.72674402622285594</v>
      </c>
      <c r="R541" s="8">
        <f t="shared" si="70"/>
        <v>1.1986915627748198</v>
      </c>
      <c r="S541" s="22">
        <f t="shared" si="71"/>
        <v>0.2614604843571009</v>
      </c>
      <c r="T541" s="25"/>
      <c r="U541" s="1" t="s">
        <v>1536</v>
      </c>
    </row>
    <row r="542" spans="1:21">
      <c r="A542" s="6" t="s">
        <v>1537</v>
      </c>
      <c r="B542" s="6" t="s">
        <v>1538</v>
      </c>
      <c r="C542" s="7">
        <v>0.85926522181463683</v>
      </c>
      <c r="D542" s="7">
        <v>0.82560584666349712</v>
      </c>
      <c r="E542" s="7">
        <v>0.86384014768230022</v>
      </c>
      <c r="F542" s="8">
        <v>0.9884744993418646</v>
      </c>
      <c r="G542" s="8">
        <f t="shared" si="64"/>
        <v>0.84243553423906703</v>
      </c>
      <c r="H542" s="8">
        <f t="shared" si="65"/>
        <v>0.92615732351208235</v>
      </c>
      <c r="I542" s="8">
        <f t="shared" si="66"/>
        <v>1.0993806479787647</v>
      </c>
      <c r="J542" s="22">
        <f t="shared" si="67"/>
        <v>0.13669098944484215</v>
      </c>
      <c r="K542" s="8"/>
      <c r="L542" s="8">
        <v>0.74811413166414031</v>
      </c>
      <c r="M542" s="8">
        <v>0.82919734599128003</v>
      </c>
      <c r="N542" s="8">
        <v>0.82018888695701742</v>
      </c>
      <c r="O542" s="8">
        <v>0.93730832997488045</v>
      </c>
      <c r="P542" s="8">
        <f t="shared" si="68"/>
        <v>0.78865573882771023</v>
      </c>
      <c r="Q542" s="8">
        <f t="shared" si="69"/>
        <v>0.87874860846594893</v>
      </c>
      <c r="R542" s="8">
        <f t="shared" si="70"/>
        <v>1.1142359906898749</v>
      </c>
      <c r="S542" s="22">
        <f t="shared" si="71"/>
        <v>0.15605482203263962</v>
      </c>
      <c r="T542" s="25"/>
      <c r="U542" s="1" t="s">
        <v>1539</v>
      </c>
    </row>
    <row r="543" spans="1:21">
      <c r="A543" s="6" t="s">
        <v>1540</v>
      </c>
      <c r="B543" s="6" t="s">
        <v>1541</v>
      </c>
      <c r="C543" s="7">
        <v>0.85456820500704422</v>
      </c>
      <c r="D543" s="7">
        <v>0.79824450515144585</v>
      </c>
      <c r="E543" s="7">
        <v>0.81879903974769752</v>
      </c>
      <c r="F543" s="8">
        <v>0.83640200316289059</v>
      </c>
      <c r="G543" s="8">
        <f t="shared" si="64"/>
        <v>0.82640635507924509</v>
      </c>
      <c r="H543" s="8">
        <f t="shared" si="65"/>
        <v>0.82760052145529406</v>
      </c>
      <c r="I543" s="8">
        <f t="shared" si="66"/>
        <v>1.0014450111240183</v>
      </c>
      <c r="J543" s="22">
        <f t="shared" si="67"/>
        <v>2.0832056172313566E-3</v>
      </c>
      <c r="K543" s="8"/>
      <c r="L543" s="8">
        <v>0.49053381118387385</v>
      </c>
      <c r="M543" s="8">
        <v>0.35073476000656512</v>
      </c>
      <c r="N543" s="8">
        <v>0.31499393227879663</v>
      </c>
      <c r="O543" s="8">
        <v>0.38549345966292192</v>
      </c>
      <c r="P543" s="8">
        <f t="shared" si="68"/>
        <v>0.42063428559521948</v>
      </c>
      <c r="Q543" s="8">
        <f t="shared" si="69"/>
        <v>0.35024369597085925</v>
      </c>
      <c r="R543" s="8">
        <f t="shared" si="70"/>
        <v>0.83265608145861469</v>
      </c>
      <c r="S543" s="22">
        <f t="shared" si="71"/>
        <v>-0.26420736403657247</v>
      </c>
      <c r="T543" s="25"/>
      <c r="U543" s="1" t="s">
        <v>1542</v>
      </c>
    </row>
    <row r="544" spans="1:21">
      <c r="A544" s="6" t="s">
        <v>1543</v>
      </c>
      <c r="B544" s="6" t="s">
        <v>1544</v>
      </c>
      <c r="C544" s="7">
        <v>0.91302345829832632</v>
      </c>
      <c r="D544" s="7">
        <v>0.80172125649707182</v>
      </c>
      <c r="E544" s="7">
        <v>1.0618348431340907</v>
      </c>
      <c r="F544" s="8">
        <v>0.80860422741127602</v>
      </c>
      <c r="G544" s="8">
        <f t="shared" si="64"/>
        <v>0.85737235739769901</v>
      </c>
      <c r="H544" s="8">
        <f t="shared" si="65"/>
        <v>0.93521953527268331</v>
      </c>
      <c r="I544" s="8">
        <f t="shared" si="66"/>
        <v>1.090797396490909</v>
      </c>
      <c r="J544" s="22">
        <f t="shared" si="67"/>
        <v>0.12538316195351379</v>
      </c>
      <c r="K544" s="8"/>
      <c r="L544" s="8">
        <v>0.77949108646994381</v>
      </c>
      <c r="M544" s="8">
        <v>1.033717871007896</v>
      </c>
      <c r="N544" s="8">
        <v>0.81302029356149941</v>
      </c>
      <c r="O544" s="8">
        <v>0.90153251323559824</v>
      </c>
      <c r="P544" s="8">
        <f t="shared" si="68"/>
        <v>0.90660447873891992</v>
      </c>
      <c r="Q544" s="8">
        <f t="shared" si="69"/>
        <v>0.85727640339854883</v>
      </c>
      <c r="R544" s="8">
        <f t="shared" si="70"/>
        <v>0.94559030261025612</v>
      </c>
      <c r="S544" s="22">
        <f t="shared" si="71"/>
        <v>-8.0712854684767146E-2</v>
      </c>
      <c r="T544" s="25"/>
      <c r="U544" s="1" t="s">
        <v>1545</v>
      </c>
    </row>
    <row r="545" spans="1:21">
      <c r="A545" s="6" t="s">
        <v>1546</v>
      </c>
      <c r="B545" s="6" t="s">
        <v>1547</v>
      </c>
      <c r="C545" s="7">
        <v>0.87317416864460673</v>
      </c>
      <c r="D545" s="7">
        <v>0.89326732583461266</v>
      </c>
      <c r="E545" s="7">
        <v>0.96776864720187394</v>
      </c>
      <c r="F545" s="8">
        <v>0.91922562335286018</v>
      </c>
      <c r="G545" s="8">
        <f t="shared" si="64"/>
        <v>0.88322074723960964</v>
      </c>
      <c r="H545" s="8">
        <f t="shared" si="65"/>
        <v>0.94349713527736712</v>
      </c>
      <c r="I545" s="8">
        <f t="shared" si="66"/>
        <v>1.0682461187943597</v>
      </c>
      <c r="J545" s="22">
        <f t="shared" si="67"/>
        <v>9.524407535620974E-2</v>
      </c>
      <c r="K545" s="8"/>
      <c r="L545" s="8">
        <v>0.85763676469196271</v>
      </c>
      <c r="M545" s="8">
        <v>1.1433882974660814</v>
      </c>
      <c r="N545" s="8">
        <v>0.87893741863034536</v>
      </c>
      <c r="O545" s="8">
        <v>0.89073652813371884</v>
      </c>
      <c r="P545" s="8">
        <f t="shared" si="68"/>
        <v>1.0005125310790222</v>
      </c>
      <c r="Q545" s="8">
        <f t="shared" si="69"/>
        <v>0.88483697338203204</v>
      </c>
      <c r="R545" s="8">
        <f t="shared" si="70"/>
        <v>0.88438369925038562</v>
      </c>
      <c r="S545" s="22">
        <f t="shared" si="71"/>
        <v>-0.17725566089939276</v>
      </c>
      <c r="T545" s="25"/>
      <c r="U545" s="1" t="s">
        <v>1548</v>
      </c>
    </row>
    <row r="546" spans="1:21">
      <c r="A546" s="6" t="s">
        <v>1549</v>
      </c>
      <c r="B546" s="6" t="s">
        <v>1550</v>
      </c>
      <c r="C546" s="7">
        <v>0.90407526451380837</v>
      </c>
      <c r="D546" s="7">
        <v>0.87835438877887151</v>
      </c>
      <c r="E546" s="7">
        <v>0.9503680283972501</v>
      </c>
      <c r="F546" s="8">
        <v>0.91231710664662846</v>
      </c>
      <c r="G546" s="8">
        <f t="shared" si="64"/>
        <v>0.89121482664634</v>
      </c>
      <c r="H546" s="8">
        <f t="shared" si="65"/>
        <v>0.93134256752193934</v>
      </c>
      <c r="I546" s="8">
        <f t="shared" si="66"/>
        <v>1.0450258901398677</v>
      </c>
      <c r="J546" s="22">
        <f t="shared" si="67"/>
        <v>6.353868499869901E-2</v>
      </c>
      <c r="K546" s="8"/>
      <c r="L546" s="8">
        <v>0.7602421035571636</v>
      </c>
      <c r="M546" s="8">
        <v>0.95150405202715105</v>
      </c>
      <c r="N546" s="8">
        <v>1.117621886302415</v>
      </c>
      <c r="O546" s="8">
        <v>0.86042646117404931</v>
      </c>
      <c r="P546" s="8">
        <f t="shared" si="68"/>
        <v>0.85587307779215727</v>
      </c>
      <c r="Q546" s="8">
        <f t="shared" si="69"/>
        <v>0.98902417373823215</v>
      </c>
      <c r="R546" s="8">
        <f t="shared" si="70"/>
        <v>1.1555734131625643</v>
      </c>
      <c r="S546" s="22">
        <f t="shared" si="71"/>
        <v>0.20860891661315545</v>
      </c>
      <c r="T546" s="25"/>
      <c r="U546" s="1" t="s">
        <v>1551</v>
      </c>
    </row>
    <row r="547" spans="1:21">
      <c r="A547" s="6" t="s">
        <v>1552</v>
      </c>
      <c r="B547" s="6" t="s">
        <v>1553</v>
      </c>
      <c r="C547" s="7">
        <v>0.83633900742356682</v>
      </c>
      <c r="D547" s="7">
        <v>0.74096298343354638</v>
      </c>
      <c r="E547" s="7">
        <v>0.73265523554209022</v>
      </c>
      <c r="F547" s="8">
        <v>0.96981823005650536</v>
      </c>
      <c r="G547" s="8">
        <f t="shared" si="64"/>
        <v>0.78865099542855654</v>
      </c>
      <c r="H547" s="8">
        <f t="shared" si="65"/>
        <v>0.85123673279929779</v>
      </c>
      <c r="I547" s="8">
        <f t="shared" si="66"/>
        <v>1.0793579640849016</v>
      </c>
      <c r="J547" s="22">
        <f t="shared" si="67"/>
        <v>0.11017340733225402</v>
      </c>
      <c r="K547" s="8"/>
      <c r="L547" s="8">
        <v>0.54108557170433502</v>
      </c>
      <c r="M547" s="8">
        <v>1.121508813382496</v>
      </c>
      <c r="N547" s="8">
        <v>0.97123836081168946</v>
      </c>
      <c r="O547" s="8">
        <v>0.82415375809116598</v>
      </c>
      <c r="P547" s="8">
        <f t="shared" si="68"/>
        <v>0.8312971925434155</v>
      </c>
      <c r="Q547" s="8">
        <f t="shared" si="69"/>
        <v>0.89769605945142772</v>
      </c>
      <c r="R547" s="8">
        <f t="shared" si="70"/>
        <v>1.0798738014558427</v>
      </c>
      <c r="S547" s="22">
        <f t="shared" si="71"/>
        <v>0.11086272289623955</v>
      </c>
      <c r="T547" s="25"/>
      <c r="U547" s="1" t="s">
        <v>1554</v>
      </c>
    </row>
    <row r="548" spans="1:21">
      <c r="A548" s="6" t="s">
        <v>1555</v>
      </c>
      <c r="B548" s="6" t="s">
        <v>1556</v>
      </c>
      <c r="C548" s="7">
        <v>0.88131859484707664</v>
      </c>
      <c r="D548" s="7">
        <v>0.98665550754876907</v>
      </c>
      <c r="E548" s="7">
        <v>0.87955473570862341</v>
      </c>
      <c r="F548" s="8">
        <v>0.92725390911763739</v>
      </c>
      <c r="G548" s="8">
        <f t="shared" si="64"/>
        <v>0.93398705119792291</v>
      </c>
      <c r="H548" s="8">
        <f t="shared" si="65"/>
        <v>0.9034043224131304</v>
      </c>
      <c r="I548" s="8">
        <f t="shared" si="66"/>
        <v>0.9672557250707412</v>
      </c>
      <c r="J548" s="22">
        <f t="shared" si="67"/>
        <v>-4.8030732054514545E-2</v>
      </c>
      <c r="K548" s="8"/>
      <c r="L548" s="8">
        <v>0.77318602462953412</v>
      </c>
      <c r="M548" s="8">
        <v>0.95021702355164606</v>
      </c>
      <c r="N548" s="8">
        <v>0.89514098476696002</v>
      </c>
      <c r="O548" s="8">
        <v>0.88820692492993125</v>
      </c>
      <c r="P548" s="8">
        <f t="shared" si="68"/>
        <v>0.86170152409059009</v>
      </c>
      <c r="Q548" s="8">
        <f t="shared" si="69"/>
        <v>0.89167395484844558</v>
      </c>
      <c r="R548" s="8">
        <f t="shared" si="70"/>
        <v>1.0347828452427159</v>
      </c>
      <c r="S548" s="22">
        <f t="shared" si="71"/>
        <v>4.9328042157704685E-2</v>
      </c>
      <c r="T548" s="25"/>
      <c r="U548" s="1" t="s">
        <v>1557</v>
      </c>
    </row>
    <row r="549" spans="1:21">
      <c r="A549" s="6" t="s">
        <v>1558</v>
      </c>
      <c r="B549" s="6" t="s">
        <v>1559</v>
      </c>
      <c r="C549" s="7">
        <v>1.0322636349819825</v>
      </c>
      <c r="D549" s="7">
        <v>1.0086602629008323</v>
      </c>
      <c r="E549" s="7">
        <v>0.98147171588265714</v>
      </c>
      <c r="F549" s="8">
        <v>0.94197461580541819</v>
      </c>
      <c r="G549" s="8">
        <f t="shared" si="64"/>
        <v>1.0204619489414073</v>
      </c>
      <c r="H549" s="8">
        <f t="shared" si="65"/>
        <v>0.96172316584403772</v>
      </c>
      <c r="I549" s="8">
        <f t="shared" si="66"/>
        <v>0.94243902660133172</v>
      </c>
      <c r="J549" s="22">
        <f t="shared" si="67"/>
        <v>-8.5528812172279992E-2</v>
      </c>
      <c r="K549" s="8"/>
      <c r="L549" s="8">
        <v>0.74826248606038526</v>
      </c>
      <c r="M549" s="8">
        <v>1.0377739607488816</v>
      </c>
      <c r="N549" s="8">
        <v>0.80114333408963534</v>
      </c>
      <c r="O549" s="8">
        <v>0.94209650746776419</v>
      </c>
      <c r="P549" s="8">
        <f t="shared" si="68"/>
        <v>0.89301822340463344</v>
      </c>
      <c r="Q549" s="8">
        <f t="shared" si="69"/>
        <v>0.87161992077869976</v>
      </c>
      <c r="R549" s="8">
        <f t="shared" si="70"/>
        <v>0.97603822400806939</v>
      </c>
      <c r="S549" s="22">
        <f t="shared" si="71"/>
        <v>-3.4990446579678744E-2</v>
      </c>
      <c r="T549" s="25"/>
      <c r="U549" s="1" t="s">
        <v>1560</v>
      </c>
    </row>
    <row r="550" spans="1:21">
      <c r="A550" s="6" t="s">
        <v>1561</v>
      </c>
      <c r="B550" s="6" t="s">
        <v>1562</v>
      </c>
      <c r="C550" s="7">
        <v>0.98138765881204293</v>
      </c>
      <c r="D550" s="7">
        <v>1.0295522063393769</v>
      </c>
      <c r="E550" s="7">
        <v>0.9716810197800928</v>
      </c>
      <c r="F550" s="8">
        <v>0.95700309527537231</v>
      </c>
      <c r="G550" s="8">
        <f t="shared" si="64"/>
        <v>1.0054699325757099</v>
      </c>
      <c r="H550" s="8">
        <f t="shared" si="65"/>
        <v>0.96434205752773261</v>
      </c>
      <c r="I550" s="8">
        <f t="shared" si="66"/>
        <v>0.95909586779723965</v>
      </c>
      <c r="J550" s="22">
        <f t="shared" si="67"/>
        <v>-6.0253065793026445E-2</v>
      </c>
      <c r="K550" s="8"/>
      <c r="L550" s="8">
        <v>0.76777108916659398</v>
      </c>
      <c r="M550" s="8">
        <v>1.0888260902772473</v>
      </c>
      <c r="N550" s="8">
        <v>0.95002950461193214</v>
      </c>
      <c r="O550" s="8">
        <v>0.8791274562877649</v>
      </c>
      <c r="P550" s="8">
        <f t="shared" si="68"/>
        <v>0.9282985897219207</v>
      </c>
      <c r="Q550" s="8">
        <f t="shared" si="69"/>
        <v>0.91457848044984846</v>
      </c>
      <c r="R550" s="8">
        <f t="shared" si="70"/>
        <v>0.98522015499756155</v>
      </c>
      <c r="S550" s="22">
        <f t="shared" si="71"/>
        <v>-2.1481953025311151E-2</v>
      </c>
      <c r="T550" s="25"/>
      <c r="U550" s="1" t="s">
        <v>1563</v>
      </c>
    </row>
    <row r="551" spans="1:21">
      <c r="A551" s="6" t="s">
        <v>1564</v>
      </c>
      <c r="B551" s="6" t="s">
        <v>1565</v>
      </c>
      <c r="C551" s="7">
        <v>1.0450862396893408</v>
      </c>
      <c r="D551" s="7">
        <v>1.0324819823376801</v>
      </c>
      <c r="E551" s="7">
        <v>0.99615125026515872</v>
      </c>
      <c r="F551" s="8">
        <v>0.89935790801001014</v>
      </c>
      <c r="G551" s="8">
        <f t="shared" si="64"/>
        <v>1.0387841110135105</v>
      </c>
      <c r="H551" s="8">
        <f t="shared" si="65"/>
        <v>0.94775457913758443</v>
      </c>
      <c r="I551" s="8">
        <f t="shared" si="66"/>
        <v>0.91236915263643059</v>
      </c>
      <c r="J551" s="22">
        <f t="shared" si="67"/>
        <v>-0.13231042518905525</v>
      </c>
      <c r="K551" s="8"/>
      <c r="L551" s="8">
        <v>0.65138706531244339</v>
      </c>
      <c r="M551" s="8">
        <v>0.62050372864499626</v>
      </c>
      <c r="N551" s="8">
        <v>0.72479145177050874</v>
      </c>
      <c r="O551" s="8">
        <v>0.81900420871202684</v>
      </c>
      <c r="P551" s="8">
        <f t="shared" si="68"/>
        <v>0.63594539697871988</v>
      </c>
      <c r="Q551" s="8">
        <f t="shared" si="69"/>
        <v>0.77189783024126779</v>
      </c>
      <c r="R551" s="8">
        <f t="shared" si="70"/>
        <v>1.2137800413501494</v>
      </c>
      <c r="S551" s="22">
        <f t="shared" si="71"/>
        <v>0.27950700313821314</v>
      </c>
      <c r="T551" s="25"/>
      <c r="U551" s="1" t="s">
        <v>1566</v>
      </c>
    </row>
    <row r="552" spans="1:21">
      <c r="A552" s="6" t="s">
        <v>1567</v>
      </c>
      <c r="B552" s="6" t="s">
        <v>1568</v>
      </c>
      <c r="C552" s="7">
        <v>0.98114276087688768</v>
      </c>
      <c r="D552" s="7">
        <v>1.0550022776722774</v>
      </c>
      <c r="E552" s="7">
        <v>0.97395292997942451</v>
      </c>
      <c r="F552" s="8">
        <v>0.98205710941569679</v>
      </c>
      <c r="G552" s="8">
        <f t="shared" si="64"/>
        <v>1.0180725192745825</v>
      </c>
      <c r="H552" s="8">
        <f t="shared" si="65"/>
        <v>0.97800501969756071</v>
      </c>
      <c r="I552" s="8">
        <f t="shared" si="66"/>
        <v>0.96064376670772778</v>
      </c>
      <c r="J552" s="22">
        <f t="shared" si="67"/>
        <v>-5.7926555962457556E-2</v>
      </c>
      <c r="K552" s="8"/>
      <c r="L552" s="8">
        <v>0.79354766551415123</v>
      </c>
      <c r="M552" s="8">
        <v>0.8119979654549857</v>
      </c>
      <c r="N552" s="8">
        <v>0.90201265417568144</v>
      </c>
      <c r="O552" s="8">
        <v>0.84046066445843981</v>
      </c>
      <c r="P552" s="8">
        <f t="shared" si="68"/>
        <v>0.80277281548456847</v>
      </c>
      <c r="Q552" s="8">
        <f t="shared" si="69"/>
        <v>0.87123665931706062</v>
      </c>
      <c r="R552" s="8">
        <f t="shared" si="70"/>
        <v>1.0852842080746918</v>
      </c>
      <c r="S552" s="22">
        <f t="shared" si="71"/>
        <v>0.11807289694409974</v>
      </c>
      <c r="T552" s="25"/>
      <c r="U552" s="1" t="s">
        <v>1569</v>
      </c>
    </row>
    <row r="553" spans="1:21">
      <c r="A553" s="6" t="s">
        <v>1570</v>
      </c>
      <c r="B553" s="6" t="s">
        <v>1571</v>
      </c>
      <c r="C553" s="7">
        <v>0.97945987250197486</v>
      </c>
      <c r="D553" s="7">
        <v>1.0310485297033172</v>
      </c>
      <c r="E553" s="7">
        <v>1.009385615409117</v>
      </c>
      <c r="F553" s="8">
        <v>1.0143405097585614</v>
      </c>
      <c r="G553" s="8">
        <f t="shared" si="64"/>
        <v>1.005254201102646</v>
      </c>
      <c r="H553" s="8">
        <f t="shared" si="65"/>
        <v>1.0118630625838392</v>
      </c>
      <c r="I553" s="8">
        <f t="shared" si="66"/>
        <v>1.00657431868869</v>
      </c>
      <c r="J553" s="22">
        <f t="shared" si="67"/>
        <v>9.4536951060961317E-3</v>
      </c>
      <c r="K553" s="8"/>
      <c r="L553" s="8">
        <v>0.85092372826187945</v>
      </c>
      <c r="M553" s="8">
        <v>1.0121893946903575</v>
      </c>
      <c r="N553" s="8">
        <v>1.0163283890923738</v>
      </c>
      <c r="O553" s="8">
        <v>0.94525851147249873</v>
      </c>
      <c r="P553" s="8">
        <f t="shared" si="68"/>
        <v>0.93155656147611854</v>
      </c>
      <c r="Q553" s="8">
        <f t="shared" si="69"/>
        <v>0.98079345028243625</v>
      </c>
      <c r="R553" s="8">
        <f t="shared" si="70"/>
        <v>1.0528544275704508</v>
      </c>
      <c r="S553" s="22">
        <f t="shared" si="71"/>
        <v>7.4305976591115888E-2</v>
      </c>
      <c r="T553" s="25"/>
      <c r="U553" s="1" t="s">
        <v>1572</v>
      </c>
    </row>
    <row r="554" spans="1:21">
      <c r="A554" s="6" t="s">
        <v>1573</v>
      </c>
      <c r="B554" s="6" t="s">
        <v>1574</v>
      </c>
      <c r="C554" s="7">
        <v>1.0628382002709773</v>
      </c>
      <c r="D554" s="7">
        <v>1.0130486398253296</v>
      </c>
      <c r="E554" s="7">
        <v>1.0330616537901185</v>
      </c>
      <c r="F554" s="8">
        <v>0.84188297802840328</v>
      </c>
      <c r="G554" s="8">
        <f t="shared" si="64"/>
        <v>1.0379434200481534</v>
      </c>
      <c r="H554" s="8">
        <f t="shared" si="65"/>
        <v>0.93747231590926083</v>
      </c>
      <c r="I554" s="8">
        <f t="shared" si="66"/>
        <v>0.90320175242863288</v>
      </c>
      <c r="J554" s="22">
        <f t="shared" si="67"/>
        <v>-0.14687980959836455</v>
      </c>
      <c r="K554" s="8"/>
      <c r="L554" s="8">
        <v>1.0727135506480556</v>
      </c>
      <c r="M554" s="8">
        <v>1.1415552569100591</v>
      </c>
      <c r="N554" s="8">
        <v>1.1662750024246584</v>
      </c>
      <c r="O554" s="8">
        <v>1.0775206218419662</v>
      </c>
      <c r="P554" s="8">
        <f t="shared" si="68"/>
        <v>1.1071344037790574</v>
      </c>
      <c r="Q554" s="8">
        <f t="shared" si="69"/>
        <v>1.1218978121333123</v>
      </c>
      <c r="R554" s="8">
        <f t="shared" si="70"/>
        <v>1.0133347932318444</v>
      </c>
      <c r="S554" s="22">
        <f t="shared" si="71"/>
        <v>1.9110901421545E-2</v>
      </c>
      <c r="T554" s="25"/>
      <c r="U554" s="1" t="s">
        <v>1575</v>
      </c>
    </row>
    <row r="555" spans="1:21">
      <c r="A555" s="6" t="s">
        <v>1576</v>
      </c>
      <c r="B555" s="6" t="s">
        <v>80</v>
      </c>
      <c r="C555" s="7">
        <v>1.0493750932716746</v>
      </c>
      <c r="D555" s="7">
        <v>0.97509986745245691</v>
      </c>
      <c r="E555" s="7">
        <v>1.0095483596927368</v>
      </c>
      <c r="F555" s="8">
        <v>1.1111841624300871</v>
      </c>
      <c r="G555" s="8">
        <f t="shared" si="64"/>
        <v>1.0122374803620657</v>
      </c>
      <c r="H555" s="8">
        <f t="shared" si="65"/>
        <v>1.060366261061412</v>
      </c>
      <c r="I555" s="8">
        <f t="shared" si="66"/>
        <v>1.0475469261246195</v>
      </c>
      <c r="J555" s="22">
        <f t="shared" si="67"/>
        <v>6.701487263193065E-2</v>
      </c>
      <c r="K555" s="8"/>
      <c r="L555" s="8">
        <v>1.1058707582087983</v>
      </c>
      <c r="M555" s="8">
        <v>0.83836254877139149</v>
      </c>
      <c r="N555" s="8">
        <v>1.3193605264745072</v>
      </c>
      <c r="O555" s="8">
        <v>1.2436161750620931</v>
      </c>
      <c r="P555" s="8">
        <f t="shared" si="68"/>
        <v>0.97211665349009491</v>
      </c>
      <c r="Q555" s="8">
        <f t="shared" si="69"/>
        <v>1.2814883507683001</v>
      </c>
      <c r="R555" s="8">
        <f t="shared" si="70"/>
        <v>1.3182454453048391</v>
      </c>
      <c r="S555" s="22">
        <f t="shared" si="71"/>
        <v>0.39861901204300754</v>
      </c>
      <c r="T555" s="25"/>
      <c r="U555" s="1">
        <v>0</v>
      </c>
    </row>
    <row r="556" spans="1:21">
      <c r="A556" s="6" t="s">
        <v>1577</v>
      </c>
      <c r="B556" s="6" t="s">
        <v>80</v>
      </c>
      <c r="C556" s="7">
        <v>1.0659151230460044</v>
      </c>
      <c r="D556" s="7">
        <v>1.1573495383512025</v>
      </c>
      <c r="E556" s="7">
        <v>1.0436400322254025</v>
      </c>
      <c r="F556" s="8">
        <v>1.0248244294236579</v>
      </c>
      <c r="G556" s="8">
        <f t="shared" si="64"/>
        <v>1.1116323306986033</v>
      </c>
      <c r="H556" s="8">
        <f t="shared" si="65"/>
        <v>1.0342322308245302</v>
      </c>
      <c r="I556" s="8">
        <f t="shared" si="66"/>
        <v>0.93037257217462255</v>
      </c>
      <c r="J556" s="22">
        <f t="shared" si="67"/>
        <v>-0.10411952878444224</v>
      </c>
      <c r="K556" s="8"/>
      <c r="L556" s="8">
        <v>1.4823200386803179</v>
      </c>
      <c r="M556" s="8">
        <v>1.2566468033105231</v>
      </c>
      <c r="N556" s="8">
        <v>1.4913219325421398</v>
      </c>
      <c r="O556" s="8">
        <v>1.5494723052914867</v>
      </c>
      <c r="P556" s="8">
        <f t="shared" si="68"/>
        <v>1.3694834209954205</v>
      </c>
      <c r="Q556" s="8">
        <f t="shared" si="69"/>
        <v>1.5203971189168133</v>
      </c>
      <c r="R556" s="8">
        <f t="shared" si="70"/>
        <v>1.1101975355143034</v>
      </c>
      <c r="S556" s="22">
        <f t="shared" si="71"/>
        <v>0.15081639563130167</v>
      </c>
      <c r="T556" s="25"/>
      <c r="U556" s="1">
        <v>0</v>
      </c>
    </row>
    <row r="557" spans="1:21">
      <c r="A557" s="6" t="s">
        <v>1578</v>
      </c>
      <c r="B557" s="6" t="s">
        <v>1579</v>
      </c>
      <c r="C557" s="7">
        <v>1.0365022530904382</v>
      </c>
      <c r="D557" s="7">
        <v>1.0543484220846733</v>
      </c>
      <c r="E557" s="7">
        <v>1.0699395084583545</v>
      </c>
      <c r="F557" s="8">
        <v>1.0409464845238876</v>
      </c>
      <c r="G557" s="8">
        <f t="shared" si="64"/>
        <v>1.0454253375875557</v>
      </c>
      <c r="H557" s="8">
        <f t="shared" si="65"/>
        <v>1.0554429964911209</v>
      </c>
      <c r="I557" s="8">
        <f t="shared" si="66"/>
        <v>1.0095823762284948</v>
      </c>
      <c r="J557" s="22">
        <f t="shared" si="67"/>
        <v>1.3758631251569193E-2</v>
      </c>
      <c r="K557" s="8"/>
      <c r="L557" s="8">
        <v>0.99349230305326086</v>
      </c>
      <c r="M557" s="8">
        <v>1.2830503874898231</v>
      </c>
      <c r="N557" s="8">
        <v>1.0444089147008524</v>
      </c>
      <c r="O557" s="8">
        <v>0.9541121226857554</v>
      </c>
      <c r="P557" s="8">
        <f t="shared" si="68"/>
        <v>1.1382713452715421</v>
      </c>
      <c r="Q557" s="8">
        <f t="shared" si="69"/>
        <v>0.9992605186933039</v>
      </c>
      <c r="R557" s="8">
        <f t="shared" si="70"/>
        <v>0.87787549325940717</v>
      </c>
      <c r="S557" s="22">
        <f t="shared" si="71"/>
        <v>-0.18791175420929612</v>
      </c>
      <c r="T557" s="25"/>
      <c r="U557" s="1" t="s">
        <v>1580</v>
      </c>
    </row>
    <row r="558" spans="1:21">
      <c r="A558" s="6" t="s">
        <v>1581</v>
      </c>
      <c r="B558" s="6" t="s">
        <v>1582</v>
      </c>
      <c r="C558" s="7">
        <v>1.0953217135673359</v>
      </c>
      <c r="D558" s="7">
        <v>1.0483316932641233</v>
      </c>
      <c r="E558" s="7">
        <v>0.94137803417009491</v>
      </c>
      <c r="F558" s="8">
        <v>1.0000716397084393</v>
      </c>
      <c r="G558" s="8">
        <f t="shared" si="64"/>
        <v>1.0718267034157296</v>
      </c>
      <c r="H558" s="8">
        <f t="shared" si="65"/>
        <v>0.97072483693926714</v>
      </c>
      <c r="I558" s="8">
        <f t="shared" si="66"/>
        <v>0.90567330879677843</v>
      </c>
      <c r="J558" s="22">
        <f t="shared" si="67"/>
        <v>-0.14293735452118636</v>
      </c>
      <c r="K558" s="8"/>
      <c r="L558" s="8">
        <v>1.050386214013193</v>
      </c>
      <c r="M558" s="8">
        <v>1.2992747464537653</v>
      </c>
      <c r="N558" s="8">
        <v>0.95461061755107968</v>
      </c>
      <c r="O558" s="8">
        <v>0.77085140486849801</v>
      </c>
      <c r="P558" s="8">
        <f t="shared" si="68"/>
        <v>1.1748304802334792</v>
      </c>
      <c r="Q558" s="8">
        <f t="shared" si="69"/>
        <v>0.86273101120978879</v>
      </c>
      <c r="R558" s="8">
        <f t="shared" si="70"/>
        <v>0.73434510401733399</v>
      </c>
      <c r="S558" s="22">
        <f t="shared" si="71"/>
        <v>-0.44546988080082839</v>
      </c>
      <c r="T558" s="25"/>
      <c r="U558" s="1" t="s">
        <v>1583</v>
      </c>
    </row>
    <row r="559" spans="1:21">
      <c r="A559" s="6" t="s">
        <v>1584</v>
      </c>
      <c r="B559" s="6" t="s">
        <v>1585</v>
      </c>
      <c r="C559" s="7">
        <v>1.1328915685938414</v>
      </c>
      <c r="D559" s="7">
        <v>1.0650930297694379</v>
      </c>
      <c r="E559" s="7">
        <v>1.0478648738281713</v>
      </c>
      <c r="F559" s="8">
        <v>1.0437688264199878</v>
      </c>
      <c r="G559" s="8">
        <f t="shared" si="64"/>
        <v>1.0989922991816397</v>
      </c>
      <c r="H559" s="8">
        <f t="shared" si="65"/>
        <v>1.0458168501240794</v>
      </c>
      <c r="I559" s="8">
        <f t="shared" si="66"/>
        <v>0.95161435699125729</v>
      </c>
      <c r="J559" s="22">
        <f t="shared" si="67"/>
        <v>-7.1551057042093621E-2</v>
      </c>
      <c r="K559" s="8"/>
      <c r="L559" s="8">
        <v>0.73657957735609669</v>
      </c>
      <c r="M559" s="8">
        <v>1.2672940388806102</v>
      </c>
      <c r="N559" s="8">
        <v>0.73955281568553988</v>
      </c>
      <c r="O559" s="8">
        <v>0.94015413357914146</v>
      </c>
      <c r="P559" s="8">
        <f t="shared" si="68"/>
        <v>1.0019368081183535</v>
      </c>
      <c r="Q559" s="8">
        <f t="shared" si="69"/>
        <v>0.83985347463234072</v>
      </c>
      <c r="R559" s="8">
        <f t="shared" si="70"/>
        <v>0.83822998399429327</v>
      </c>
      <c r="S559" s="22">
        <f t="shared" si="71"/>
        <v>-0.25458196642027892</v>
      </c>
      <c r="T559" s="25"/>
      <c r="U559" s="1" t="s">
        <v>1586</v>
      </c>
    </row>
    <row r="560" spans="1:21" ht="14.5">
      <c r="A560" s="6" t="s">
        <v>1587</v>
      </c>
      <c r="B560" s="6" t="s">
        <v>1588</v>
      </c>
      <c r="C560" s="7">
        <v>1.0455320795200078</v>
      </c>
      <c r="D560" s="7">
        <v>0.99157828567467343</v>
      </c>
      <c r="E560" s="7">
        <v>1.0278733660283208</v>
      </c>
      <c r="F560" s="8">
        <v>1.0606897810824547</v>
      </c>
      <c r="G560" s="8">
        <f t="shared" si="64"/>
        <v>1.0185551825973407</v>
      </c>
      <c r="H560" s="8">
        <f t="shared" si="65"/>
        <v>1.0442815735553879</v>
      </c>
      <c r="I560" s="8">
        <f t="shared" si="66"/>
        <v>1.0252577291810978</v>
      </c>
      <c r="J560" s="22">
        <f t="shared" si="67"/>
        <v>3.5986619850652671E-2</v>
      </c>
      <c r="K560" s="8"/>
      <c r="L560" s="8">
        <v>0.90062245100393234</v>
      </c>
      <c r="M560" s="8">
        <v>0.98523979843054021</v>
      </c>
      <c r="N560" s="8">
        <v>0.88343369614469391</v>
      </c>
      <c r="O560" s="8">
        <v>0.84547469938023312</v>
      </c>
      <c r="P560" s="8">
        <f t="shared" si="68"/>
        <v>0.94293112471723628</v>
      </c>
      <c r="Q560" s="8">
        <f t="shared" si="69"/>
        <v>0.86445419776246357</v>
      </c>
      <c r="R560" s="8">
        <f t="shared" si="70"/>
        <v>0.9167734260778525</v>
      </c>
      <c r="S560" s="22">
        <f t="shared" si="71"/>
        <v>-0.12536286866049198</v>
      </c>
      <c r="T560" s="25"/>
      <c r="U560" s="1" t="s">
        <v>1589</v>
      </c>
    </row>
    <row r="561" spans="1:21">
      <c r="A561" s="6" t="s">
        <v>1590</v>
      </c>
      <c r="B561" s="6" t="s">
        <v>1591</v>
      </c>
      <c r="C561" s="7">
        <v>1.0297455818538479</v>
      </c>
      <c r="D561" s="7">
        <v>1.0002418722104287</v>
      </c>
      <c r="E561" s="7">
        <v>1.0865980133296722</v>
      </c>
      <c r="F561" s="8">
        <v>0.91619373403059923</v>
      </c>
      <c r="G561" s="8">
        <f t="shared" si="64"/>
        <v>1.0149937270321383</v>
      </c>
      <c r="H561" s="8">
        <f t="shared" si="65"/>
        <v>1.0013958736801358</v>
      </c>
      <c r="I561" s="8">
        <f t="shared" si="66"/>
        <v>0.98660301734892208</v>
      </c>
      <c r="J561" s="22">
        <f t="shared" si="67"/>
        <v>-1.9458395323383917E-2</v>
      </c>
      <c r="K561" s="8"/>
      <c r="L561" s="8">
        <v>0.68302364031167551</v>
      </c>
      <c r="M561" s="8">
        <v>0.79616361511998446</v>
      </c>
      <c r="N561" s="8">
        <v>0.83758014904081846</v>
      </c>
      <c r="O561" s="8">
        <v>0.77252274984242919</v>
      </c>
      <c r="P561" s="8">
        <f t="shared" si="68"/>
        <v>0.73959362771582993</v>
      </c>
      <c r="Q561" s="8">
        <f t="shared" si="69"/>
        <v>0.80505144944162388</v>
      </c>
      <c r="R561" s="8">
        <f t="shared" si="70"/>
        <v>1.0885051185851271</v>
      </c>
      <c r="S561" s="22">
        <f t="shared" si="71"/>
        <v>0.12234819166945141</v>
      </c>
      <c r="T561" s="25"/>
      <c r="U561" s="1" t="s">
        <v>1592</v>
      </c>
    </row>
    <row r="562" spans="1:21">
      <c r="A562" s="6" t="s">
        <v>1593</v>
      </c>
      <c r="B562" s="6" t="s">
        <v>1594</v>
      </c>
      <c r="C562" s="7">
        <v>0.92783036422386533</v>
      </c>
      <c r="D562" s="7">
        <v>1.0145009536785656</v>
      </c>
      <c r="E562" s="7">
        <v>0.97739659902081855</v>
      </c>
      <c r="F562" s="8">
        <v>0.9972231043840688</v>
      </c>
      <c r="G562" s="8">
        <f t="shared" si="64"/>
        <v>0.97116565895121543</v>
      </c>
      <c r="H562" s="8">
        <f t="shared" si="65"/>
        <v>0.98730985170244367</v>
      </c>
      <c r="I562" s="8">
        <f t="shared" si="66"/>
        <v>1.0166235210259214</v>
      </c>
      <c r="J562" s="22">
        <f t="shared" si="67"/>
        <v>2.3785515079497298E-2</v>
      </c>
      <c r="K562" s="8"/>
      <c r="L562" s="8">
        <v>0.85207347483277773</v>
      </c>
      <c r="M562" s="8">
        <v>1.2880034970773728</v>
      </c>
      <c r="N562" s="8">
        <v>0.78230986978425077</v>
      </c>
      <c r="O562" s="8">
        <v>0.7797050160817548</v>
      </c>
      <c r="P562" s="8">
        <f t="shared" si="68"/>
        <v>1.0700384859550753</v>
      </c>
      <c r="Q562" s="8">
        <f t="shared" si="69"/>
        <v>0.78100744293300273</v>
      </c>
      <c r="R562" s="8">
        <f t="shared" si="70"/>
        <v>0.72988724535071781</v>
      </c>
      <c r="S562" s="22">
        <f t="shared" si="71"/>
        <v>-0.45425448450781786</v>
      </c>
      <c r="T562" s="25"/>
      <c r="U562" s="1" t="s">
        <v>1595</v>
      </c>
    </row>
    <row r="563" spans="1:21">
      <c r="A563" s="6" t="s">
        <v>1596</v>
      </c>
      <c r="B563" s="6" t="s">
        <v>1597</v>
      </c>
      <c r="C563" s="7">
        <v>0.95556662523875346</v>
      </c>
      <c r="D563" s="7">
        <v>0.90105072215628534</v>
      </c>
      <c r="E563" s="7">
        <v>0.85829382249653896</v>
      </c>
      <c r="F563" s="8">
        <v>1.0135874486957968</v>
      </c>
      <c r="G563" s="8">
        <f t="shared" si="64"/>
        <v>0.92830867369751946</v>
      </c>
      <c r="H563" s="8">
        <f t="shared" si="65"/>
        <v>0.93594063559616791</v>
      </c>
      <c r="I563" s="8">
        <f t="shared" si="66"/>
        <v>1.0082213622633189</v>
      </c>
      <c r="J563" s="22">
        <f t="shared" si="67"/>
        <v>1.1812427705153859E-2</v>
      </c>
      <c r="K563" s="8"/>
      <c r="L563" s="8">
        <v>0.9179428267655283</v>
      </c>
      <c r="M563" s="8">
        <v>0.68739020850836319</v>
      </c>
      <c r="N563" s="8">
        <v>0.82964803682210919</v>
      </c>
      <c r="O563" s="8">
        <v>0.81412568824757925</v>
      </c>
      <c r="P563" s="8">
        <f t="shared" si="68"/>
        <v>0.80266651763694574</v>
      </c>
      <c r="Q563" s="8">
        <f t="shared" si="69"/>
        <v>0.82188686253484422</v>
      </c>
      <c r="R563" s="8">
        <f t="shared" si="70"/>
        <v>1.0239456168602663</v>
      </c>
      <c r="S563" s="22">
        <f t="shared" si="71"/>
        <v>3.413909388334474E-2</v>
      </c>
      <c r="T563" s="25"/>
      <c r="U563" s="1" t="s">
        <v>1598</v>
      </c>
    </row>
    <row r="564" spans="1:21">
      <c r="A564" s="6" t="s">
        <v>1599</v>
      </c>
      <c r="B564" s="6" t="s">
        <v>1600</v>
      </c>
      <c r="C564" s="7">
        <v>0.75054937690842061</v>
      </c>
      <c r="D564" s="7">
        <v>1.0310673909221904</v>
      </c>
      <c r="E564" s="7">
        <v>0.92902248815768329</v>
      </c>
      <c r="F564" s="8">
        <v>0.83610732709485225</v>
      </c>
      <c r="G564" s="8">
        <f t="shared" si="64"/>
        <v>0.89080838391530548</v>
      </c>
      <c r="H564" s="8">
        <f t="shared" si="65"/>
        <v>0.88256490762626782</v>
      </c>
      <c r="I564" s="8">
        <f t="shared" si="66"/>
        <v>0.99074607240133317</v>
      </c>
      <c r="J564" s="22">
        <f t="shared" si="67"/>
        <v>-1.3412751935436252E-2</v>
      </c>
      <c r="K564" s="8"/>
      <c r="L564" s="8">
        <v>0.67504959151351029</v>
      </c>
      <c r="M564" s="8">
        <v>1.1365631464596153</v>
      </c>
      <c r="N564" s="8">
        <v>0.97119594309928992</v>
      </c>
      <c r="O564" s="8">
        <v>0.88323806149391981</v>
      </c>
      <c r="P564" s="8">
        <f t="shared" si="68"/>
        <v>0.90580636898656275</v>
      </c>
      <c r="Q564" s="8">
        <f t="shared" si="69"/>
        <v>0.92721700229660486</v>
      </c>
      <c r="R564" s="8">
        <f t="shared" si="70"/>
        <v>1.0236370973346067</v>
      </c>
      <c r="S564" s="22">
        <f t="shared" si="71"/>
        <v>3.3704337729203379E-2</v>
      </c>
      <c r="T564" s="25"/>
      <c r="U564" s="1" t="s">
        <v>1601</v>
      </c>
    </row>
    <row r="565" spans="1:21">
      <c r="A565" s="6" t="s">
        <v>1602</v>
      </c>
      <c r="B565" s="6" t="s">
        <v>1603</v>
      </c>
      <c r="C565" s="7">
        <v>0.80013178962600184</v>
      </c>
      <c r="D565" s="7">
        <v>0.86623919918932124</v>
      </c>
      <c r="E565" s="7">
        <v>0.81312251913504063</v>
      </c>
      <c r="F565" s="8">
        <v>0.94052088053642913</v>
      </c>
      <c r="G565" s="8">
        <f t="shared" si="64"/>
        <v>0.83318549440766154</v>
      </c>
      <c r="H565" s="8">
        <f t="shared" si="65"/>
        <v>0.87682169983573488</v>
      </c>
      <c r="I565" s="8">
        <f t="shared" si="66"/>
        <v>1.052372737788835</v>
      </c>
      <c r="J565" s="22">
        <f t="shared" si="67"/>
        <v>7.3645780406356429E-2</v>
      </c>
      <c r="K565" s="8"/>
      <c r="L565" s="8">
        <v>1.3911562621878062</v>
      </c>
      <c r="M565" s="8">
        <v>1.4199824171109785</v>
      </c>
      <c r="N565" s="8">
        <v>1.5729760289112058</v>
      </c>
      <c r="O565" s="8">
        <v>1.6281610335235948</v>
      </c>
      <c r="P565" s="8">
        <f t="shared" si="68"/>
        <v>1.4055693396493925</v>
      </c>
      <c r="Q565" s="8">
        <f t="shared" si="69"/>
        <v>1.6005685312174003</v>
      </c>
      <c r="R565" s="8">
        <f t="shared" si="70"/>
        <v>1.1387332421584044</v>
      </c>
      <c r="S565" s="22">
        <f t="shared" si="71"/>
        <v>0.18742982317520049</v>
      </c>
      <c r="T565" s="25"/>
      <c r="U565" s="1" t="s">
        <v>1604</v>
      </c>
    </row>
    <row r="566" spans="1:21">
      <c r="A566" s="6" t="s">
        <v>1605</v>
      </c>
      <c r="B566" s="6" t="s">
        <v>1606</v>
      </c>
      <c r="C566" s="7">
        <v>0.76406271938160131</v>
      </c>
      <c r="D566" s="7">
        <v>0.77472456521656918</v>
      </c>
      <c r="E566" s="7">
        <v>0.82610951296789681</v>
      </c>
      <c r="F566" s="8">
        <v>0.88722380236389897</v>
      </c>
      <c r="G566" s="8">
        <f t="shared" si="64"/>
        <v>0.76939364229908525</v>
      </c>
      <c r="H566" s="8">
        <f t="shared" si="65"/>
        <v>0.85666665766589789</v>
      </c>
      <c r="I566" s="8">
        <f t="shared" si="66"/>
        <v>1.1134309026859455</v>
      </c>
      <c r="J566" s="22">
        <f t="shared" si="67"/>
        <v>0.15501203011004938</v>
      </c>
      <c r="K566" s="8"/>
      <c r="L566" s="8">
        <v>0.6796485777971033</v>
      </c>
      <c r="M566" s="8">
        <v>0.81457202240599569</v>
      </c>
      <c r="N566" s="8">
        <v>0.73128136176763447</v>
      </c>
      <c r="O566" s="8">
        <v>0.83747934639683297</v>
      </c>
      <c r="P566" s="8">
        <f t="shared" si="68"/>
        <v>0.74711030010154955</v>
      </c>
      <c r="Q566" s="8">
        <f t="shared" si="69"/>
        <v>0.78438035408223372</v>
      </c>
      <c r="R566" s="8">
        <f t="shared" si="70"/>
        <v>1.0498856112352062</v>
      </c>
      <c r="S566" s="22">
        <f t="shared" si="71"/>
        <v>7.0232149707041877E-2</v>
      </c>
      <c r="T566" s="25"/>
      <c r="U566" s="1" t="s">
        <v>1607</v>
      </c>
    </row>
    <row r="567" spans="1:21">
      <c r="A567" s="6" t="s">
        <v>1608</v>
      </c>
      <c r="B567" s="6" t="s">
        <v>1609</v>
      </c>
      <c r="C567" s="7">
        <v>0.86796851766399941</v>
      </c>
      <c r="D567" s="7">
        <v>0.91766116891061422</v>
      </c>
      <c r="E567" s="7">
        <v>0.88866190581998483</v>
      </c>
      <c r="F567" s="8">
        <v>0.8276010112641462</v>
      </c>
      <c r="G567" s="8">
        <f t="shared" si="64"/>
        <v>0.89281484328730687</v>
      </c>
      <c r="H567" s="8">
        <f t="shared" si="65"/>
        <v>0.85813145854206552</v>
      </c>
      <c r="I567" s="8">
        <f t="shared" si="66"/>
        <v>0.96115276867761457</v>
      </c>
      <c r="J567" s="22">
        <f t="shared" si="67"/>
        <v>-5.7162339125338323E-2</v>
      </c>
      <c r="K567" s="8"/>
      <c r="L567" s="8">
        <v>0.86857790141502655</v>
      </c>
      <c r="M567" s="8">
        <v>0.72970614474845252</v>
      </c>
      <c r="N567" s="8">
        <v>0.76695465789562633</v>
      </c>
      <c r="O567" s="8">
        <v>0.69451159389704997</v>
      </c>
      <c r="P567" s="8">
        <f t="shared" si="68"/>
        <v>0.79914202308173954</v>
      </c>
      <c r="Q567" s="8">
        <f t="shared" si="69"/>
        <v>0.7307331258963381</v>
      </c>
      <c r="R567" s="8">
        <f t="shared" si="70"/>
        <v>0.91439707184763541</v>
      </c>
      <c r="S567" s="22">
        <f t="shared" si="71"/>
        <v>-0.12910731123617333</v>
      </c>
      <c r="T567" s="25"/>
      <c r="U567" s="1" t="s">
        <v>1610</v>
      </c>
    </row>
    <row r="568" spans="1:21">
      <c r="A568" s="6" t="s">
        <v>1611</v>
      </c>
      <c r="B568" s="6" t="s">
        <v>1612</v>
      </c>
      <c r="C568" s="7">
        <v>0.86855878448206592</v>
      </c>
      <c r="D568" s="7">
        <v>0.83726207992713286</v>
      </c>
      <c r="E568" s="7">
        <v>0.74642340193632128</v>
      </c>
      <c r="F568" s="8">
        <v>0.84454815935488314</v>
      </c>
      <c r="G568" s="8">
        <f t="shared" si="64"/>
        <v>0.85291043220459939</v>
      </c>
      <c r="H568" s="8">
        <f t="shared" si="65"/>
        <v>0.79548578064560216</v>
      </c>
      <c r="I568" s="8">
        <f t="shared" si="66"/>
        <v>0.93267211961452245</v>
      </c>
      <c r="J568" s="22">
        <f t="shared" si="67"/>
        <v>-0.10055810335305135</v>
      </c>
      <c r="K568" s="8"/>
      <c r="L568" s="8">
        <v>0.64571250965607463</v>
      </c>
      <c r="M568" s="8">
        <v>1.1687388583472409</v>
      </c>
      <c r="N568" s="8">
        <v>0.74375216921309184</v>
      </c>
      <c r="O568" s="8">
        <v>0.84669432949634504</v>
      </c>
      <c r="P568" s="8">
        <f t="shared" si="68"/>
        <v>0.90722568400165771</v>
      </c>
      <c r="Q568" s="8">
        <f t="shared" si="69"/>
        <v>0.79522324935471844</v>
      </c>
      <c r="R568" s="8">
        <f t="shared" si="70"/>
        <v>0.87654402138075427</v>
      </c>
      <c r="S568" s="22">
        <f t="shared" si="71"/>
        <v>-0.19010154773265703</v>
      </c>
      <c r="T568" s="25"/>
      <c r="U568" s="1" t="s">
        <v>1613</v>
      </c>
    </row>
    <row r="569" spans="1:21">
      <c r="A569" s="6" t="s">
        <v>1614</v>
      </c>
      <c r="B569" s="6" t="s">
        <v>1615</v>
      </c>
      <c r="C569" s="7">
        <v>0.80609725214901373</v>
      </c>
      <c r="D569" s="7">
        <v>0.90177373554642448</v>
      </c>
      <c r="E569" s="7">
        <v>0.82708597866961531</v>
      </c>
      <c r="F569" s="8">
        <v>0.780786806588459</v>
      </c>
      <c r="G569" s="8">
        <f t="shared" si="64"/>
        <v>0.85393549384771905</v>
      </c>
      <c r="H569" s="8">
        <f t="shared" si="65"/>
        <v>0.80393639262903716</v>
      </c>
      <c r="I569" s="8">
        <f t="shared" si="66"/>
        <v>0.94144862044158317</v>
      </c>
      <c r="J569" s="22">
        <f t="shared" si="67"/>
        <v>-8.7045732981242852E-2</v>
      </c>
      <c r="K569" s="8"/>
      <c r="L569" s="8">
        <v>0.94019598620226841</v>
      </c>
      <c r="M569" s="8">
        <v>1.0291157691863932</v>
      </c>
      <c r="N569" s="8">
        <v>0.8632428650425249</v>
      </c>
      <c r="O569" s="8">
        <v>0.84091237931625895</v>
      </c>
      <c r="P569" s="8">
        <f t="shared" si="68"/>
        <v>0.98465587769433083</v>
      </c>
      <c r="Q569" s="8">
        <f t="shared" si="69"/>
        <v>0.85207762217939198</v>
      </c>
      <c r="R569" s="8">
        <f t="shared" si="70"/>
        <v>0.86535574659302905</v>
      </c>
      <c r="S569" s="22">
        <f t="shared" si="71"/>
        <v>-0.20863475018858701</v>
      </c>
      <c r="T569" s="25"/>
      <c r="U569" s="1" t="s">
        <v>1616</v>
      </c>
    </row>
    <row r="570" spans="1:21">
      <c r="A570" s="6" t="s">
        <v>1617</v>
      </c>
      <c r="B570" s="6" t="s">
        <v>1618</v>
      </c>
      <c r="C570" s="7">
        <v>0.94362314132426006</v>
      </c>
      <c r="D570" s="7">
        <v>0.88762153431856905</v>
      </c>
      <c r="E570" s="7">
        <v>0.80303888332196072</v>
      </c>
      <c r="F570" s="8">
        <v>0.77891397646714877</v>
      </c>
      <c r="G570" s="8">
        <f t="shared" si="64"/>
        <v>0.91562233782141456</v>
      </c>
      <c r="H570" s="8">
        <f t="shared" si="65"/>
        <v>0.79097642989455474</v>
      </c>
      <c r="I570" s="8">
        <f t="shared" si="66"/>
        <v>0.86386755458212605</v>
      </c>
      <c r="J570" s="22">
        <f t="shared" si="67"/>
        <v>-0.21111795494603525</v>
      </c>
      <c r="K570" s="8"/>
      <c r="L570" s="8">
        <v>0.73758096953074992</v>
      </c>
      <c r="M570" s="8">
        <v>0.9398817948847118</v>
      </c>
      <c r="N570" s="8">
        <v>1.0136136554988047</v>
      </c>
      <c r="O570" s="8">
        <v>0.85595448408163899</v>
      </c>
      <c r="P570" s="8">
        <f t="shared" si="68"/>
        <v>0.83873138220773091</v>
      </c>
      <c r="Q570" s="8">
        <f t="shared" si="69"/>
        <v>0.93478406979022188</v>
      </c>
      <c r="R570" s="8">
        <f t="shared" si="70"/>
        <v>1.1145213945967523</v>
      </c>
      <c r="S570" s="22">
        <f t="shared" si="71"/>
        <v>0.15642431115341263</v>
      </c>
      <c r="T570" s="25"/>
      <c r="U570" s="1" t="s">
        <v>1619</v>
      </c>
    </row>
    <row r="571" spans="1:21">
      <c r="A571" s="6" t="s">
        <v>1620</v>
      </c>
      <c r="B571" s="6" t="s">
        <v>1621</v>
      </c>
      <c r="C571" s="7">
        <v>0.91767651906627556</v>
      </c>
      <c r="D571" s="7">
        <v>1.0132938356706811</v>
      </c>
      <c r="E571" s="7">
        <v>0.83815258995575848</v>
      </c>
      <c r="F571" s="8">
        <v>0.8534146348243028</v>
      </c>
      <c r="G571" s="8">
        <f t="shared" si="64"/>
        <v>0.96548517736847828</v>
      </c>
      <c r="H571" s="8">
        <f t="shared" si="65"/>
        <v>0.84578361239003064</v>
      </c>
      <c r="I571" s="8">
        <f t="shared" si="66"/>
        <v>0.87601926183402867</v>
      </c>
      <c r="J571" s="22">
        <f t="shared" si="67"/>
        <v>-0.19096550286123459</v>
      </c>
      <c r="K571" s="8"/>
      <c r="L571" s="8">
        <v>0.64849415458566717</v>
      </c>
      <c r="M571" s="8">
        <v>1.2045806513469111</v>
      </c>
      <c r="N571" s="8">
        <v>0.76462168371365313</v>
      </c>
      <c r="O571" s="8">
        <v>0.95334420742746273</v>
      </c>
      <c r="P571" s="8">
        <f t="shared" si="68"/>
        <v>0.92653740296628917</v>
      </c>
      <c r="Q571" s="8">
        <f t="shared" si="69"/>
        <v>0.85898294557055799</v>
      </c>
      <c r="R571" s="8">
        <f t="shared" si="70"/>
        <v>0.92708933586549547</v>
      </c>
      <c r="S571" s="22">
        <f t="shared" si="71"/>
        <v>-0.10921972885191053</v>
      </c>
      <c r="T571" s="25"/>
      <c r="U571" s="1" t="s">
        <v>1622</v>
      </c>
    </row>
    <row r="572" spans="1:21">
      <c r="A572" s="6" t="s">
        <v>1623</v>
      </c>
      <c r="B572" s="6" t="s">
        <v>1624</v>
      </c>
      <c r="C572" s="7">
        <v>0.96528718943414549</v>
      </c>
      <c r="D572" s="7">
        <v>1.0414222000835756</v>
      </c>
      <c r="E572" s="7">
        <v>0.90276207055280011</v>
      </c>
      <c r="F572" s="8">
        <v>0.95782818826587968</v>
      </c>
      <c r="G572" s="8">
        <f t="shared" si="64"/>
        <v>1.0033546947588605</v>
      </c>
      <c r="H572" s="8">
        <f t="shared" si="65"/>
        <v>0.93029512940933989</v>
      </c>
      <c r="I572" s="8">
        <f t="shared" si="66"/>
        <v>0.92718470772982298</v>
      </c>
      <c r="J572" s="22">
        <f t="shared" si="67"/>
        <v>-0.10907132304716748</v>
      </c>
      <c r="K572" s="8"/>
      <c r="L572" s="8">
        <v>0.85915739725347329</v>
      </c>
      <c r="M572" s="8">
        <v>0.8116079568260447</v>
      </c>
      <c r="N572" s="8">
        <v>0.9187252328610902</v>
      </c>
      <c r="O572" s="8">
        <v>0.91942042160523929</v>
      </c>
      <c r="P572" s="8">
        <f t="shared" si="68"/>
        <v>0.83538267703975899</v>
      </c>
      <c r="Q572" s="8">
        <f t="shared" si="69"/>
        <v>0.91907282723316475</v>
      </c>
      <c r="R572" s="8">
        <f t="shared" si="70"/>
        <v>1.1001818118732938</v>
      </c>
      <c r="S572" s="22">
        <f t="shared" si="71"/>
        <v>0.13774195776221262</v>
      </c>
      <c r="T572" s="25"/>
      <c r="U572" s="1" t="s">
        <v>1625</v>
      </c>
    </row>
    <row r="573" spans="1:21">
      <c r="A573" s="6" t="s">
        <v>1626</v>
      </c>
      <c r="B573" s="6" t="s">
        <v>1627</v>
      </c>
      <c r="C573" s="7">
        <v>0.96061529036349191</v>
      </c>
      <c r="D573" s="7">
        <v>0.99987093490592238</v>
      </c>
      <c r="E573" s="7">
        <v>0.98227892752941104</v>
      </c>
      <c r="F573" s="8">
        <v>0.99990793078175122</v>
      </c>
      <c r="G573" s="8">
        <f t="shared" si="64"/>
        <v>0.98024311263470709</v>
      </c>
      <c r="H573" s="8">
        <f t="shared" si="65"/>
        <v>0.99109342915558107</v>
      </c>
      <c r="I573" s="8">
        <f t="shared" si="66"/>
        <v>1.0110690056181169</v>
      </c>
      <c r="J573" s="22">
        <f t="shared" si="67"/>
        <v>1.5881464763858533E-2</v>
      </c>
      <c r="K573" s="8"/>
      <c r="L573" s="8">
        <v>0.69600464998310729</v>
      </c>
      <c r="M573" s="8">
        <v>0.8372315237474629</v>
      </c>
      <c r="N573" s="8">
        <v>0.80763324408676107</v>
      </c>
      <c r="O573" s="8">
        <v>0.81661011996558497</v>
      </c>
      <c r="P573" s="8">
        <f t="shared" si="68"/>
        <v>0.7666180868652851</v>
      </c>
      <c r="Q573" s="8">
        <f t="shared" si="69"/>
        <v>0.81212168202617296</v>
      </c>
      <c r="R573" s="8">
        <f t="shared" si="70"/>
        <v>1.059356276535234</v>
      </c>
      <c r="S573" s="22">
        <f t="shared" si="71"/>
        <v>8.3187869734784856E-2</v>
      </c>
      <c r="T573" s="25"/>
      <c r="U573" s="1" t="s">
        <v>1628</v>
      </c>
    </row>
    <row r="574" spans="1:21">
      <c r="A574" s="6" t="s">
        <v>1629</v>
      </c>
      <c r="B574" s="6" t="s">
        <v>1630</v>
      </c>
      <c r="C574" s="7">
        <v>0.93843004921212236</v>
      </c>
      <c r="D574" s="7">
        <v>1.0518776024122845</v>
      </c>
      <c r="E574" s="7">
        <v>0.98279319946564947</v>
      </c>
      <c r="F574" s="8">
        <v>0.99146055016465284</v>
      </c>
      <c r="G574" s="8">
        <f t="shared" si="64"/>
        <v>0.99515382581220346</v>
      </c>
      <c r="H574" s="8">
        <f t="shared" si="65"/>
        <v>0.98712687481515116</v>
      </c>
      <c r="I574" s="8">
        <f t="shared" si="66"/>
        <v>0.99193395956599872</v>
      </c>
      <c r="J574" s="22">
        <f t="shared" si="67"/>
        <v>-1.1684022035478844E-2</v>
      </c>
      <c r="K574" s="8"/>
      <c r="L574" s="8">
        <v>0.83846195897730502</v>
      </c>
      <c r="M574" s="8">
        <v>0.90950012269021452</v>
      </c>
      <c r="N574" s="8">
        <v>0.87902225405514434</v>
      </c>
      <c r="O574" s="8">
        <v>0.88761969561476628</v>
      </c>
      <c r="P574" s="8">
        <f t="shared" si="68"/>
        <v>0.87398104083375983</v>
      </c>
      <c r="Q574" s="8">
        <f t="shared" si="69"/>
        <v>0.88332097483495531</v>
      </c>
      <c r="R574" s="8">
        <f t="shared" si="70"/>
        <v>1.0106866551616329</v>
      </c>
      <c r="S574" s="22">
        <f t="shared" si="71"/>
        <v>1.5335785456780894E-2</v>
      </c>
      <c r="T574" s="25"/>
      <c r="U574" s="1" t="s">
        <v>1631</v>
      </c>
    </row>
    <row r="575" spans="1:21">
      <c r="A575" s="6" t="s">
        <v>1632</v>
      </c>
      <c r="B575" s="6" t="s">
        <v>1633</v>
      </c>
      <c r="C575" s="7">
        <v>0.73122755776809678</v>
      </c>
      <c r="D575" s="7">
        <v>0.77761033170416827</v>
      </c>
      <c r="E575" s="7">
        <v>0.99033151468291636</v>
      </c>
      <c r="F575" s="8">
        <v>0.96547012096367335</v>
      </c>
      <c r="G575" s="8">
        <f t="shared" si="64"/>
        <v>0.75441894473613247</v>
      </c>
      <c r="H575" s="8">
        <f t="shared" si="65"/>
        <v>0.97790081782329485</v>
      </c>
      <c r="I575" s="8">
        <f t="shared" si="66"/>
        <v>1.2962304627242998</v>
      </c>
      <c r="J575" s="22">
        <f t="shared" si="67"/>
        <v>0.3743222443571651</v>
      </c>
      <c r="K575" s="8"/>
      <c r="L575" s="8">
        <v>0.98748395000534106</v>
      </c>
      <c r="M575" s="8">
        <v>1.0206135810754813</v>
      </c>
      <c r="N575" s="8">
        <v>0.98294564943395557</v>
      </c>
      <c r="O575" s="8">
        <v>1.0757589338964713</v>
      </c>
      <c r="P575" s="8">
        <f t="shared" si="68"/>
        <v>1.0040487655404111</v>
      </c>
      <c r="Q575" s="8">
        <f t="shared" si="69"/>
        <v>1.0293522916652134</v>
      </c>
      <c r="R575" s="8">
        <f t="shared" si="70"/>
        <v>1.0252014911956822</v>
      </c>
      <c r="S575" s="22">
        <f t="shared" si="71"/>
        <v>3.5907482200039767E-2</v>
      </c>
      <c r="T575" s="25"/>
      <c r="U575" s="1" t="s">
        <v>1634</v>
      </c>
    </row>
    <row r="576" spans="1:21">
      <c r="A576" s="6" t="s">
        <v>1635</v>
      </c>
      <c r="B576" s="6" t="s">
        <v>1636</v>
      </c>
      <c r="C576" s="7">
        <v>1.2049480764375906</v>
      </c>
      <c r="D576" s="7">
        <v>0.83860122646712987</v>
      </c>
      <c r="E576" s="7">
        <v>1.3591556297646885</v>
      </c>
      <c r="F576" s="8">
        <v>1.2896203441628893</v>
      </c>
      <c r="G576" s="8">
        <f t="shared" si="64"/>
        <v>1.0217746514523602</v>
      </c>
      <c r="H576" s="8">
        <f t="shared" si="65"/>
        <v>1.3243879869637889</v>
      </c>
      <c r="I576" s="8">
        <f t="shared" si="66"/>
        <v>1.2961644576730214</v>
      </c>
      <c r="J576" s="22">
        <f t="shared" si="67"/>
        <v>0.37424877934654938</v>
      </c>
      <c r="K576" s="8"/>
      <c r="L576" s="8">
        <v>0.21448336837111315</v>
      </c>
      <c r="M576" s="8">
        <v>0.19309327218864716</v>
      </c>
      <c r="N576" s="8">
        <v>0.21717868748551558</v>
      </c>
      <c r="O576" s="8">
        <v>0.23963473207309594</v>
      </c>
      <c r="P576" s="8">
        <f t="shared" si="68"/>
        <v>0.20378832027988014</v>
      </c>
      <c r="Q576" s="8">
        <f t="shared" si="69"/>
        <v>0.22840670977930577</v>
      </c>
      <c r="R576" s="8">
        <f t="shared" si="70"/>
        <v>1.1208037313699581</v>
      </c>
      <c r="S576" s="22">
        <f t="shared" si="71"/>
        <v>0.16453366389704807</v>
      </c>
      <c r="T576" s="25"/>
      <c r="U576" s="1" t="s">
        <v>1637</v>
      </c>
    </row>
    <row r="577" spans="1:21">
      <c r="A577" s="6" t="s">
        <v>1638</v>
      </c>
      <c r="B577" s="6" t="s">
        <v>1639</v>
      </c>
      <c r="C577" s="7">
        <v>1.0703798007869112</v>
      </c>
      <c r="D577" s="7">
        <v>1.0831557903770028</v>
      </c>
      <c r="E577" s="7">
        <v>0.90795035831459781</v>
      </c>
      <c r="F577" s="8">
        <v>0.991702839376151</v>
      </c>
      <c r="G577" s="8">
        <f t="shared" si="64"/>
        <v>1.076767795581957</v>
      </c>
      <c r="H577" s="8">
        <f t="shared" si="65"/>
        <v>0.94982659884537446</v>
      </c>
      <c r="I577" s="8">
        <f t="shared" si="66"/>
        <v>0.88210903292480525</v>
      </c>
      <c r="J577" s="22">
        <f t="shared" si="67"/>
        <v>-0.18097110402756766</v>
      </c>
      <c r="K577" s="8"/>
      <c r="L577" s="8">
        <v>1.0257964728355953</v>
      </c>
      <c r="M577" s="8">
        <v>1.1123436106023845</v>
      </c>
      <c r="N577" s="8">
        <v>0.91634984096671734</v>
      </c>
      <c r="O577" s="8">
        <v>0.94037999100805114</v>
      </c>
      <c r="P577" s="8">
        <f t="shared" si="68"/>
        <v>1.06907004171899</v>
      </c>
      <c r="Q577" s="8">
        <f t="shared" si="69"/>
        <v>0.92836491598738424</v>
      </c>
      <c r="R577" s="8">
        <f t="shared" si="70"/>
        <v>0.86838549370875484</v>
      </c>
      <c r="S577" s="22">
        <f t="shared" si="71"/>
        <v>-0.20359246880676177</v>
      </c>
      <c r="T577" s="25"/>
      <c r="U577" s="1" t="s">
        <v>1640</v>
      </c>
    </row>
    <row r="578" spans="1:21">
      <c r="A578" s="6" t="s">
        <v>1641</v>
      </c>
      <c r="B578" s="6" t="s">
        <v>1642</v>
      </c>
      <c r="C578" s="7">
        <v>0.99421654295363593</v>
      </c>
      <c r="D578" s="7">
        <v>0.99375361291804887</v>
      </c>
      <c r="E578" s="7">
        <v>0.9932088336173136</v>
      </c>
      <c r="F578" s="8">
        <v>1.1065020871268116</v>
      </c>
      <c r="G578" s="8">
        <f t="shared" si="64"/>
        <v>0.99398507793584234</v>
      </c>
      <c r="H578" s="8">
        <f t="shared" si="65"/>
        <v>1.0498554603720627</v>
      </c>
      <c r="I578" s="8">
        <f t="shared" si="66"/>
        <v>1.0562084720147344</v>
      </c>
      <c r="J578" s="22">
        <f t="shared" si="67"/>
        <v>7.8894618652858392E-2</v>
      </c>
      <c r="K578" s="8"/>
      <c r="L578" s="8">
        <v>0.8228847473715869</v>
      </c>
      <c r="M578" s="8">
        <v>0.77572716296348054</v>
      </c>
      <c r="N578" s="8">
        <v>1.2580245143448088</v>
      </c>
      <c r="O578" s="8">
        <v>0.91296089913842449</v>
      </c>
      <c r="P578" s="8">
        <f t="shared" si="68"/>
        <v>0.79930595516753367</v>
      </c>
      <c r="Q578" s="8">
        <f t="shared" si="69"/>
        <v>1.0854927067416167</v>
      </c>
      <c r="R578" s="8">
        <f t="shared" si="70"/>
        <v>1.3580440627570436</v>
      </c>
      <c r="S578" s="22">
        <f t="shared" si="71"/>
        <v>0.44153028966349128</v>
      </c>
      <c r="T578" s="25"/>
      <c r="U578" s="1" t="s">
        <v>1643</v>
      </c>
    </row>
    <row r="579" spans="1:21">
      <c r="A579" s="6" t="s">
        <v>1644</v>
      </c>
      <c r="B579" s="6" t="s">
        <v>80</v>
      </c>
      <c r="C579" s="7">
        <v>0.89801561047727529</v>
      </c>
      <c r="D579" s="7">
        <v>0.94379024412294987</v>
      </c>
      <c r="E579" s="7">
        <v>1.0466670759007299</v>
      </c>
      <c r="F579" s="8">
        <v>1.0521834652517486</v>
      </c>
      <c r="G579" s="8">
        <f t="shared" si="64"/>
        <v>0.92090292730011258</v>
      </c>
      <c r="H579" s="8">
        <f t="shared" si="65"/>
        <v>1.0494252705762392</v>
      </c>
      <c r="I579" s="8">
        <f t="shared" si="66"/>
        <v>1.1395612278624483</v>
      </c>
      <c r="J579" s="22">
        <f t="shared" si="67"/>
        <v>0.18847844172513706</v>
      </c>
      <c r="K579" s="8"/>
      <c r="L579" s="8">
        <v>1.2624959120443873</v>
      </c>
      <c r="M579" s="8">
        <v>0.90474201741713534</v>
      </c>
      <c r="N579" s="8">
        <v>1.6505156071775189</v>
      </c>
      <c r="O579" s="8">
        <v>1.1955537141901282</v>
      </c>
      <c r="P579" s="8">
        <f t="shared" si="68"/>
        <v>1.0836189647307612</v>
      </c>
      <c r="Q579" s="8">
        <f t="shared" si="69"/>
        <v>1.4230346606838236</v>
      </c>
      <c r="R579" s="8">
        <f t="shared" si="70"/>
        <v>1.3132242116465676</v>
      </c>
      <c r="S579" s="22">
        <f t="shared" si="71"/>
        <v>0.39311325394253366</v>
      </c>
      <c r="T579" s="25"/>
      <c r="U579" s="1">
        <v>0</v>
      </c>
    </row>
    <row r="580" spans="1:21">
      <c r="A580" s="6" t="s">
        <v>1645</v>
      </c>
      <c r="B580" s="6" t="s">
        <v>80</v>
      </c>
      <c r="C580" s="7">
        <v>0.95025422387615543</v>
      </c>
      <c r="D580" s="7">
        <v>0.95750863731672187</v>
      </c>
      <c r="E580" s="7">
        <v>1.0215523780525297</v>
      </c>
      <c r="F580" s="8">
        <v>0.93152343792565928</v>
      </c>
      <c r="G580" s="8">
        <f t="shared" si="64"/>
        <v>0.95388143059643871</v>
      </c>
      <c r="H580" s="8">
        <f t="shared" si="65"/>
        <v>0.97653790798909457</v>
      </c>
      <c r="I580" s="8">
        <f t="shared" si="66"/>
        <v>1.0237518801246497</v>
      </c>
      <c r="J580" s="22">
        <f t="shared" si="67"/>
        <v>3.3866101384249885E-2</v>
      </c>
      <c r="K580" s="8"/>
      <c r="L580" s="8">
        <v>1.3939749957164598</v>
      </c>
      <c r="M580" s="8">
        <v>1.0173375085923775</v>
      </c>
      <c r="N580" s="8">
        <v>1.5189782810266237</v>
      </c>
      <c r="O580" s="8">
        <v>1.3888425018509722</v>
      </c>
      <c r="P580" s="8">
        <f t="shared" si="68"/>
        <v>1.2056562521544185</v>
      </c>
      <c r="Q580" s="8">
        <f t="shared" si="69"/>
        <v>1.4539103914387979</v>
      </c>
      <c r="R580" s="8">
        <f t="shared" si="70"/>
        <v>1.2059078935980032</v>
      </c>
      <c r="S580" s="22">
        <f t="shared" si="71"/>
        <v>0.27011971940718366</v>
      </c>
      <c r="T580" s="25"/>
      <c r="U580" s="1">
        <v>0</v>
      </c>
    </row>
    <row r="581" spans="1:21">
      <c r="A581" s="6" t="s">
        <v>1646</v>
      </c>
      <c r="B581" s="6" t="s">
        <v>1647</v>
      </c>
      <c r="C581" s="7">
        <v>0.14906748929871572</v>
      </c>
      <c r="D581" s="7">
        <v>0.13808298337067565</v>
      </c>
      <c r="E581" s="7">
        <v>0.22936528356233404</v>
      </c>
      <c r="F581" s="8">
        <v>0.2023442333863108</v>
      </c>
      <c r="G581" s="8">
        <f t="shared" si="64"/>
        <v>0.14357523633469568</v>
      </c>
      <c r="H581" s="8">
        <f t="shared" si="65"/>
        <v>0.21585475847432242</v>
      </c>
      <c r="I581" s="8">
        <f t="shared" si="66"/>
        <v>1.5034261059555716</v>
      </c>
      <c r="J581" s="22">
        <f t="shared" si="67"/>
        <v>0.58825396056819468</v>
      </c>
      <c r="K581" s="8"/>
      <c r="L581" s="8">
        <v>0.92925484947920456</v>
      </c>
      <c r="M581" s="8">
        <v>1.0495522213428972</v>
      </c>
      <c r="N581" s="8">
        <v>1.1611424592243171</v>
      </c>
      <c r="O581" s="8">
        <v>1.273248669735034</v>
      </c>
      <c r="P581" s="8">
        <f t="shared" si="68"/>
        <v>0.98940353541105086</v>
      </c>
      <c r="Q581" s="8">
        <f t="shared" si="69"/>
        <v>1.2171955644796757</v>
      </c>
      <c r="R581" s="8">
        <f t="shared" si="70"/>
        <v>1.2302316708156777</v>
      </c>
      <c r="S581" s="22">
        <f t="shared" si="71"/>
        <v>0.2989300219585509</v>
      </c>
      <c r="T581" s="25"/>
      <c r="U581" s="1" t="s">
        <v>1648</v>
      </c>
    </row>
    <row r="582" spans="1:21">
      <c r="A582" s="6" t="s">
        <v>1649</v>
      </c>
      <c r="B582" s="6" t="s">
        <v>1650</v>
      </c>
      <c r="C582" s="7">
        <v>1.0693750913093514</v>
      </c>
      <c r="D582" s="7">
        <v>1.0774974247150437</v>
      </c>
      <c r="E582" s="7">
        <v>1.0678043034572633</v>
      </c>
      <c r="F582" s="8">
        <v>1.1373317522006872</v>
      </c>
      <c r="G582" s="8">
        <f t="shared" ref="G582:G645" si="72">AVERAGE(C582:D582)</f>
        <v>1.0734362580121974</v>
      </c>
      <c r="H582" s="8">
        <f t="shared" ref="H582:H645" si="73">AVERAGE(E582:F582)</f>
        <v>1.1025680278289753</v>
      </c>
      <c r="I582" s="8">
        <f t="shared" ref="I582:I645" si="74">H582/G582</f>
        <v>1.0271387980416504</v>
      </c>
      <c r="J582" s="22">
        <f t="shared" ref="J582:J645" si="75">LOG(I582,2)</f>
        <v>3.86311472999777E-2</v>
      </c>
      <c r="K582" s="8"/>
      <c r="L582" s="8">
        <v>0.82640816428240416</v>
      </c>
      <c r="M582" s="8">
        <v>1.0316508252745091</v>
      </c>
      <c r="N582" s="8">
        <v>1.0830514506968103</v>
      </c>
      <c r="O582" s="8">
        <v>1.1733293431854226</v>
      </c>
      <c r="P582" s="8">
        <f t="shared" ref="P582:P645" si="76">AVERAGE(L582:M582)</f>
        <v>0.92902949477845664</v>
      </c>
      <c r="Q582" s="8">
        <f t="shared" ref="Q582:Q645" si="77">AVERAGE(N582:O582)</f>
        <v>1.1281903969411164</v>
      </c>
      <c r="R582" s="8">
        <f t="shared" ref="R582:R645" si="78">Q582/P582</f>
        <v>1.2143752198202848</v>
      </c>
      <c r="S582" s="22">
        <f t="shared" ref="S582:S645" si="79">LOG(R582,2)</f>
        <v>0.2802142569602698</v>
      </c>
      <c r="T582" s="25"/>
      <c r="U582" s="1" t="s">
        <v>1651</v>
      </c>
    </row>
    <row r="583" spans="1:21">
      <c r="A583" s="6" t="s">
        <v>1652</v>
      </c>
      <c r="B583" s="6" t="s">
        <v>1653</v>
      </c>
      <c r="C583" s="7">
        <v>1.0622353745844413</v>
      </c>
      <c r="D583" s="7">
        <v>0.97591089986400448</v>
      </c>
      <c r="E583" s="7">
        <v>0.96916824804100388</v>
      </c>
      <c r="F583" s="8">
        <v>0.94737046202905317</v>
      </c>
      <c r="G583" s="8">
        <f t="shared" si="72"/>
        <v>1.0190731372242228</v>
      </c>
      <c r="H583" s="8">
        <f t="shared" si="73"/>
        <v>0.95826935503502852</v>
      </c>
      <c r="I583" s="8">
        <f t="shared" si="74"/>
        <v>0.94033423120659121</v>
      </c>
      <c r="J583" s="22">
        <f t="shared" si="75"/>
        <v>-8.8754457247145646E-2</v>
      </c>
      <c r="K583" s="8"/>
      <c r="L583" s="8">
        <v>0.9625604114361922</v>
      </c>
      <c r="M583" s="8">
        <v>0.8639861156928097</v>
      </c>
      <c r="N583" s="8">
        <v>0.89285042829738615</v>
      </c>
      <c r="O583" s="8">
        <v>0.89683467871427835</v>
      </c>
      <c r="P583" s="8">
        <f t="shared" si="76"/>
        <v>0.91327326356450089</v>
      </c>
      <c r="Q583" s="8">
        <f t="shared" si="77"/>
        <v>0.89484255350583219</v>
      </c>
      <c r="R583" s="8">
        <f t="shared" si="78"/>
        <v>0.97981906315013134</v>
      </c>
      <c r="S583" s="22">
        <f t="shared" si="79"/>
        <v>-2.9412734227389336E-2</v>
      </c>
      <c r="T583" s="25"/>
      <c r="U583" s="1" t="s">
        <v>1654</v>
      </c>
    </row>
    <row r="584" spans="1:21">
      <c r="A584" s="6" t="s">
        <v>1655</v>
      </c>
      <c r="B584" s="6" t="s">
        <v>1656</v>
      </c>
      <c r="C584" s="7">
        <v>0.96025736261211125</v>
      </c>
      <c r="D584" s="7">
        <v>1.0274523239714943</v>
      </c>
      <c r="E584" s="7">
        <v>0.94538154354714088</v>
      </c>
      <c r="F584" s="8">
        <v>1.0151459576778661</v>
      </c>
      <c r="G584" s="8">
        <f t="shared" si="72"/>
        <v>0.99385484329180285</v>
      </c>
      <c r="H584" s="8">
        <f t="shared" si="73"/>
        <v>0.98026375061250348</v>
      </c>
      <c r="I584" s="8">
        <f t="shared" si="74"/>
        <v>0.98632487151314419</v>
      </c>
      <c r="J584" s="22">
        <f t="shared" si="75"/>
        <v>-1.9865181220470821E-2</v>
      </c>
      <c r="K584" s="8"/>
      <c r="L584" s="8">
        <v>1.251666041118507</v>
      </c>
      <c r="M584" s="8">
        <v>1.0994343249844403</v>
      </c>
      <c r="N584" s="8">
        <v>0.82786649290132963</v>
      </c>
      <c r="O584" s="8">
        <v>0.91390950033984486</v>
      </c>
      <c r="P584" s="8">
        <f t="shared" si="76"/>
        <v>1.1755501830514736</v>
      </c>
      <c r="Q584" s="8">
        <f t="shared" si="77"/>
        <v>0.87088799662058725</v>
      </c>
      <c r="R584" s="8">
        <f t="shared" si="78"/>
        <v>0.74083438476437535</v>
      </c>
      <c r="S584" s="22">
        <f t="shared" si="79"/>
        <v>-0.43277703411613516</v>
      </c>
      <c r="T584" s="25"/>
      <c r="U584" s="1" t="s">
        <v>1657</v>
      </c>
    </row>
    <row r="585" spans="1:21">
      <c r="A585" s="6" t="s">
        <v>1658</v>
      </c>
      <c r="B585" s="6" t="s">
        <v>1659</v>
      </c>
      <c r="C585" s="7">
        <v>1.0689732075183274</v>
      </c>
      <c r="D585" s="7">
        <v>1.0306147216692336</v>
      </c>
      <c r="E585" s="7">
        <v>1.0037937218239423</v>
      </c>
      <c r="F585" s="8">
        <v>0.97537123684976079</v>
      </c>
      <c r="G585" s="8">
        <f t="shared" si="72"/>
        <v>1.0497939645937806</v>
      </c>
      <c r="H585" s="8">
        <f t="shared" si="73"/>
        <v>0.98958247933685151</v>
      </c>
      <c r="I585" s="8">
        <f t="shared" si="74"/>
        <v>0.94264447378469352</v>
      </c>
      <c r="J585" s="22">
        <f t="shared" si="75"/>
        <v>-8.5214345854248461E-2</v>
      </c>
      <c r="K585" s="8"/>
      <c r="L585" s="8">
        <v>1.1758569446373459</v>
      </c>
      <c r="M585" s="8">
        <v>0.93348565337008083</v>
      </c>
      <c r="N585" s="8">
        <v>0.82438824048456938</v>
      </c>
      <c r="O585" s="8">
        <v>0.86539532461006063</v>
      </c>
      <c r="P585" s="8">
        <f t="shared" si="76"/>
        <v>1.0546712990037133</v>
      </c>
      <c r="Q585" s="8">
        <f t="shared" si="77"/>
        <v>0.84489178254731501</v>
      </c>
      <c r="R585" s="8">
        <f t="shared" si="78"/>
        <v>0.80109488458198796</v>
      </c>
      <c r="S585" s="22">
        <f t="shared" si="79"/>
        <v>-0.31995496410265839</v>
      </c>
      <c r="T585" s="25"/>
      <c r="U585" s="1" t="s">
        <v>1660</v>
      </c>
    </row>
    <row r="586" spans="1:21">
      <c r="A586" s="6" t="s">
        <v>1661</v>
      </c>
      <c r="B586" s="6" t="s">
        <v>1662</v>
      </c>
      <c r="C586" s="7">
        <v>0.92978954770510713</v>
      </c>
      <c r="D586" s="7">
        <v>1.0029327394363381</v>
      </c>
      <c r="E586" s="7">
        <v>0.97114721852982</v>
      </c>
      <c r="F586" s="8">
        <v>0.94846403765932874</v>
      </c>
      <c r="G586" s="8">
        <f t="shared" si="72"/>
        <v>0.96636114357072267</v>
      </c>
      <c r="H586" s="8">
        <f t="shared" si="73"/>
        <v>0.95980562809457437</v>
      </c>
      <c r="I586" s="8">
        <f t="shared" si="74"/>
        <v>0.99321628821713015</v>
      </c>
      <c r="J586" s="22">
        <f t="shared" si="75"/>
        <v>-9.8201737497807338E-3</v>
      </c>
      <c r="K586" s="8"/>
      <c r="L586" s="8">
        <v>1.2615316084687951</v>
      </c>
      <c r="M586" s="8">
        <v>1.2202199973674417</v>
      </c>
      <c r="N586" s="8">
        <v>1.1587670673299442</v>
      </c>
      <c r="O586" s="8">
        <v>0.76326259525713513</v>
      </c>
      <c r="P586" s="8">
        <f t="shared" si="76"/>
        <v>1.2408758029181184</v>
      </c>
      <c r="Q586" s="8">
        <f t="shared" si="77"/>
        <v>0.9610148312935396</v>
      </c>
      <c r="R586" s="8">
        <f t="shared" si="78"/>
        <v>0.7744649617903413</v>
      </c>
      <c r="S586" s="22">
        <f t="shared" si="79"/>
        <v>-0.36872812455524778</v>
      </c>
      <c r="T586" s="25"/>
      <c r="U586" s="1" t="s">
        <v>1663</v>
      </c>
    </row>
    <row r="587" spans="1:21">
      <c r="A587" s="6" t="s">
        <v>1664</v>
      </c>
      <c r="B587" s="6" t="s">
        <v>1665</v>
      </c>
      <c r="C587" s="7">
        <v>0.80768594901040536</v>
      </c>
      <c r="D587" s="7">
        <v>0.96650543871923689</v>
      </c>
      <c r="E587" s="7">
        <v>0.87446409451699758</v>
      </c>
      <c r="F587" s="8">
        <v>1.011871779144107</v>
      </c>
      <c r="G587" s="8">
        <f t="shared" si="72"/>
        <v>0.88709569386482112</v>
      </c>
      <c r="H587" s="8">
        <f t="shared" si="73"/>
        <v>0.94316793683055233</v>
      </c>
      <c r="I587" s="8">
        <f t="shared" si="74"/>
        <v>1.0632087872295271</v>
      </c>
      <c r="J587" s="22">
        <f t="shared" si="75"/>
        <v>8.8424933391203955E-2</v>
      </c>
      <c r="K587" s="8"/>
      <c r="L587" s="8">
        <v>1.157312645106729</v>
      </c>
      <c r="M587" s="8">
        <v>0.94834498213272966</v>
      </c>
      <c r="N587" s="8">
        <v>0.8696903573272512</v>
      </c>
      <c r="O587" s="8">
        <v>1.0780626796713493</v>
      </c>
      <c r="P587" s="8">
        <f t="shared" si="76"/>
        <v>1.0528288136197292</v>
      </c>
      <c r="Q587" s="8">
        <f t="shared" si="77"/>
        <v>0.97387651849930024</v>
      </c>
      <c r="R587" s="8">
        <f t="shared" si="78"/>
        <v>0.92500937085015444</v>
      </c>
      <c r="S587" s="22">
        <f t="shared" si="79"/>
        <v>-0.11246011389563672</v>
      </c>
      <c r="T587" s="25"/>
      <c r="U587" s="1" t="s">
        <v>1666</v>
      </c>
    </row>
    <row r="588" spans="1:21">
      <c r="A588" s="6" t="s">
        <v>1667</v>
      </c>
      <c r="B588" s="6" t="s">
        <v>1668</v>
      </c>
      <c r="C588" s="7">
        <v>9.4913648458237007E-2</v>
      </c>
      <c r="D588" s="7">
        <v>9.6380828442036964E-2</v>
      </c>
      <c r="E588" s="7">
        <v>0.2055395204404023</v>
      </c>
      <c r="F588" s="8">
        <v>0.20400751608146042</v>
      </c>
      <c r="G588" s="8">
        <f t="shared" si="72"/>
        <v>9.5647238450136979E-2</v>
      </c>
      <c r="H588" s="8">
        <f t="shared" si="73"/>
        <v>0.20477351826093138</v>
      </c>
      <c r="I588" s="8">
        <f t="shared" si="74"/>
        <v>2.1409245220151791</v>
      </c>
      <c r="J588" s="22">
        <f t="shared" si="75"/>
        <v>1.0982339346146623</v>
      </c>
      <c r="K588" s="8"/>
      <c r="L588" s="8">
        <v>1.1743734006748965</v>
      </c>
      <c r="M588" s="8">
        <v>0.83539848319144061</v>
      </c>
      <c r="N588" s="8">
        <v>1.1127014316640711</v>
      </c>
      <c r="O588" s="8">
        <v>0.60159384764363655</v>
      </c>
      <c r="P588" s="8">
        <f t="shared" si="76"/>
        <v>1.0048859419331686</v>
      </c>
      <c r="Q588" s="8">
        <f t="shared" si="77"/>
        <v>0.85714763965385377</v>
      </c>
      <c r="R588" s="8">
        <f t="shared" si="78"/>
        <v>0.85298002876316448</v>
      </c>
      <c r="S588" s="22">
        <f t="shared" si="79"/>
        <v>-0.22941613146998657</v>
      </c>
      <c r="T588" s="25"/>
      <c r="U588" s="1" t="s">
        <v>1669</v>
      </c>
    </row>
    <row r="589" spans="1:21">
      <c r="A589" s="6" t="s">
        <v>1670</v>
      </c>
      <c r="B589" s="6" t="s">
        <v>1671</v>
      </c>
      <c r="C589" s="7">
        <v>0.98217886752562134</v>
      </c>
      <c r="D589" s="7">
        <v>0.89664977108587263</v>
      </c>
      <c r="E589" s="7">
        <v>1.0274307015768751</v>
      </c>
      <c r="F589" s="8">
        <v>1.0331211978282033</v>
      </c>
      <c r="G589" s="8">
        <f t="shared" si="72"/>
        <v>0.93941431930574693</v>
      </c>
      <c r="H589" s="8">
        <f t="shared" si="73"/>
        <v>1.0302759497025393</v>
      </c>
      <c r="I589" s="8">
        <f t="shared" si="74"/>
        <v>1.0967215727177138</v>
      </c>
      <c r="J589" s="22">
        <f t="shared" si="75"/>
        <v>0.13319731184545472</v>
      </c>
      <c r="K589" s="8"/>
      <c r="L589" s="8">
        <v>1.1549389747668102</v>
      </c>
      <c r="M589" s="8">
        <v>0.57853880017095372</v>
      </c>
      <c r="N589" s="8">
        <v>0.6473791266413943</v>
      </c>
      <c r="O589" s="8">
        <v>0.69717671155818339</v>
      </c>
      <c r="P589" s="8">
        <f t="shared" si="76"/>
        <v>0.86673888746888195</v>
      </c>
      <c r="Q589" s="8">
        <f t="shared" si="77"/>
        <v>0.67227791909978885</v>
      </c>
      <c r="R589" s="8">
        <f t="shared" si="78"/>
        <v>0.77564065581853248</v>
      </c>
      <c r="S589" s="22">
        <f t="shared" si="79"/>
        <v>-0.36653966945895827</v>
      </c>
      <c r="T589" s="25"/>
      <c r="U589" s="1" t="s">
        <v>1672</v>
      </c>
    </row>
    <row r="590" spans="1:21">
      <c r="A590" s="6" t="s">
        <v>1673</v>
      </c>
      <c r="B590" s="6" t="s">
        <v>1674</v>
      </c>
      <c r="C590" s="7">
        <v>0.73637669384059123</v>
      </c>
      <c r="D590" s="7">
        <v>0.75074566895577799</v>
      </c>
      <c r="E590" s="7">
        <v>0.81504941145309839</v>
      </c>
      <c r="F590" s="8">
        <v>0.89648972761443713</v>
      </c>
      <c r="G590" s="8">
        <f t="shared" si="72"/>
        <v>0.74356118139818461</v>
      </c>
      <c r="H590" s="8">
        <f t="shared" si="73"/>
        <v>0.8557695695337677</v>
      </c>
      <c r="I590" s="8">
        <f t="shared" si="74"/>
        <v>1.1509067322807085</v>
      </c>
      <c r="J590" s="22">
        <f t="shared" si="75"/>
        <v>0.20277092441011629</v>
      </c>
      <c r="K590" s="8"/>
      <c r="L590" s="8">
        <v>0.94965357896288294</v>
      </c>
      <c r="M590" s="8">
        <v>1.000528136685024</v>
      </c>
      <c r="N590" s="8">
        <v>0.92852372442537812</v>
      </c>
      <c r="O590" s="8">
        <v>0.9819829294132012</v>
      </c>
      <c r="P590" s="8">
        <f t="shared" si="76"/>
        <v>0.97509085782395344</v>
      </c>
      <c r="Q590" s="8">
        <f t="shared" si="77"/>
        <v>0.95525332691928966</v>
      </c>
      <c r="R590" s="8">
        <f t="shared" si="78"/>
        <v>0.97965571029049137</v>
      </c>
      <c r="S590" s="22">
        <f t="shared" si="79"/>
        <v>-2.9653276605640797E-2</v>
      </c>
      <c r="T590" s="25"/>
      <c r="U590" s="1" t="s">
        <v>1675</v>
      </c>
    </row>
    <row r="591" spans="1:21">
      <c r="A591" s="6" t="s">
        <v>1676</v>
      </c>
      <c r="B591" s="11" t="s">
        <v>1677</v>
      </c>
      <c r="C591" s="12">
        <v>0.75124011467424312</v>
      </c>
      <c r="D591" s="12">
        <v>0.72933818553469931</v>
      </c>
      <c r="E591" s="12">
        <v>0.73837732455416072</v>
      </c>
      <c r="F591" s="8">
        <v>0.82655327413334334</v>
      </c>
      <c r="G591" s="8">
        <f t="shared" si="72"/>
        <v>0.74028915010447127</v>
      </c>
      <c r="H591" s="8">
        <f t="shared" si="73"/>
        <v>0.78246529934375197</v>
      </c>
      <c r="I591" s="8">
        <f t="shared" si="74"/>
        <v>1.0569725346282985</v>
      </c>
      <c r="J591" s="22">
        <f t="shared" si="75"/>
        <v>7.9937888858381101E-2</v>
      </c>
      <c r="K591" s="8"/>
      <c r="L591" s="8">
        <v>1.1008267087364705</v>
      </c>
      <c r="M591" s="8">
        <v>1.1672178246943714</v>
      </c>
      <c r="N591" s="8">
        <v>0.98146102949997249</v>
      </c>
      <c r="O591" s="8">
        <v>0.82758679101059196</v>
      </c>
      <c r="P591" s="8">
        <f t="shared" si="76"/>
        <v>1.1340222667154209</v>
      </c>
      <c r="Q591" s="8">
        <f t="shared" si="77"/>
        <v>0.90452391025528223</v>
      </c>
      <c r="R591" s="8">
        <f t="shared" si="78"/>
        <v>0.79762447070386266</v>
      </c>
      <c r="S591" s="22">
        <f t="shared" si="79"/>
        <v>-0.3262184233388743</v>
      </c>
      <c r="T591" s="25"/>
      <c r="U591" s="1" t="s">
        <v>1678</v>
      </c>
    </row>
    <row r="592" spans="1:21">
      <c r="A592" s="6" t="s">
        <v>1679</v>
      </c>
      <c r="B592" s="6" t="s">
        <v>1680</v>
      </c>
      <c r="C592" s="7">
        <v>0.80070949757559873</v>
      </c>
      <c r="D592" s="7">
        <v>0.8350238819541802</v>
      </c>
      <c r="E592" s="7">
        <v>0.71125761713176527</v>
      </c>
      <c r="F592" s="8">
        <v>0.82107229926783065</v>
      </c>
      <c r="G592" s="8">
        <f t="shared" si="72"/>
        <v>0.81786668976488941</v>
      </c>
      <c r="H592" s="8">
        <f t="shared" si="73"/>
        <v>0.76616495819979802</v>
      </c>
      <c r="I592" s="8">
        <f t="shared" si="74"/>
        <v>0.93678464692093766</v>
      </c>
      <c r="J592" s="22">
        <f t="shared" si="75"/>
        <v>-9.4210663361356223E-2</v>
      </c>
      <c r="K592" s="8"/>
      <c r="L592" s="8">
        <v>1.2716938846115731</v>
      </c>
      <c r="M592" s="8">
        <v>0.97322753265916007</v>
      </c>
      <c r="N592" s="8">
        <v>0.97764343538401621</v>
      </c>
      <c r="O592" s="8">
        <v>1.0352852826358692</v>
      </c>
      <c r="P592" s="8">
        <f t="shared" si="76"/>
        <v>1.1224607086353666</v>
      </c>
      <c r="Q592" s="8">
        <f t="shared" si="77"/>
        <v>1.0064643590099427</v>
      </c>
      <c r="R592" s="8">
        <f t="shared" si="78"/>
        <v>0.89665887747068962</v>
      </c>
      <c r="S592" s="22">
        <f t="shared" si="79"/>
        <v>-0.15736886044842152</v>
      </c>
      <c r="T592" s="25"/>
      <c r="U592" s="1" t="s">
        <v>1681</v>
      </c>
    </row>
    <row r="593" spans="1:21">
      <c r="A593" s="6" t="s">
        <v>1682</v>
      </c>
      <c r="B593" s="6" t="s">
        <v>1683</v>
      </c>
      <c r="C593" s="7">
        <v>0.83888845772287501</v>
      </c>
      <c r="D593" s="7">
        <v>0.85561404589075363</v>
      </c>
      <c r="E593" s="7">
        <v>0.76939638501208552</v>
      </c>
      <c r="F593" s="8">
        <v>0.77816746376145174</v>
      </c>
      <c r="G593" s="8">
        <f t="shared" si="72"/>
        <v>0.84725125180681427</v>
      </c>
      <c r="H593" s="8">
        <f t="shared" si="73"/>
        <v>0.77378192438676863</v>
      </c>
      <c r="I593" s="8">
        <f t="shared" si="74"/>
        <v>0.91328507657749947</v>
      </c>
      <c r="J593" s="22">
        <f t="shared" si="75"/>
        <v>-0.13086283558820788</v>
      </c>
      <c r="K593" s="8"/>
      <c r="L593" s="8">
        <v>1.192064662427105</v>
      </c>
      <c r="M593" s="8">
        <v>0.90091993285351435</v>
      </c>
      <c r="N593" s="8">
        <v>0.81675305225265671</v>
      </c>
      <c r="O593" s="8">
        <v>1.0343818529202307</v>
      </c>
      <c r="P593" s="8">
        <f t="shared" si="76"/>
        <v>1.0464922976403097</v>
      </c>
      <c r="Q593" s="8">
        <f t="shared" si="77"/>
        <v>0.92556745258644368</v>
      </c>
      <c r="R593" s="8">
        <f t="shared" si="78"/>
        <v>0.88444745811647707</v>
      </c>
      <c r="S593" s="22">
        <f t="shared" si="79"/>
        <v>-0.17715165481652886</v>
      </c>
      <c r="T593" s="25"/>
      <c r="U593" s="1" t="s">
        <v>1684</v>
      </c>
    </row>
    <row r="594" spans="1:21">
      <c r="A594" s="6" t="s">
        <v>1685</v>
      </c>
      <c r="B594" s="6" t="s">
        <v>1686</v>
      </c>
      <c r="C594" s="7">
        <v>0.92184606339814923</v>
      </c>
      <c r="D594" s="7">
        <v>0.90203779261064931</v>
      </c>
      <c r="E594" s="7">
        <v>0.84110802614629321</v>
      </c>
      <c r="F594" s="8">
        <v>0.76452068763274394</v>
      </c>
      <c r="G594" s="8">
        <f t="shared" si="72"/>
        <v>0.91194192800439922</v>
      </c>
      <c r="H594" s="8">
        <f t="shared" si="73"/>
        <v>0.80281435688951852</v>
      </c>
      <c r="I594" s="8">
        <f t="shared" si="74"/>
        <v>0.88033495580833276</v>
      </c>
      <c r="J594" s="22">
        <f t="shared" si="75"/>
        <v>-0.18387554029777248</v>
      </c>
      <c r="K594" s="8"/>
      <c r="L594" s="8">
        <v>1.1940674467764114</v>
      </c>
      <c r="M594" s="8">
        <v>1.0550903438738581</v>
      </c>
      <c r="N594" s="8">
        <v>0.76190695012008414</v>
      </c>
      <c r="O594" s="8">
        <v>0.88626455104130863</v>
      </c>
      <c r="P594" s="8">
        <f t="shared" si="76"/>
        <v>1.1245788953251348</v>
      </c>
      <c r="Q594" s="8">
        <f t="shared" si="77"/>
        <v>0.82408575058069644</v>
      </c>
      <c r="R594" s="8">
        <f t="shared" si="78"/>
        <v>0.73279496352493734</v>
      </c>
      <c r="S594" s="22">
        <f t="shared" si="79"/>
        <v>-0.44851850701277601</v>
      </c>
      <c r="T594" s="25"/>
      <c r="U594" s="1" t="s">
        <v>1687</v>
      </c>
    </row>
    <row r="595" spans="1:21">
      <c r="A595" s="6" t="s">
        <v>1688</v>
      </c>
      <c r="B595" s="6" t="s">
        <v>1689</v>
      </c>
      <c r="C595" s="7">
        <v>0.86180839267971032</v>
      </c>
      <c r="D595" s="7">
        <v>0.92873899146213856</v>
      </c>
      <c r="E595" s="7">
        <v>0.81107194116143166</v>
      </c>
      <c r="F595" s="8">
        <v>0.82132768519346389</v>
      </c>
      <c r="G595" s="8">
        <f t="shared" si="72"/>
        <v>0.89527369207092444</v>
      </c>
      <c r="H595" s="8">
        <f t="shared" si="73"/>
        <v>0.81619981317744772</v>
      </c>
      <c r="I595" s="8">
        <f t="shared" si="74"/>
        <v>0.91167630681678469</v>
      </c>
      <c r="J595" s="22">
        <f t="shared" si="75"/>
        <v>-0.13340641243103482</v>
      </c>
      <c r="K595" s="8"/>
      <c r="L595" s="8">
        <v>1.3422734886251004</v>
      </c>
      <c r="M595" s="8">
        <v>0.95793919440467612</v>
      </c>
      <c r="N595" s="8">
        <v>1.4516189537361941</v>
      </c>
      <c r="O595" s="8">
        <v>1.3312488574790218</v>
      </c>
      <c r="P595" s="8">
        <f t="shared" si="76"/>
        <v>1.1501063415148882</v>
      </c>
      <c r="Q595" s="8">
        <f t="shared" si="77"/>
        <v>1.3914339056076079</v>
      </c>
      <c r="R595" s="8">
        <f t="shared" si="78"/>
        <v>1.2098306525071845</v>
      </c>
      <c r="S595" s="22">
        <f t="shared" si="79"/>
        <v>0.27480511866801738</v>
      </c>
      <c r="T595" s="25"/>
      <c r="U595" s="1" t="s">
        <v>1690</v>
      </c>
    </row>
    <row r="596" spans="1:21">
      <c r="A596" s="6" t="s">
        <v>1691</v>
      </c>
      <c r="B596" s="6" t="s">
        <v>1692</v>
      </c>
      <c r="C596" s="7">
        <v>0.92464041163261268</v>
      </c>
      <c r="D596" s="7">
        <v>0.91354313612329952</v>
      </c>
      <c r="E596" s="7">
        <v>0.87060380010953708</v>
      </c>
      <c r="F596" s="8">
        <v>0.82930358410170091</v>
      </c>
      <c r="G596" s="8">
        <f t="shared" si="72"/>
        <v>0.91909177387795604</v>
      </c>
      <c r="H596" s="8">
        <f t="shared" si="73"/>
        <v>0.849953692105619</v>
      </c>
      <c r="I596" s="8">
        <f t="shared" si="74"/>
        <v>0.92477564946466628</v>
      </c>
      <c r="J596" s="22">
        <f t="shared" si="75"/>
        <v>-0.11282468456940122</v>
      </c>
      <c r="K596" s="8"/>
      <c r="L596" s="8">
        <v>1.2034137737398423</v>
      </c>
      <c r="M596" s="8">
        <v>1.0383199728293988</v>
      </c>
      <c r="N596" s="8">
        <v>0.90739970365041978</v>
      </c>
      <c r="O596" s="8">
        <v>0.87939848520245645</v>
      </c>
      <c r="P596" s="8">
        <f t="shared" si="76"/>
        <v>1.1208668732846205</v>
      </c>
      <c r="Q596" s="8">
        <f t="shared" si="77"/>
        <v>0.89339909442643806</v>
      </c>
      <c r="R596" s="8">
        <f t="shared" si="78"/>
        <v>0.79706084256767773</v>
      </c>
      <c r="S596" s="22">
        <f t="shared" si="79"/>
        <v>-0.32723824028215681</v>
      </c>
      <c r="T596" s="25"/>
      <c r="U596" s="1" t="s">
        <v>1693</v>
      </c>
    </row>
    <row r="597" spans="1:21">
      <c r="A597" s="6" t="s">
        <v>1694</v>
      </c>
      <c r="B597" s="6" t="s">
        <v>1695</v>
      </c>
      <c r="C597" s="7">
        <v>0.94807526019669741</v>
      </c>
      <c r="D597" s="7">
        <v>0.91417813049203045</v>
      </c>
      <c r="E597" s="7">
        <v>0.89968945847805915</v>
      </c>
      <c r="F597" s="8">
        <v>0.82934287424410602</v>
      </c>
      <c r="G597" s="8">
        <f t="shared" si="72"/>
        <v>0.93112669534436399</v>
      </c>
      <c r="H597" s="8">
        <f t="shared" si="73"/>
        <v>0.86451616636108253</v>
      </c>
      <c r="I597" s="8">
        <f t="shared" si="74"/>
        <v>0.92846244306351189</v>
      </c>
      <c r="J597" s="22">
        <f t="shared" si="75"/>
        <v>-0.1070845415407549</v>
      </c>
      <c r="K597" s="8"/>
      <c r="L597" s="8">
        <v>0.94345978291965693</v>
      </c>
      <c r="M597" s="8">
        <v>1.1062594759909063</v>
      </c>
      <c r="N597" s="8">
        <v>1.1919377184263649</v>
      </c>
      <c r="O597" s="8">
        <v>0.84836567447027611</v>
      </c>
      <c r="P597" s="8">
        <f t="shared" si="76"/>
        <v>1.0248596294552816</v>
      </c>
      <c r="Q597" s="8">
        <f t="shared" si="77"/>
        <v>1.0201516964483206</v>
      </c>
      <c r="R597" s="8">
        <f t="shared" si="78"/>
        <v>0.99540626552978451</v>
      </c>
      <c r="S597" s="22">
        <f t="shared" si="79"/>
        <v>-6.6426268795627443E-3</v>
      </c>
      <c r="T597" s="25"/>
      <c r="U597" s="1" t="s">
        <v>1696</v>
      </c>
    </row>
    <row r="598" spans="1:21">
      <c r="A598" s="6" t="s">
        <v>1697</v>
      </c>
      <c r="B598" s="6" t="s">
        <v>1698</v>
      </c>
      <c r="C598" s="7">
        <v>0.92470320597496014</v>
      </c>
      <c r="D598" s="7">
        <v>0.89136234272841974</v>
      </c>
      <c r="E598" s="7">
        <v>0.91417369972021711</v>
      </c>
      <c r="F598" s="8">
        <v>1.0689734527728652</v>
      </c>
      <c r="G598" s="8">
        <f t="shared" si="72"/>
        <v>0.90803277435168994</v>
      </c>
      <c r="H598" s="8">
        <f t="shared" si="73"/>
        <v>0.99157357624654119</v>
      </c>
      <c r="I598" s="8">
        <f t="shared" si="74"/>
        <v>1.0920019676101416</v>
      </c>
      <c r="J598" s="22">
        <f t="shared" si="75"/>
        <v>0.12697545576219418</v>
      </c>
      <c r="K598" s="8"/>
      <c r="L598" s="8">
        <v>0.33338941696142765</v>
      </c>
      <c r="M598" s="8">
        <v>0.35779391619039569</v>
      </c>
      <c r="N598" s="8">
        <v>0.32869485338383986</v>
      </c>
      <c r="O598" s="8">
        <v>0.41675212782401189</v>
      </c>
      <c r="P598" s="8">
        <f t="shared" si="76"/>
        <v>0.34559166657591167</v>
      </c>
      <c r="Q598" s="8">
        <f t="shared" si="77"/>
        <v>0.37272349060392584</v>
      </c>
      <c r="R598" s="8">
        <f t="shared" si="78"/>
        <v>1.0785083283310435</v>
      </c>
      <c r="S598" s="22">
        <f t="shared" si="79"/>
        <v>0.1090373171525198</v>
      </c>
      <c r="T598" s="25"/>
      <c r="U598" s="1" t="s">
        <v>1699</v>
      </c>
    </row>
    <row r="599" spans="1:21">
      <c r="A599" s="6" t="s">
        <v>1700</v>
      </c>
      <c r="B599" s="6" t="s">
        <v>1701</v>
      </c>
      <c r="C599" s="7">
        <v>0.91824166814740305</v>
      </c>
      <c r="D599" s="7">
        <v>0.98637258926567106</v>
      </c>
      <c r="E599" s="7">
        <v>0.93742660296380731</v>
      </c>
      <c r="F599" s="8">
        <v>0.92175983753798973</v>
      </c>
      <c r="G599" s="8">
        <f t="shared" si="72"/>
        <v>0.952307128706537</v>
      </c>
      <c r="H599" s="8">
        <f t="shared" si="73"/>
        <v>0.92959322025089852</v>
      </c>
      <c r="I599" s="8">
        <f t="shared" si="74"/>
        <v>0.97614854727960565</v>
      </c>
      <c r="J599" s="22">
        <f t="shared" si="75"/>
        <v>-3.4827385504529192E-2</v>
      </c>
      <c r="K599" s="8"/>
      <c r="L599" s="8">
        <v>1.2112394681417626</v>
      </c>
      <c r="M599" s="8">
        <v>0.87358032796475615</v>
      </c>
      <c r="N599" s="8">
        <v>1.2108560181565484</v>
      </c>
      <c r="O599" s="8">
        <v>0.98889416673783526</v>
      </c>
      <c r="P599" s="8">
        <f t="shared" si="76"/>
        <v>1.0424098980532595</v>
      </c>
      <c r="Q599" s="8">
        <f t="shared" si="77"/>
        <v>1.0998750924471918</v>
      </c>
      <c r="R599" s="8">
        <f t="shared" si="78"/>
        <v>1.0551272532055296</v>
      </c>
      <c r="S599" s="22">
        <f t="shared" si="79"/>
        <v>7.741700509109227E-2</v>
      </c>
      <c r="T599" s="25"/>
      <c r="U599" s="1" t="s">
        <v>1702</v>
      </c>
    </row>
    <row r="600" spans="1:21">
      <c r="A600" s="6" t="s">
        <v>1703</v>
      </c>
      <c r="B600" s="6" t="s">
        <v>1704</v>
      </c>
      <c r="C600" s="7">
        <v>1.0438429117108603</v>
      </c>
      <c r="D600" s="7">
        <v>0.96700211748289766</v>
      </c>
      <c r="E600" s="7">
        <v>1.0438743839938149</v>
      </c>
      <c r="F600" s="8">
        <v>1.0502844417021684</v>
      </c>
      <c r="G600" s="8">
        <f t="shared" si="72"/>
        <v>1.0054225145968789</v>
      </c>
      <c r="H600" s="8">
        <f t="shared" si="73"/>
        <v>1.0470794128479917</v>
      </c>
      <c r="I600" s="8">
        <f t="shared" si="74"/>
        <v>1.0414322313717184</v>
      </c>
      <c r="J600" s="22">
        <f t="shared" si="75"/>
        <v>5.856896261914174E-2</v>
      </c>
      <c r="K600" s="8"/>
      <c r="L600" s="8">
        <v>0.91319548608569046</v>
      </c>
      <c r="M600" s="8">
        <v>0.73407424139259081</v>
      </c>
      <c r="N600" s="8">
        <v>0.87766488725835989</v>
      </c>
      <c r="O600" s="8">
        <v>0.86390466557925727</v>
      </c>
      <c r="P600" s="8">
        <f t="shared" si="76"/>
        <v>0.82363486373914063</v>
      </c>
      <c r="Q600" s="8">
        <f t="shared" si="77"/>
        <v>0.87078477641880858</v>
      </c>
      <c r="R600" s="8">
        <f t="shared" si="78"/>
        <v>1.0572461350963418</v>
      </c>
      <c r="S600" s="22">
        <f t="shared" si="79"/>
        <v>8.0311286413030231E-2</v>
      </c>
      <c r="T600" s="25"/>
      <c r="U600" s="1" t="s">
        <v>1705</v>
      </c>
    </row>
    <row r="601" spans="1:21">
      <c r="A601" s="6" t="s">
        <v>1706</v>
      </c>
      <c r="B601" s="6" t="s">
        <v>1707</v>
      </c>
      <c r="C601" s="7">
        <v>0.91814747663388185</v>
      </c>
      <c r="D601" s="7">
        <v>1.0031024904061969</v>
      </c>
      <c r="E601" s="7">
        <v>0.8691976894990624</v>
      </c>
      <c r="F601" s="8">
        <v>0.9127951367125573</v>
      </c>
      <c r="G601" s="8">
        <f t="shared" si="72"/>
        <v>0.96062498352003933</v>
      </c>
      <c r="H601" s="8">
        <f t="shared" si="73"/>
        <v>0.8909964131058099</v>
      </c>
      <c r="I601" s="8">
        <f t="shared" si="74"/>
        <v>0.92751742708263951</v>
      </c>
      <c r="J601" s="22">
        <f t="shared" si="75"/>
        <v>-0.10855370616793318</v>
      </c>
      <c r="K601" s="8"/>
      <c r="L601" s="8">
        <v>1.0581748198160521</v>
      </c>
      <c r="M601" s="8">
        <v>0.77958824838999563</v>
      </c>
      <c r="N601" s="8">
        <v>1.2537827431048574</v>
      </c>
      <c r="O601" s="8">
        <v>0.88861346830196852</v>
      </c>
      <c r="P601" s="8">
        <f t="shared" si="76"/>
        <v>0.91888153410302387</v>
      </c>
      <c r="Q601" s="8">
        <f t="shared" si="77"/>
        <v>1.071198105703413</v>
      </c>
      <c r="R601" s="8">
        <f t="shared" si="78"/>
        <v>1.1657630129101186</v>
      </c>
      <c r="S601" s="22">
        <f t="shared" si="79"/>
        <v>0.22127453395069116</v>
      </c>
      <c r="T601" s="25"/>
      <c r="U601" s="1" t="s">
        <v>1708</v>
      </c>
    </row>
    <row r="602" spans="1:21">
      <c r="A602" s="6" t="s">
        <v>1709</v>
      </c>
      <c r="B602" s="15" t="s">
        <v>1710</v>
      </c>
      <c r="C602" s="16">
        <v>0.87067495381917648</v>
      </c>
      <c r="D602" s="16">
        <v>0.91602652994160383</v>
      </c>
      <c r="E602" s="16">
        <v>0.986373573705284</v>
      </c>
      <c r="F602" s="8">
        <v>0.98764940635135734</v>
      </c>
      <c r="G602" s="8">
        <f t="shared" si="72"/>
        <v>0.8933507418803901</v>
      </c>
      <c r="H602" s="8">
        <f t="shared" si="73"/>
        <v>0.98701149002832067</v>
      </c>
      <c r="I602" s="8">
        <f t="shared" si="74"/>
        <v>1.1048420779847192</v>
      </c>
      <c r="J602" s="22">
        <f t="shared" si="75"/>
        <v>0.1438401708924176</v>
      </c>
      <c r="K602" s="8"/>
      <c r="L602" s="8">
        <v>1.175560235844856</v>
      </c>
      <c r="M602" s="8">
        <v>0.71320877974425179</v>
      </c>
      <c r="N602" s="8">
        <v>1.4029658376139507</v>
      </c>
      <c r="O602" s="8">
        <v>0.83391079902006104</v>
      </c>
      <c r="P602" s="8">
        <f t="shared" si="76"/>
        <v>0.94438450779455385</v>
      </c>
      <c r="Q602" s="8">
        <f t="shared" si="77"/>
        <v>1.1184383183170059</v>
      </c>
      <c r="R602" s="8">
        <f t="shared" si="78"/>
        <v>1.1843039663250348</v>
      </c>
      <c r="S602" s="22">
        <f t="shared" si="79"/>
        <v>0.24403941409839347</v>
      </c>
      <c r="T602" s="25"/>
      <c r="U602" s="1" t="s">
        <v>1711</v>
      </c>
    </row>
    <row r="603" spans="1:21">
      <c r="A603" s="6" t="s">
        <v>1712</v>
      </c>
      <c r="B603" s="6" t="s">
        <v>80</v>
      </c>
      <c r="C603" s="7">
        <v>0.94177070822500897</v>
      </c>
      <c r="D603" s="7">
        <v>1.0211338156489733</v>
      </c>
      <c r="E603" s="7">
        <v>0.96918126758369338</v>
      </c>
      <c r="F603" s="8">
        <v>0.89465618763553212</v>
      </c>
      <c r="G603" s="8">
        <f t="shared" si="72"/>
        <v>0.9814522619369912</v>
      </c>
      <c r="H603" s="8">
        <f t="shared" si="73"/>
        <v>0.93191872760961281</v>
      </c>
      <c r="I603" s="8">
        <f t="shared" si="74"/>
        <v>0.94953036816113789</v>
      </c>
      <c r="J603" s="22">
        <f t="shared" si="75"/>
        <v>-7.4713953075135106E-2</v>
      </c>
      <c r="K603" s="8"/>
      <c r="L603" s="8">
        <v>1.2745126181402269</v>
      </c>
      <c r="M603" s="8">
        <v>0.95376610207500834</v>
      </c>
      <c r="N603" s="8">
        <v>1.732933222369776</v>
      </c>
      <c r="O603" s="8">
        <v>1.2606006537160959</v>
      </c>
      <c r="P603" s="8">
        <f t="shared" si="76"/>
        <v>1.1141393601076177</v>
      </c>
      <c r="Q603" s="8">
        <f t="shared" si="77"/>
        <v>1.4967669380429358</v>
      </c>
      <c r="R603" s="8">
        <f t="shared" si="78"/>
        <v>1.3434288309304134</v>
      </c>
      <c r="S603" s="22">
        <f t="shared" si="79"/>
        <v>0.42591989560983928</v>
      </c>
      <c r="T603" s="25"/>
      <c r="U603" s="1">
        <v>0</v>
      </c>
    </row>
    <row r="604" spans="1:21">
      <c r="A604" s="6" t="s">
        <v>1713</v>
      </c>
      <c r="B604" s="6" t="s">
        <v>80</v>
      </c>
      <c r="C604" s="7">
        <v>0.96042690733644942</v>
      </c>
      <c r="D604" s="7">
        <v>1.0161230185016605</v>
      </c>
      <c r="E604" s="7">
        <v>0.92628187442152676</v>
      </c>
      <c r="F604" s="8">
        <v>1.0732167881526169</v>
      </c>
      <c r="G604" s="8">
        <f t="shared" si="72"/>
        <v>0.98827496291905503</v>
      </c>
      <c r="H604" s="8">
        <f t="shared" si="73"/>
        <v>0.99974933128707177</v>
      </c>
      <c r="I604" s="8">
        <f t="shared" si="74"/>
        <v>1.011610501933718</v>
      </c>
      <c r="J604" s="22">
        <f t="shared" si="75"/>
        <v>1.6653919386475643E-2</v>
      </c>
      <c r="K604" s="8"/>
      <c r="L604" s="8">
        <v>1.3797700622760074</v>
      </c>
      <c r="M604" s="8">
        <v>1.2532927291016314</v>
      </c>
      <c r="N604" s="8">
        <v>1.4562000666753416</v>
      </c>
      <c r="O604" s="8">
        <v>1.5849319216302953</v>
      </c>
      <c r="P604" s="8">
        <f t="shared" si="76"/>
        <v>1.3165313956888194</v>
      </c>
      <c r="Q604" s="8">
        <f t="shared" si="77"/>
        <v>1.5205659941528185</v>
      </c>
      <c r="R604" s="8">
        <f t="shared" si="78"/>
        <v>1.1549789083132702</v>
      </c>
      <c r="S604" s="22">
        <f t="shared" si="79"/>
        <v>0.20786650605718887</v>
      </c>
      <c r="T604" s="25"/>
      <c r="U604" s="1">
        <v>0</v>
      </c>
    </row>
    <row r="605" spans="1:21">
      <c r="A605" s="6" t="s">
        <v>1714</v>
      </c>
      <c r="B605" s="6" t="s">
        <v>1715</v>
      </c>
      <c r="C605" s="7">
        <v>1.0545367882126384</v>
      </c>
      <c r="D605" s="7">
        <v>1.0026812565180288</v>
      </c>
      <c r="E605" s="7">
        <v>0.92386674925260959</v>
      </c>
      <c r="F605" s="8">
        <v>1.06621659444744</v>
      </c>
      <c r="G605" s="8">
        <f t="shared" si="72"/>
        <v>1.0286090223653335</v>
      </c>
      <c r="H605" s="8">
        <f t="shared" si="73"/>
        <v>0.99504167185002479</v>
      </c>
      <c r="I605" s="8">
        <f t="shared" si="74"/>
        <v>0.96736626863517194</v>
      </c>
      <c r="J605" s="22">
        <f t="shared" si="75"/>
        <v>-4.7865861963200744E-2</v>
      </c>
      <c r="K605" s="8"/>
      <c r="L605" s="8">
        <v>1.1033487334726344</v>
      </c>
      <c r="M605" s="8">
        <v>1.2328952778080216</v>
      </c>
      <c r="N605" s="8">
        <v>1.3486711657425718</v>
      </c>
      <c r="O605" s="8">
        <v>0.83878931948450863</v>
      </c>
      <c r="P605" s="8">
        <f t="shared" si="76"/>
        <v>1.1681220056403281</v>
      </c>
      <c r="Q605" s="8">
        <f t="shared" si="77"/>
        <v>1.0937302426135402</v>
      </c>
      <c r="R605" s="8">
        <f t="shared" si="78"/>
        <v>0.93631507439498274</v>
      </c>
      <c r="S605" s="22">
        <f t="shared" si="79"/>
        <v>-9.4934009759858495E-2</v>
      </c>
      <c r="T605" s="25"/>
      <c r="U605" s="1" t="s">
        <v>1716</v>
      </c>
    </row>
    <row r="606" spans="1:21">
      <c r="A606" s="6" t="s">
        <v>1717</v>
      </c>
      <c r="B606" s="6" t="s">
        <v>1718</v>
      </c>
      <c r="C606" s="7">
        <v>1.013205552079518</v>
      </c>
      <c r="D606" s="7">
        <v>1.0869594695164311</v>
      </c>
      <c r="E606" s="7">
        <v>0.99989436878841309</v>
      </c>
      <c r="F606" s="8">
        <v>1.0002942838487348</v>
      </c>
      <c r="G606" s="8">
        <f t="shared" si="72"/>
        <v>1.0500825107979745</v>
      </c>
      <c r="H606" s="8">
        <f t="shared" si="73"/>
        <v>1.000094326318574</v>
      </c>
      <c r="I606" s="8">
        <f t="shared" si="74"/>
        <v>0.95239594606578704</v>
      </c>
      <c r="J606" s="22">
        <f t="shared" si="75"/>
        <v>-7.0366615189691312E-2</v>
      </c>
      <c r="K606" s="8"/>
      <c r="L606" s="8">
        <v>1.1143269587947595</v>
      </c>
      <c r="M606" s="8">
        <v>0.66937180985129296</v>
      </c>
      <c r="N606" s="8">
        <v>1.2458930485985475</v>
      </c>
      <c r="O606" s="8">
        <v>0.58397696818868694</v>
      </c>
      <c r="P606" s="8">
        <f t="shared" si="76"/>
        <v>0.89184938432302618</v>
      </c>
      <c r="Q606" s="8">
        <f t="shared" si="77"/>
        <v>0.91493500839361719</v>
      </c>
      <c r="R606" s="8">
        <f t="shared" si="78"/>
        <v>1.0258851152183219</v>
      </c>
      <c r="S606" s="22">
        <f t="shared" si="79"/>
        <v>3.6869178328064155E-2</v>
      </c>
      <c r="T606" s="25"/>
      <c r="U606" s="1" t="s">
        <v>1719</v>
      </c>
    </row>
    <row r="607" spans="1:21">
      <c r="A607" s="6" t="s">
        <v>1720</v>
      </c>
      <c r="B607" s="6" t="s">
        <v>1721</v>
      </c>
      <c r="C607" s="7">
        <v>0.76259961120490471</v>
      </c>
      <c r="D607" s="7">
        <v>0.805877011722133</v>
      </c>
      <c r="E607" s="7">
        <v>0.91479863776931702</v>
      </c>
      <c r="F607" s="8">
        <v>0.68693575309678889</v>
      </c>
      <c r="G607" s="8">
        <f t="shared" si="72"/>
        <v>0.78423831146351886</v>
      </c>
      <c r="H607" s="8">
        <f t="shared" si="73"/>
        <v>0.80086719543305296</v>
      </c>
      <c r="I607" s="8">
        <f t="shared" si="74"/>
        <v>1.0212038658740119</v>
      </c>
      <c r="J607" s="22">
        <f t="shared" si="75"/>
        <v>3.0270904340933234E-2</v>
      </c>
      <c r="K607" s="8"/>
      <c r="L607" s="8">
        <v>1.115995945752515</v>
      </c>
      <c r="M607" s="8">
        <v>1.3172541442479415</v>
      </c>
      <c r="N607" s="8">
        <v>1.2689682841438836</v>
      </c>
      <c r="O607" s="8">
        <v>0.84786878812667499</v>
      </c>
      <c r="P607" s="8">
        <f t="shared" si="76"/>
        <v>1.2166250450002283</v>
      </c>
      <c r="Q607" s="8">
        <f t="shared" si="77"/>
        <v>1.0584185361352794</v>
      </c>
      <c r="R607" s="8">
        <f t="shared" si="78"/>
        <v>0.86996280446871843</v>
      </c>
      <c r="S607" s="22">
        <f t="shared" si="79"/>
        <v>-0.20097437548423833</v>
      </c>
      <c r="T607" s="25"/>
      <c r="U607" s="1" t="s">
        <v>1722</v>
      </c>
    </row>
    <row r="608" spans="1:21">
      <c r="A608" s="6" t="s">
        <v>1723</v>
      </c>
      <c r="B608" s="6" t="s">
        <v>1724</v>
      </c>
      <c r="C608" s="7">
        <v>0.74293870261590433</v>
      </c>
      <c r="D608" s="7">
        <v>0.79530215500722712</v>
      </c>
      <c r="E608" s="7">
        <v>0.84349060245848639</v>
      </c>
      <c r="F608" s="8">
        <v>0.78951576655946065</v>
      </c>
      <c r="G608" s="8">
        <f t="shared" si="72"/>
        <v>0.76912042881156573</v>
      </c>
      <c r="H608" s="8">
        <f t="shared" si="73"/>
        <v>0.81650318450897352</v>
      </c>
      <c r="I608" s="8">
        <f t="shared" si="74"/>
        <v>1.0616064193882133</v>
      </c>
      <c r="J608" s="22">
        <f t="shared" si="75"/>
        <v>8.6248999625887321E-2</v>
      </c>
      <c r="K608" s="8"/>
      <c r="L608" s="8">
        <v>1.2867518558304338</v>
      </c>
      <c r="M608" s="8">
        <v>1.0532573033178358</v>
      </c>
      <c r="N608" s="8">
        <v>1.2127648152145265</v>
      </c>
      <c r="O608" s="8">
        <v>0.80676273606512594</v>
      </c>
      <c r="P608" s="8">
        <f t="shared" si="76"/>
        <v>1.170004579574135</v>
      </c>
      <c r="Q608" s="8">
        <f t="shared" si="77"/>
        <v>1.0097637756398261</v>
      </c>
      <c r="R608" s="8">
        <f t="shared" si="78"/>
        <v>0.86304258399344536</v>
      </c>
      <c r="S608" s="22">
        <f t="shared" si="79"/>
        <v>-0.21249634869232278</v>
      </c>
      <c r="T608" s="25"/>
      <c r="U608" s="1" t="s">
        <v>1725</v>
      </c>
    </row>
    <row r="609" spans="1:21">
      <c r="A609" s="6" t="s">
        <v>1726</v>
      </c>
      <c r="B609" s="6" t="s">
        <v>1727</v>
      </c>
      <c r="C609" s="7">
        <v>1.0068507646339517</v>
      </c>
      <c r="D609" s="7">
        <v>0.98725906655271134</v>
      </c>
      <c r="E609" s="7">
        <v>0.87651467249060644</v>
      </c>
      <c r="F609" s="8">
        <v>0.960827335802803</v>
      </c>
      <c r="G609" s="8">
        <f t="shared" si="72"/>
        <v>0.99705491559333148</v>
      </c>
      <c r="H609" s="8">
        <f t="shared" si="73"/>
        <v>0.91867100414670477</v>
      </c>
      <c r="I609" s="8">
        <f t="shared" si="74"/>
        <v>0.9213845594452722</v>
      </c>
      <c r="J609" s="22">
        <f t="shared" si="75"/>
        <v>-0.11812467341407273</v>
      </c>
      <c r="K609" s="8"/>
      <c r="L609" s="8">
        <v>1.1264920192868442</v>
      </c>
      <c r="M609" s="8">
        <v>1.0249426768567254</v>
      </c>
      <c r="N609" s="8">
        <v>1.4741851767327361</v>
      </c>
      <c r="O609" s="8">
        <v>0.82830953478310276</v>
      </c>
      <c r="P609" s="8">
        <f t="shared" si="76"/>
        <v>1.0757173480717848</v>
      </c>
      <c r="Q609" s="8">
        <f t="shared" si="77"/>
        <v>1.1512473557579195</v>
      </c>
      <c r="R609" s="8">
        <f t="shared" si="78"/>
        <v>1.0702136186810798</v>
      </c>
      <c r="S609" s="22">
        <f t="shared" si="79"/>
        <v>9.7898792749957247E-2</v>
      </c>
      <c r="T609" s="25"/>
      <c r="U609" s="1" t="s">
        <v>1728</v>
      </c>
    </row>
    <row r="610" spans="1:21">
      <c r="A610" s="6" t="s">
        <v>1729</v>
      </c>
      <c r="B610" s="6" t="s">
        <v>1730</v>
      </c>
      <c r="C610" s="7">
        <v>0.95402188441700508</v>
      </c>
      <c r="D610" s="7">
        <v>1.0512048856058072</v>
      </c>
      <c r="E610" s="7">
        <v>0.87602643963974725</v>
      </c>
      <c r="F610" s="8">
        <v>1.0433562799247342</v>
      </c>
      <c r="G610" s="8">
        <f t="shared" si="72"/>
        <v>1.0026133850114061</v>
      </c>
      <c r="H610" s="8">
        <f t="shared" si="73"/>
        <v>0.95969135978224074</v>
      </c>
      <c r="I610" s="8">
        <f t="shared" si="74"/>
        <v>0.9571898541642978</v>
      </c>
      <c r="J610" s="22">
        <f t="shared" si="75"/>
        <v>-6.3122989929492085E-2</v>
      </c>
      <c r="K610" s="8"/>
      <c r="L610" s="8">
        <v>1.1941787125735952</v>
      </c>
      <c r="M610" s="8">
        <v>0.77775520783397334</v>
      </c>
      <c r="N610" s="8">
        <v>1.4435171706678869</v>
      </c>
      <c r="O610" s="8">
        <v>0.87854022697259992</v>
      </c>
      <c r="P610" s="8">
        <f t="shared" si="76"/>
        <v>0.98596696020378427</v>
      </c>
      <c r="Q610" s="8">
        <f t="shared" si="77"/>
        <v>1.1610286988202434</v>
      </c>
      <c r="R610" s="8">
        <f t="shared" si="78"/>
        <v>1.177553351869191</v>
      </c>
      <c r="S610" s="22">
        <f t="shared" si="79"/>
        <v>0.23579242606600914</v>
      </c>
      <c r="T610" s="25"/>
      <c r="U610" s="1" t="s">
        <v>1731</v>
      </c>
    </row>
    <row r="611" spans="1:21">
      <c r="A611" s="6" t="s">
        <v>1732</v>
      </c>
      <c r="B611" s="6" t="s">
        <v>1733</v>
      </c>
      <c r="C611" s="7">
        <v>0.85205015187890976</v>
      </c>
      <c r="D611" s="7">
        <v>0.85882045309919708</v>
      </c>
      <c r="E611" s="7">
        <v>0.88394232159501196</v>
      </c>
      <c r="F611" s="8">
        <v>1.0437164395634477</v>
      </c>
      <c r="G611" s="8">
        <f t="shared" si="72"/>
        <v>0.85543530248905342</v>
      </c>
      <c r="H611" s="8">
        <f t="shared" si="73"/>
        <v>0.96382938057922984</v>
      </c>
      <c r="I611" s="8">
        <f t="shared" si="74"/>
        <v>1.1267121870874197</v>
      </c>
      <c r="J611" s="22">
        <f t="shared" si="75"/>
        <v>0.17211903344190929</v>
      </c>
      <c r="K611" s="8"/>
      <c r="L611" s="8">
        <v>1.3658989262271062</v>
      </c>
      <c r="M611" s="8">
        <v>1.0168694982376485</v>
      </c>
      <c r="N611" s="8">
        <v>1.4148427970858148</v>
      </c>
      <c r="O611" s="8">
        <v>1.0076855048231148</v>
      </c>
      <c r="P611" s="8">
        <f t="shared" si="76"/>
        <v>1.1913842122323772</v>
      </c>
      <c r="Q611" s="8">
        <f t="shared" si="77"/>
        <v>1.2112641509544648</v>
      </c>
      <c r="R611" s="8">
        <f t="shared" si="78"/>
        <v>1.0166864211544631</v>
      </c>
      <c r="S611" s="22">
        <f t="shared" si="79"/>
        <v>2.3874774175383133E-2</v>
      </c>
      <c r="T611" s="25"/>
      <c r="U611" s="1" t="s">
        <v>1734</v>
      </c>
    </row>
    <row r="612" spans="1:21">
      <c r="A612" s="6" t="s">
        <v>1735</v>
      </c>
      <c r="B612" s="6" t="s">
        <v>1736</v>
      </c>
      <c r="C612" s="7">
        <v>0.90381152827594891</v>
      </c>
      <c r="D612" s="7">
        <v>0.7863116406776699</v>
      </c>
      <c r="E612" s="7">
        <v>0.79098278679140943</v>
      </c>
      <c r="F612" s="8">
        <v>0.9778792576066202</v>
      </c>
      <c r="G612" s="8">
        <f t="shared" si="72"/>
        <v>0.84506158447680946</v>
      </c>
      <c r="H612" s="8">
        <f t="shared" si="73"/>
        <v>0.88443102219901482</v>
      </c>
      <c r="I612" s="8">
        <f t="shared" si="74"/>
        <v>1.0465876552021705</v>
      </c>
      <c r="J612" s="22">
        <f t="shared" si="75"/>
        <v>6.5693147168987567E-2</v>
      </c>
      <c r="K612" s="8"/>
      <c r="L612" s="8">
        <v>1.4131127128320564</v>
      </c>
      <c r="M612" s="8">
        <v>1.1695968773309109</v>
      </c>
      <c r="N612" s="8">
        <v>1.3441748882282232</v>
      </c>
      <c r="O612" s="8">
        <v>0.76064264908178369</v>
      </c>
      <c r="P612" s="8">
        <f t="shared" si="76"/>
        <v>1.2913547950814837</v>
      </c>
      <c r="Q612" s="8">
        <f t="shared" si="77"/>
        <v>1.0524087686550034</v>
      </c>
      <c r="R612" s="8">
        <f t="shared" si="78"/>
        <v>0.81496485138199148</v>
      </c>
      <c r="S612" s="22">
        <f t="shared" si="79"/>
        <v>-0.29519025619442973</v>
      </c>
      <c r="T612" s="25"/>
      <c r="U612" s="1" t="s">
        <v>1737</v>
      </c>
    </row>
    <row r="613" spans="1:21">
      <c r="A613" s="6" t="s">
        <v>1738</v>
      </c>
      <c r="B613" s="6" t="s">
        <v>1739</v>
      </c>
      <c r="C613" s="7">
        <v>0.83630761025239297</v>
      </c>
      <c r="D613" s="7">
        <v>0.79257356534357126</v>
      </c>
      <c r="E613" s="7">
        <v>0.92998593431671228</v>
      </c>
      <c r="F613" s="8">
        <v>0.84078940239812772</v>
      </c>
      <c r="G613" s="8">
        <f t="shared" si="72"/>
        <v>0.81444058779798212</v>
      </c>
      <c r="H613" s="8">
        <f t="shared" si="73"/>
        <v>0.88538766835742</v>
      </c>
      <c r="I613" s="8">
        <f t="shared" si="74"/>
        <v>1.0871114254647583</v>
      </c>
      <c r="J613" s="22">
        <f t="shared" si="75"/>
        <v>0.12049981959872724</v>
      </c>
      <c r="K613" s="8"/>
      <c r="L613" s="8">
        <v>1.2541880658546709</v>
      </c>
      <c r="M613" s="8">
        <v>0.72896512835346483</v>
      </c>
      <c r="N613" s="8">
        <v>1.4935276535869146</v>
      </c>
      <c r="O613" s="8">
        <v>0.83562731547977409</v>
      </c>
      <c r="P613" s="8">
        <f t="shared" si="76"/>
        <v>0.99157659710406787</v>
      </c>
      <c r="Q613" s="8">
        <f t="shared" si="77"/>
        <v>1.1645774845333443</v>
      </c>
      <c r="R613" s="8">
        <f t="shared" si="78"/>
        <v>1.1744705229374426</v>
      </c>
      <c r="S613" s="22">
        <f t="shared" si="79"/>
        <v>0.23201050479699387</v>
      </c>
      <c r="T613" s="25"/>
      <c r="U613" s="1" t="s">
        <v>1740</v>
      </c>
    </row>
    <row r="614" spans="1:21">
      <c r="A614" s="6" t="s">
        <v>1741</v>
      </c>
      <c r="B614" s="6" t="s">
        <v>1742</v>
      </c>
      <c r="C614" s="7">
        <v>0.74187119879599694</v>
      </c>
      <c r="D614" s="7">
        <v>0.75393321494534826</v>
      </c>
      <c r="E614" s="7">
        <v>0.79945850908232619</v>
      </c>
      <c r="F614" s="8">
        <v>0.83978095540972997</v>
      </c>
      <c r="G614" s="8">
        <f t="shared" si="72"/>
        <v>0.74790220687067266</v>
      </c>
      <c r="H614" s="8">
        <f t="shared" si="73"/>
        <v>0.81961973224602813</v>
      </c>
      <c r="I614" s="8">
        <f t="shared" si="74"/>
        <v>1.0958915814347328</v>
      </c>
      <c r="J614" s="22">
        <f t="shared" si="75"/>
        <v>0.13210507689022427</v>
      </c>
      <c r="K614" s="8"/>
      <c r="L614" s="8">
        <v>1.120112780248312</v>
      </c>
      <c r="M614" s="8">
        <v>1.1718589273787683</v>
      </c>
      <c r="N614" s="8">
        <v>1.4186603912017712</v>
      </c>
      <c r="O614" s="8">
        <v>0.80834373806749327</v>
      </c>
      <c r="P614" s="8">
        <f t="shared" si="76"/>
        <v>1.1459858538135401</v>
      </c>
      <c r="Q614" s="8">
        <f t="shared" si="77"/>
        <v>1.1135020646346323</v>
      </c>
      <c r="R614" s="8">
        <f t="shared" si="78"/>
        <v>0.97165428432575296</v>
      </c>
      <c r="S614" s="22">
        <f t="shared" si="79"/>
        <v>-4.1485002258323189E-2</v>
      </c>
      <c r="T614" s="25"/>
      <c r="U614" s="1" t="s">
        <v>1743</v>
      </c>
    </row>
    <row r="615" spans="1:21">
      <c r="A615" s="6" t="s">
        <v>1744</v>
      </c>
      <c r="B615" s="6" t="s">
        <v>1745</v>
      </c>
      <c r="C615" s="7">
        <v>0.74219772937620399</v>
      </c>
      <c r="D615" s="7">
        <v>0.91337967222639849</v>
      </c>
      <c r="E615" s="7">
        <v>0.84087367437788074</v>
      </c>
      <c r="F615" s="8">
        <v>0.91069311409388398</v>
      </c>
      <c r="G615" s="8">
        <f t="shared" si="72"/>
        <v>0.82778870080130118</v>
      </c>
      <c r="H615" s="8">
        <f t="shared" si="73"/>
        <v>0.87578339423588236</v>
      </c>
      <c r="I615" s="8">
        <f t="shared" si="74"/>
        <v>1.05797940149234</v>
      </c>
      <c r="J615" s="22">
        <f t="shared" si="75"/>
        <v>8.1311538931955279E-2</v>
      </c>
      <c r="K615" s="8"/>
      <c r="L615" s="8">
        <v>0.69211034708167773</v>
      </c>
      <c r="M615" s="8">
        <v>0.85563993103347413</v>
      </c>
      <c r="N615" s="8">
        <v>0.97976432100399191</v>
      </c>
      <c r="O615" s="8">
        <v>0.87614613822615806</v>
      </c>
      <c r="P615" s="8">
        <f t="shared" si="76"/>
        <v>0.77387513905757599</v>
      </c>
      <c r="Q615" s="8">
        <f t="shared" si="77"/>
        <v>0.92795522961507504</v>
      </c>
      <c r="R615" s="8">
        <f t="shared" si="78"/>
        <v>1.1991020033866673</v>
      </c>
      <c r="S615" s="22">
        <f t="shared" si="79"/>
        <v>0.26195438896126005</v>
      </c>
      <c r="T615" s="25"/>
      <c r="U615" s="1" t="s">
        <v>1746</v>
      </c>
    </row>
    <row r="616" spans="1:21">
      <c r="A616" s="6" t="s">
        <v>1747</v>
      </c>
      <c r="B616" s="6" t="s">
        <v>1748</v>
      </c>
      <c r="C616" s="7">
        <v>0.94382408321977207</v>
      </c>
      <c r="D616" s="7">
        <v>0.89900742344502227</v>
      </c>
      <c r="E616" s="7">
        <v>0.83092023399169668</v>
      </c>
      <c r="F616" s="8">
        <v>0.73268912392753816</v>
      </c>
      <c r="G616" s="8">
        <f t="shared" si="72"/>
        <v>0.92141575333239722</v>
      </c>
      <c r="H616" s="8">
        <f t="shared" si="73"/>
        <v>0.78180467895961736</v>
      </c>
      <c r="I616" s="8">
        <f t="shared" si="74"/>
        <v>0.8484819975479454</v>
      </c>
      <c r="J616" s="22">
        <f t="shared" si="75"/>
        <v>-0.2370440448116202</v>
      </c>
      <c r="K616" s="8"/>
      <c r="L616" s="8">
        <v>1.143330243260644</v>
      </c>
      <c r="M616" s="8">
        <v>0.95704217455811202</v>
      </c>
      <c r="N616" s="8">
        <v>1.3864653474905395</v>
      </c>
      <c r="O616" s="8">
        <v>0.9453036829582806</v>
      </c>
      <c r="P616" s="8">
        <f t="shared" si="76"/>
        <v>1.0501862089093781</v>
      </c>
      <c r="Q616" s="8">
        <f t="shared" si="77"/>
        <v>1.1658845152244099</v>
      </c>
      <c r="R616" s="8">
        <f t="shared" si="78"/>
        <v>1.110169325528646</v>
      </c>
      <c r="S616" s="22">
        <f t="shared" si="79"/>
        <v>0.15077973645832643</v>
      </c>
      <c r="T616" s="25"/>
      <c r="U616" s="1" t="s">
        <v>1749</v>
      </c>
    </row>
    <row r="617" spans="1:21">
      <c r="A617" s="6" t="s">
        <v>1750</v>
      </c>
      <c r="B617" s="6" t="s">
        <v>1751</v>
      </c>
      <c r="C617" s="7">
        <v>0.10126215646956864</v>
      </c>
      <c r="D617" s="7">
        <v>0.10670420223863349</v>
      </c>
      <c r="E617" s="7">
        <v>0.56077123295425269</v>
      </c>
      <c r="F617" s="8">
        <v>0.47256873613451472</v>
      </c>
      <c r="G617" s="8">
        <f t="shared" si="72"/>
        <v>0.10398317935410106</v>
      </c>
      <c r="H617" s="8">
        <f t="shared" si="73"/>
        <v>0.51666998454438373</v>
      </c>
      <c r="I617" s="8">
        <f t="shared" si="74"/>
        <v>4.9687842567780311</v>
      </c>
      <c r="J617" s="22">
        <f t="shared" si="75"/>
        <v>2.3128929018329671</v>
      </c>
      <c r="K617" s="8"/>
      <c r="L617" s="8">
        <v>0.78939374241929317</v>
      </c>
      <c r="M617" s="8">
        <v>0.82284020533954305</v>
      </c>
      <c r="N617" s="8">
        <v>0.84432456531234135</v>
      </c>
      <c r="O617" s="8">
        <v>0.83183291067409271</v>
      </c>
      <c r="P617" s="8">
        <f t="shared" si="76"/>
        <v>0.80611697387941805</v>
      </c>
      <c r="Q617" s="8">
        <f t="shared" si="77"/>
        <v>0.83807873799321708</v>
      </c>
      <c r="R617" s="8">
        <f t="shared" si="78"/>
        <v>1.0396490399649865</v>
      </c>
      <c r="S617" s="22">
        <f t="shared" si="79"/>
        <v>5.6096592064000368E-2</v>
      </c>
      <c r="T617" s="25"/>
      <c r="U617" s="1" t="s">
        <v>1752</v>
      </c>
    </row>
    <row r="618" spans="1:21">
      <c r="A618" s="6" t="s">
        <v>1753</v>
      </c>
      <c r="B618" s="6" t="s">
        <v>1754</v>
      </c>
      <c r="C618" s="7">
        <v>0.93518986114699165</v>
      </c>
      <c r="D618" s="7">
        <v>0.90384218254951842</v>
      </c>
      <c r="E618" s="7">
        <v>0.8731946891047635</v>
      </c>
      <c r="F618" s="8">
        <v>0.86465161555216385</v>
      </c>
      <c r="G618" s="8">
        <f t="shared" si="72"/>
        <v>0.91951602184825498</v>
      </c>
      <c r="H618" s="8">
        <f t="shared" si="73"/>
        <v>0.86892315232846373</v>
      </c>
      <c r="I618" s="8">
        <f t="shared" si="74"/>
        <v>0.94497880589606464</v>
      </c>
      <c r="J618" s="22">
        <f t="shared" si="75"/>
        <v>-8.1646122137280938E-2</v>
      </c>
      <c r="K618" s="8"/>
      <c r="L618" s="8">
        <v>1.26197667165753</v>
      </c>
      <c r="M618" s="8">
        <v>0.92131738414712427</v>
      </c>
      <c r="N618" s="8">
        <v>1.4244716178005048</v>
      </c>
      <c r="O618" s="8">
        <v>0.82641233238026202</v>
      </c>
      <c r="P618" s="8">
        <f t="shared" si="76"/>
        <v>1.0916470279023271</v>
      </c>
      <c r="Q618" s="8">
        <f t="shared" si="77"/>
        <v>1.1254419750903835</v>
      </c>
      <c r="R618" s="8">
        <f t="shared" si="78"/>
        <v>1.0309577604521083</v>
      </c>
      <c r="S618" s="22">
        <f t="shared" si="79"/>
        <v>4.398522500997628E-2</v>
      </c>
      <c r="T618" s="25"/>
      <c r="U618" s="1" t="s">
        <v>1755</v>
      </c>
    </row>
    <row r="619" spans="1:21">
      <c r="A619" s="6" t="s">
        <v>1756</v>
      </c>
      <c r="B619" s="6" t="s">
        <v>1757</v>
      </c>
      <c r="C619" s="7">
        <v>1.0422730531521729</v>
      </c>
      <c r="D619" s="7">
        <v>0.90912961090697142</v>
      </c>
      <c r="E619" s="7">
        <v>0.84631584322212527</v>
      </c>
      <c r="F619" s="8">
        <v>0.87423186194194291</v>
      </c>
      <c r="G619" s="8">
        <f t="shared" si="72"/>
        <v>0.97570133202957221</v>
      </c>
      <c r="H619" s="8">
        <f t="shared" si="73"/>
        <v>0.86027385258203415</v>
      </c>
      <c r="I619" s="8">
        <f t="shared" si="74"/>
        <v>0.88169793802839702</v>
      </c>
      <c r="J619" s="22">
        <f t="shared" si="75"/>
        <v>-0.18164360911331606</v>
      </c>
      <c r="K619" s="8"/>
      <c r="L619" s="8">
        <v>1.2374981962771159</v>
      </c>
      <c r="M619" s="8">
        <v>0.97275952230443097</v>
      </c>
      <c r="N619" s="8">
        <v>1.464471520593247</v>
      </c>
      <c r="O619" s="8">
        <v>0.99219168519991563</v>
      </c>
      <c r="P619" s="8">
        <f t="shared" si="76"/>
        <v>1.1051288592907733</v>
      </c>
      <c r="Q619" s="8">
        <f t="shared" si="77"/>
        <v>1.2283316028965814</v>
      </c>
      <c r="R619" s="8">
        <f t="shared" si="78"/>
        <v>1.1114826950450598</v>
      </c>
      <c r="S619" s="22">
        <f t="shared" si="79"/>
        <v>0.15248548685611016</v>
      </c>
      <c r="T619" s="25"/>
      <c r="U619" s="1" t="s">
        <v>1758</v>
      </c>
    </row>
    <row r="620" spans="1:21">
      <c r="A620" s="6" t="s">
        <v>1759</v>
      </c>
      <c r="B620" s="15" t="s">
        <v>1760</v>
      </c>
      <c r="C620" s="16">
        <v>0.8876419851214693</v>
      </c>
      <c r="D620" s="16">
        <v>0.98103486432455633</v>
      </c>
      <c r="E620" s="16">
        <v>0.94821329408212451</v>
      </c>
      <c r="F620" s="8">
        <v>0.94238716230067188</v>
      </c>
      <c r="G620" s="8">
        <f t="shared" si="72"/>
        <v>0.93433842472301287</v>
      </c>
      <c r="H620" s="8">
        <f t="shared" si="73"/>
        <v>0.94530022819139825</v>
      </c>
      <c r="I620" s="8">
        <f t="shared" si="74"/>
        <v>1.0117321552644429</v>
      </c>
      <c r="J620" s="22">
        <f t="shared" si="75"/>
        <v>1.6827403256379273E-2</v>
      </c>
      <c r="K620" s="8"/>
      <c r="L620" s="8">
        <v>1.2602705961007132</v>
      </c>
      <c r="M620" s="8">
        <v>0.92467145835601605</v>
      </c>
      <c r="N620" s="8">
        <v>0.94892664408954475</v>
      </c>
      <c r="O620" s="8">
        <v>1.0141901987757116</v>
      </c>
      <c r="P620" s="8">
        <f t="shared" si="76"/>
        <v>1.0924710272283646</v>
      </c>
      <c r="Q620" s="8">
        <f t="shared" si="77"/>
        <v>0.98155842143262817</v>
      </c>
      <c r="R620" s="8">
        <f t="shared" si="78"/>
        <v>0.89847547163138464</v>
      </c>
      <c r="S620" s="22">
        <f t="shared" si="79"/>
        <v>-0.1544489761702752</v>
      </c>
      <c r="T620" s="25"/>
      <c r="U620" s="1" t="s">
        <v>1761</v>
      </c>
    </row>
    <row r="621" spans="1:21">
      <c r="A621" s="6" t="s">
        <v>1762</v>
      </c>
      <c r="B621" s="6" t="s">
        <v>1763</v>
      </c>
      <c r="C621" s="7">
        <v>0.94224166579261526</v>
      </c>
      <c r="D621" s="7">
        <v>0.96258859226656956</v>
      </c>
      <c r="E621" s="7">
        <v>0.94540107286117525</v>
      </c>
      <c r="F621" s="8">
        <v>0.92583946399105344</v>
      </c>
      <c r="G621" s="8">
        <f t="shared" si="72"/>
        <v>0.95241512902959236</v>
      </c>
      <c r="H621" s="8">
        <f t="shared" si="73"/>
        <v>0.93562026842611434</v>
      </c>
      <c r="I621" s="8">
        <f t="shared" si="74"/>
        <v>0.98236602916987459</v>
      </c>
      <c r="J621" s="22">
        <f t="shared" si="75"/>
        <v>-2.5667422611209557E-2</v>
      </c>
      <c r="K621" s="8"/>
      <c r="L621" s="8">
        <v>1.2020044069755154</v>
      </c>
      <c r="M621" s="8">
        <v>0.81726308194568797</v>
      </c>
      <c r="N621" s="8">
        <v>1.4270590982568752</v>
      </c>
      <c r="O621" s="8">
        <v>0.83404631347740688</v>
      </c>
      <c r="P621" s="8">
        <f t="shared" si="76"/>
        <v>1.0096337444606016</v>
      </c>
      <c r="Q621" s="8">
        <f t="shared" si="77"/>
        <v>1.130552705867141</v>
      </c>
      <c r="R621" s="8">
        <f t="shared" si="78"/>
        <v>1.1197651743218433</v>
      </c>
      <c r="S621" s="22">
        <f t="shared" si="79"/>
        <v>0.16319621678127649</v>
      </c>
      <c r="T621" s="25"/>
      <c r="U621" s="1" t="s">
        <v>1764</v>
      </c>
    </row>
    <row r="622" spans="1:21">
      <c r="A622" s="6" t="s">
        <v>1765</v>
      </c>
      <c r="B622" s="6" t="s">
        <v>1766</v>
      </c>
      <c r="C622" s="7">
        <v>0.94840179077690434</v>
      </c>
      <c r="D622" s="7">
        <v>0.91202795154048599</v>
      </c>
      <c r="E622" s="7">
        <v>0.90668746267370859</v>
      </c>
      <c r="F622" s="8">
        <v>0.9324991431287194</v>
      </c>
      <c r="G622" s="8">
        <f t="shared" si="72"/>
        <v>0.93021487115869517</v>
      </c>
      <c r="H622" s="8">
        <f t="shared" si="73"/>
        <v>0.91959330290121399</v>
      </c>
      <c r="I622" s="8">
        <f t="shared" si="74"/>
        <v>0.98858159701935244</v>
      </c>
      <c r="J622" s="22">
        <f t="shared" si="75"/>
        <v>-1.6568044707508351E-2</v>
      </c>
      <c r="K622" s="8"/>
      <c r="L622" s="8">
        <v>1.1012717719252054</v>
      </c>
      <c r="M622" s="8">
        <v>1.2512646842311386</v>
      </c>
      <c r="N622" s="8">
        <v>1.1666991795486534</v>
      </c>
      <c r="O622" s="8">
        <v>0.8413640941740782</v>
      </c>
      <c r="P622" s="8">
        <f t="shared" si="76"/>
        <v>1.176268228078172</v>
      </c>
      <c r="Q622" s="8">
        <f t="shared" si="77"/>
        <v>1.0040316368613658</v>
      </c>
      <c r="R622" s="8">
        <f t="shared" si="78"/>
        <v>0.85357371124593551</v>
      </c>
      <c r="S622" s="22">
        <f t="shared" si="79"/>
        <v>-0.2284123508233788</v>
      </c>
      <c r="T622" s="25"/>
      <c r="U622" s="1" t="s">
        <v>1767</v>
      </c>
    </row>
    <row r="623" spans="1:21">
      <c r="A623" s="6" t="s">
        <v>1768</v>
      </c>
      <c r="B623" s="6" t="s">
        <v>1769</v>
      </c>
      <c r="C623" s="7">
        <v>0.87221969464092475</v>
      </c>
      <c r="D623" s="7">
        <v>1.0510602829277793</v>
      </c>
      <c r="E623" s="7">
        <v>0.90558731131643899</v>
      </c>
      <c r="F623" s="8">
        <v>1.0031428191731053</v>
      </c>
      <c r="G623" s="8">
        <f t="shared" si="72"/>
        <v>0.96163998878435208</v>
      </c>
      <c r="H623" s="8">
        <f t="shared" si="73"/>
        <v>0.95436506524477216</v>
      </c>
      <c r="I623" s="8">
        <f t="shared" si="74"/>
        <v>0.99243487830744592</v>
      </c>
      <c r="J623" s="22">
        <f t="shared" si="75"/>
        <v>-1.0955656435564729E-2</v>
      </c>
      <c r="K623" s="8"/>
      <c r="L623" s="8">
        <v>1.1544939115780755</v>
      </c>
      <c r="M623" s="8">
        <v>0.91866532547032598</v>
      </c>
      <c r="N623" s="8">
        <v>0.8611219794225492</v>
      </c>
      <c r="O623" s="8">
        <v>0.83196842513143843</v>
      </c>
      <c r="P623" s="8">
        <f t="shared" si="76"/>
        <v>1.0365796185242007</v>
      </c>
      <c r="Q623" s="8">
        <f t="shared" si="77"/>
        <v>0.84654520227699381</v>
      </c>
      <c r="R623" s="8">
        <f t="shared" si="78"/>
        <v>0.81667166433605676</v>
      </c>
      <c r="S623" s="22">
        <f t="shared" si="79"/>
        <v>-0.29217192281071802</v>
      </c>
      <c r="T623" s="25"/>
      <c r="U623" s="1" t="s">
        <v>1770</v>
      </c>
    </row>
    <row r="624" spans="1:21">
      <c r="A624" s="6" t="s">
        <v>1771</v>
      </c>
      <c r="B624" s="6" t="s">
        <v>1772</v>
      </c>
      <c r="C624" s="7">
        <v>0.99669691947636185</v>
      </c>
      <c r="D624" s="7">
        <v>1.0320984708872585</v>
      </c>
      <c r="E624" s="7">
        <v>1.0832910494865189</v>
      </c>
      <c r="F624" s="8">
        <v>0.98645760536506899</v>
      </c>
      <c r="G624" s="8">
        <f t="shared" si="72"/>
        <v>1.0143976951818101</v>
      </c>
      <c r="H624" s="8">
        <f t="shared" si="73"/>
        <v>1.0348743274257939</v>
      </c>
      <c r="I624" s="8">
        <f t="shared" si="74"/>
        <v>1.0201860003638057</v>
      </c>
      <c r="J624" s="22">
        <f t="shared" si="75"/>
        <v>2.8832208411411729E-2</v>
      </c>
      <c r="K624" s="8"/>
      <c r="L624" s="8">
        <v>1.1606135304231788</v>
      </c>
      <c r="M624" s="8">
        <v>0.6081014542446751</v>
      </c>
      <c r="N624" s="8">
        <v>0.9219489790034533</v>
      </c>
      <c r="O624" s="8">
        <v>0.98686144987764879</v>
      </c>
      <c r="P624" s="8">
        <f t="shared" si="76"/>
        <v>0.88435749233392702</v>
      </c>
      <c r="Q624" s="8">
        <f t="shared" si="77"/>
        <v>0.95440521444055104</v>
      </c>
      <c r="R624" s="8">
        <f t="shared" si="78"/>
        <v>1.0792074728984991</v>
      </c>
      <c r="S624" s="22">
        <f t="shared" si="79"/>
        <v>0.10997224327676389</v>
      </c>
      <c r="T624" s="25"/>
      <c r="U624" s="1" t="s">
        <v>1773</v>
      </c>
    </row>
    <row r="625" spans="1:21">
      <c r="A625" s="6" t="s">
        <v>1774</v>
      </c>
      <c r="B625" s="6" t="s">
        <v>1775</v>
      </c>
      <c r="C625" s="7">
        <v>0.96399362598178706</v>
      </c>
      <c r="D625" s="7">
        <v>0.98177045186061096</v>
      </c>
      <c r="E625" s="7">
        <v>1.0337061211532528</v>
      </c>
      <c r="F625" s="8">
        <v>1.0587711124616719</v>
      </c>
      <c r="G625" s="8">
        <f t="shared" si="72"/>
        <v>0.97288203892119895</v>
      </c>
      <c r="H625" s="8">
        <f t="shared" si="73"/>
        <v>1.0462386168074622</v>
      </c>
      <c r="I625" s="8">
        <f t="shared" si="74"/>
        <v>1.0754013076113589</v>
      </c>
      <c r="J625" s="22">
        <f t="shared" si="75"/>
        <v>0.10487513094145079</v>
      </c>
      <c r="K625" s="8"/>
      <c r="L625" s="8">
        <v>1.36871765975576</v>
      </c>
      <c r="M625" s="8">
        <v>0.66223465194167419</v>
      </c>
      <c r="N625" s="8">
        <v>1.5321701895828728</v>
      </c>
      <c r="O625" s="8">
        <v>0.68068911924778186</v>
      </c>
      <c r="P625" s="8">
        <f t="shared" si="76"/>
        <v>1.0154761558487171</v>
      </c>
      <c r="Q625" s="8">
        <f t="shared" si="77"/>
        <v>1.1064296544153274</v>
      </c>
      <c r="R625" s="8">
        <f t="shared" si="78"/>
        <v>1.0895673404468991</v>
      </c>
      <c r="S625" s="22">
        <f t="shared" si="79"/>
        <v>0.12375536462868084</v>
      </c>
      <c r="T625" s="25"/>
      <c r="U625" s="1" t="s">
        <v>1776</v>
      </c>
    </row>
    <row r="626" spans="1:21">
      <c r="A626" s="6" t="s">
        <v>1777</v>
      </c>
      <c r="B626" s="6" t="s">
        <v>1778</v>
      </c>
      <c r="C626" s="7">
        <v>0.93873146205539026</v>
      </c>
      <c r="D626" s="7">
        <v>1.0574228007610045</v>
      </c>
      <c r="E626" s="7">
        <v>0.9469959668406488</v>
      </c>
      <c r="F626" s="8">
        <v>0.99043900646212002</v>
      </c>
      <c r="G626" s="8">
        <f t="shared" si="72"/>
        <v>0.99807713140819732</v>
      </c>
      <c r="H626" s="8">
        <f t="shared" si="73"/>
        <v>0.96871748665138435</v>
      </c>
      <c r="I626" s="8">
        <f t="shared" si="74"/>
        <v>0.97058379174023446</v>
      </c>
      <c r="J626" s="22">
        <f t="shared" si="75"/>
        <v>-4.3075326863585471E-2</v>
      </c>
      <c r="K626" s="8"/>
      <c r="L626" s="8">
        <v>1.1138818956060248</v>
      </c>
      <c r="M626" s="8">
        <v>0.91016313735941401</v>
      </c>
      <c r="N626" s="8">
        <v>1.3274623095428144</v>
      </c>
      <c r="O626" s="8">
        <v>0.91702633285879742</v>
      </c>
      <c r="P626" s="8">
        <f t="shared" si="76"/>
        <v>1.0120225164827195</v>
      </c>
      <c r="Q626" s="8">
        <f t="shared" si="77"/>
        <v>1.122244321200806</v>
      </c>
      <c r="R626" s="8">
        <f t="shared" si="78"/>
        <v>1.1089124035512194</v>
      </c>
      <c r="S626" s="22">
        <f t="shared" si="79"/>
        <v>0.14914540702036236</v>
      </c>
      <c r="T626" s="25"/>
      <c r="U626" s="1" t="s">
        <v>1779</v>
      </c>
    </row>
    <row r="627" spans="1:21">
      <c r="A627" s="6" t="s">
        <v>1780</v>
      </c>
      <c r="B627" s="6" t="s">
        <v>80</v>
      </c>
      <c r="C627" s="7">
        <v>0.9689292612903001</v>
      </c>
      <c r="D627" s="7">
        <v>0.8822963835233697</v>
      </c>
      <c r="E627" s="7">
        <v>0.98250676952647875</v>
      </c>
      <c r="F627" s="8">
        <v>1.0072486390544391</v>
      </c>
      <c r="G627" s="8">
        <f t="shared" si="72"/>
        <v>0.92561282240683496</v>
      </c>
      <c r="H627" s="8">
        <f t="shared" si="73"/>
        <v>0.99487770429045885</v>
      </c>
      <c r="I627" s="8">
        <f t="shared" si="74"/>
        <v>1.0748313767991211</v>
      </c>
      <c r="J627" s="22">
        <f t="shared" si="75"/>
        <v>0.10411034266371523</v>
      </c>
      <c r="K627" s="8"/>
      <c r="L627" s="8">
        <v>1.2037475711313934</v>
      </c>
      <c r="M627" s="8">
        <v>1.1585986339947771</v>
      </c>
      <c r="N627" s="8">
        <v>1.5015021835180236</v>
      </c>
      <c r="O627" s="8">
        <v>1.2955633837113034</v>
      </c>
      <c r="P627" s="8">
        <f t="shared" si="76"/>
        <v>1.1811731025630854</v>
      </c>
      <c r="Q627" s="8">
        <f t="shared" si="77"/>
        <v>1.3985327836146635</v>
      </c>
      <c r="R627" s="8">
        <f t="shared" si="78"/>
        <v>1.1840201750106896</v>
      </c>
      <c r="S627" s="22">
        <f t="shared" si="79"/>
        <v>0.24369366385528538</v>
      </c>
      <c r="T627" s="25"/>
      <c r="U627" s="1">
        <v>0</v>
      </c>
    </row>
    <row r="628" spans="1:21">
      <c r="A628" s="6" t="s">
        <v>1781</v>
      </c>
      <c r="B628" s="6" t="s">
        <v>80</v>
      </c>
      <c r="C628" s="7">
        <v>0.93802816542109835</v>
      </c>
      <c r="D628" s="7">
        <v>1.0315829309047244</v>
      </c>
      <c r="E628" s="7">
        <v>1.0804723184942249</v>
      </c>
      <c r="F628" s="8">
        <v>1.0634269943366774</v>
      </c>
      <c r="G628" s="8">
        <f t="shared" si="72"/>
        <v>0.98480554816291144</v>
      </c>
      <c r="H628" s="8">
        <f t="shared" si="73"/>
        <v>1.0719496564154511</v>
      </c>
      <c r="I628" s="8">
        <f t="shared" si="74"/>
        <v>1.0884886447026025</v>
      </c>
      <c r="J628" s="22">
        <f t="shared" si="75"/>
        <v>0.12232635716627216</v>
      </c>
      <c r="K628" s="8"/>
      <c r="L628" s="8">
        <v>1.3500620944279595</v>
      </c>
      <c r="M628" s="8">
        <v>1.0789588719650423</v>
      </c>
      <c r="N628" s="8">
        <v>1.4693071398067918</v>
      </c>
      <c r="O628" s="8">
        <v>1.7170133460566352</v>
      </c>
      <c r="P628" s="8">
        <f t="shared" si="76"/>
        <v>1.2145104831965008</v>
      </c>
      <c r="Q628" s="8">
        <f t="shared" si="77"/>
        <v>1.5931602429317135</v>
      </c>
      <c r="R628" s="8">
        <f t="shared" si="78"/>
        <v>1.3117715038067312</v>
      </c>
      <c r="S628" s="22">
        <f t="shared" si="79"/>
        <v>0.39151644020450466</v>
      </c>
      <c r="T628" s="25"/>
      <c r="U628" s="1">
        <v>0</v>
      </c>
    </row>
    <row r="629" spans="1:21">
      <c r="A629" s="6" t="s">
        <v>1782</v>
      </c>
      <c r="B629" s="6" t="s">
        <v>1783</v>
      </c>
      <c r="C629" s="7">
        <v>1.0400752511700107</v>
      </c>
      <c r="D629" s="7">
        <v>0.99856322373071416</v>
      </c>
      <c r="E629" s="7">
        <v>1.0554292281308173</v>
      </c>
      <c r="F629" s="8">
        <v>1.0228795673746049</v>
      </c>
      <c r="G629" s="8">
        <f t="shared" si="72"/>
        <v>1.0193192374503623</v>
      </c>
      <c r="H629" s="8">
        <f t="shared" si="73"/>
        <v>1.0391543977527111</v>
      </c>
      <c r="I629" s="8">
        <f t="shared" si="74"/>
        <v>1.0194592229535104</v>
      </c>
      <c r="J629" s="22">
        <f t="shared" si="75"/>
        <v>2.7804070578368617E-2</v>
      </c>
      <c r="K629" s="8"/>
      <c r="L629" s="8">
        <v>1.0431539371962526</v>
      </c>
      <c r="M629" s="8">
        <v>1.0200675689949639</v>
      </c>
      <c r="N629" s="8">
        <v>0.67728361388305214</v>
      </c>
      <c r="O629" s="8">
        <v>0.60900197131187173</v>
      </c>
      <c r="P629" s="8">
        <f t="shared" si="76"/>
        <v>1.0316107530956082</v>
      </c>
      <c r="Q629" s="8">
        <f t="shared" si="77"/>
        <v>0.64314279259746199</v>
      </c>
      <c r="R629" s="8">
        <f t="shared" si="78"/>
        <v>0.62343552611055075</v>
      </c>
      <c r="S629" s="22">
        <f t="shared" si="79"/>
        <v>-0.68168772644450992</v>
      </c>
      <c r="T629" s="25"/>
      <c r="U629" s="1" t="s">
        <v>1784</v>
      </c>
    </row>
    <row r="630" spans="1:21">
      <c r="A630" s="6" t="s">
        <v>1785</v>
      </c>
      <c r="B630" s="6" t="s">
        <v>1786</v>
      </c>
      <c r="C630" s="7">
        <v>1.0107754110306699</v>
      </c>
      <c r="D630" s="7">
        <v>1.0349528020100689</v>
      </c>
      <c r="E630" s="7">
        <v>1.1262034621913752</v>
      </c>
      <c r="F630" s="8">
        <v>0.9578609300512172</v>
      </c>
      <c r="G630" s="8">
        <f t="shared" si="72"/>
        <v>1.0228641065203694</v>
      </c>
      <c r="H630" s="8">
        <f t="shared" si="73"/>
        <v>1.0420321961212962</v>
      </c>
      <c r="I630" s="8">
        <f t="shared" si="74"/>
        <v>1.018739624822826</v>
      </c>
      <c r="J630" s="22">
        <f t="shared" si="75"/>
        <v>2.6785366540890525E-2</v>
      </c>
      <c r="K630" s="8"/>
      <c r="L630" s="8">
        <v>0.64641719303823808</v>
      </c>
      <c r="M630" s="8">
        <v>1.2010315728235488</v>
      </c>
      <c r="N630" s="8">
        <v>0.67134513414712016</v>
      </c>
      <c r="O630" s="8">
        <v>0.81118954167175439</v>
      </c>
      <c r="P630" s="8">
        <f t="shared" si="76"/>
        <v>0.92372438293089343</v>
      </c>
      <c r="Q630" s="8">
        <f t="shared" si="77"/>
        <v>0.74126733790943722</v>
      </c>
      <c r="R630" s="8">
        <f t="shared" si="78"/>
        <v>0.80247674696803328</v>
      </c>
      <c r="S630" s="22">
        <f t="shared" si="79"/>
        <v>-0.31746850641558477</v>
      </c>
      <c r="T630" s="25"/>
      <c r="U630" s="1" t="s">
        <v>1787</v>
      </c>
    </row>
    <row r="631" spans="1:21">
      <c r="A631" s="6" t="s">
        <v>1788</v>
      </c>
      <c r="B631" s="6" t="s">
        <v>1789</v>
      </c>
      <c r="C631" s="7">
        <v>1.0927157483599148</v>
      </c>
      <c r="D631" s="7">
        <v>1.0293698812236027</v>
      </c>
      <c r="E631" s="7">
        <v>0.99026641696946849</v>
      </c>
      <c r="F631" s="8">
        <v>0.98969249375642299</v>
      </c>
      <c r="G631" s="8">
        <f t="shared" si="72"/>
        <v>1.0610428147917588</v>
      </c>
      <c r="H631" s="8">
        <f t="shared" si="73"/>
        <v>0.98997945536294574</v>
      </c>
      <c r="I631" s="8">
        <f t="shared" si="74"/>
        <v>0.93302498406460632</v>
      </c>
      <c r="J631" s="22">
        <f t="shared" si="75"/>
        <v>-0.10001238154503847</v>
      </c>
      <c r="K631" s="8"/>
      <c r="L631" s="8">
        <v>0.97661699048039963</v>
      </c>
      <c r="M631" s="8">
        <v>1.1953764477039055</v>
      </c>
      <c r="N631" s="8">
        <v>0.6433494439634404</v>
      </c>
      <c r="O631" s="8">
        <v>0.73317838572637517</v>
      </c>
      <c r="P631" s="8">
        <f t="shared" si="76"/>
        <v>1.0859967190921527</v>
      </c>
      <c r="Q631" s="8">
        <f t="shared" si="77"/>
        <v>0.68826391484490779</v>
      </c>
      <c r="R631" s="8">
        <f t="shared" si="78"/>
        <v>0.6337624255626364</v>
      </c>
      <c r="S631" s="22">
        <f t="shared" si="79"/>
        <v>-0.65798596697751766</v>
      </c>
      <c r="T631" s="25"/>
      <c r="U631" s="1" t="s">
        <v>1790</v>
      </c>
    </row>
    <row r="632" spans="1:21">
      <c r="A632" s="6" t="s">
        <v>1791</v>
      </c>
      <c r="B632" s="15" t="s">
        <v>1792</v>
      </c>
      <c r="C632" s="16">
        <v>0.99470633882394632</v>
      </c>
      <c r="D632" s="16">
        <v>0.97672821934850962</v>
      </c>
      <c r="E632" s="16">
        <v>0.90296387346448859</v>
      </c>
      <c r="F632" s="8">
        <v>0.96249061849795259</v>
      </c>
      <c r="G632" s="8">
        <f t="shared" si="72"/>
        <v>0.98571727908622797</v>
      </c>
      <c r="H632" s="8">
        <f t="shared" si="73"/>
        <v>0.93272724598122059</v>
      </c>
      <c r="I632" s="8">
        <f t="shared" si="74"/>
        <v>0.94624215865006467</v>
      </c>
      <c r="J632" s="22">
        <f t="shared" si="75"/>
        <v>-7.9718655111094577E-2</v>
      </c>
      <c r="K632" s="8"/>
      <c r="L632" s="8">
        <v>1.1864271953697973</v>
      </c>
      <c r="M632" s="8">
        <v>1.1973264908486099</v>
      </c>
      <c r="N632" s="8">
        <v>0.83019946708330294</v>
      </c>
      <c r="O632" s="8">
        <v>1.4883101135427643</v>
      </c>
      <c r="P632" s="8">
        <f t="shared" si="76"/>
        <v>1.1918768431092035</v>
      </c>
      <c r="Q632" s="8">
        <f t="shared" si="77"/>
        <v>1.1592547903130337</v>
      </c>
      <c r="R632" s="8">
        <f t="shared" si="78"/>
        <v>0.97262967815443924</v>
      </c>
      <c r="S632" s="22">
        <f t="shared" si="79"/>
        <v>-4.0037481232828034E-2</v>
      </c>
      <c r="T632" s="25"/>
      <c r="U632" s="1" t="s">
        <v>1793</v>
      </c>
    </row>
    <row r="633" spans="1:21">
      <c r="A633" s="6" t="s">
        <v>1794</v>
      </c>
      <c r="B633" s="6" t="s">
        <v>1795</v>
      </c>
      <c r="C633" s="7">
        <v>1.1688727267589554</v>
      </c>
      <c r="D633" s="7">
        <v>1.0166951421408141</v>
      </c>
      <c r="E633" s="7">
        <v>1.1850062267488641</v>
      </c>
      <c r="F633" s="8">
        <v>1.1993512419871515</v>
      </c>
      <c r="G633" s="8">
        <f t="shared" si="72"/>
        <v>1.0927839344498849</v>
      </c>
      <c r="H633" s="8">
        <f t="shared" si="73"/>
        <v>1.1921787343680079</v>
      </c>
      <c r="I633" s="8">
        <f t="shared" si="74"/>
        <v>1.0909555830614943</v>
      </c>
      <c r="J633" s="22">
        <f t="shared" si="75"/>
        <v>0.1255923652716322</v>
      </c>
      <c r="K633" s="8"/>
      <c r="L633" s="8">
        <v>1.0680403871663402</v>
      </c>
      <c r="M633" s="8">
        <v>1.0711586993862239</v>
      </c>
      <c r="N633" s="8">
        <v>0.82345505081178005</v>
      </c>
      <c r="O633" s="8">
        <v>0.72744160703207106</v>
      </c>
      <c r="P633" s="8">
        <f t="shared" si="76"/>
        <v>1.0695995432762819</v>
      </c>
      <c r="Q633" s="8">
        <f t="shared" si="77"/>
        <v>0.77544832892192561</v>
      </c>
      <c r="R633" s="8">
        <f t="shared" si="78"/>
        <v>0.72498939794481954</v>
      </c>
      <c r="S633" s="22">
        <f t="shared" si="79"/>
        <v>-0.4639681972001633</v>
      </c>
      <c r="T633" s="25"/>
      <c r="U633" s="1" t="s">
        <v>1796</v>
      </c>
    </row>
    <row r="634" spans="1:21">
      <c r="A634" s="6" t="s">
        <v>1797</v>
      </c>
      <c r="B634" s="6" t="s">
        <v>1798</v>
      </c>
      <c r="C634" s="7">
        <v>0.95081937295728292</v>
      </c>
      <c r="D634" s="7">
        <v>0.99166001762312395</v>
      </c>
      <c r="E634" s="7">
        <v>0.88111708083137308</v>
      </c>
      <c r="F634" s="8">
        <v>0.84587092748252191</v>
      </c>
      <c r="G634" s="8">
        <f t="shared" si="72"/>
        <v>0.97123969529020338</v>
      </c>
      <c r="H634" s="8">
        <f t="shared" si="73"/>
        <v>0.86349400415694744</v>
      </c>
      <c r="I634" s="8">
        <f t="shared" si="74"/>
        <v>0.8890637484693602</v>
      </c>
      <c r="J634" s="22">
        <f t="shared" si="75"/>
        <v>-0.16964122667226442</v>
      </c>
      <c r="K634" s="8"/>
      <c r="L634" s="8">
        <v>1.0300245731285758</v>
      </c>
      <c r="M634" s="8">
        <v>0.89105271454130919</v>
      </c>
      <c r="N634" s="8">
        <v>0.72500354033250625</v>
      </c>
      <c r="O634" s="8">
        <v>0.79863186862438007</v>
      </c>
      <c r="P634" s="8">
        <f t="shared" si="76"/>
        <v>0.96053864383494247</v>
      </c>
      <c r="Q634" s="8">
        <f t="shared" si="77"/>
        <v>0.7618177044784431</v>
      </c>
      <c r="R634" s="8">
        <f t="shared" si="78"/>
        <v>0.79311510199828328</v>
      </c>
      <c r="S634" s="22">
        <f t="shared" si="79"/>
        <v>-0.33439784051939825</v>
      </c>
      <c r="T634" s="25"/>
      <c r="U634" s="1" t="s">
        <v>1799</v>
      </c>
    </row>
    <row r="635" spans="1:21">
      <c r="A635" s="6" t="s">
        <v>1800</v>
      </c>
      <c r="B635" s="6" t="s">
        <v>1801</v>
      </c>
      <c r="C635" s="7">
        <v>0.80477857095971639</v>
      </c>
      <c r="D635" s="7">
        <v>0.89722189472502634</v>
      </c>
      <c r="E635" s="7">
        <v>0.791308275358649</v>
      </c>
      <c r="F635" s="8">
        <v>0.97931334780440671</v>
      </c>
      <c r="G635" s="8">
        <f t="shared" si="72"/>
        <v>0.85100023284237136</v>
      </c>
      <c r="H635" s="8">
        <f t="shared" si="73"/>
        <v>0.8853108115815278</v>
      </c>
      <c r="I635" s="8">
        <f t="shared" si="74"/>
        <v>1.040317942833644</v>
      </c>
      <c r="J635" s="22">
        <f t="shared" si="75"/>
        <v>5.7024513413423281E-2</v>
      </c>
      <c r="K635" s="8"/>
      <c r="L635" s="8">
        <v>0.5898570794698571</v>
      </c>
      <c r="M635" s="8">
        <v>0.62857690726407323</v>
      </c>
      <c r="N635" s="8">
        <v>0.75287197737898748</v>
      </c>
      <c r="O635" s="8">
        <v>0.81177677098691936</v>
      </c>
      <c r="P635" s="8">
        <f t="shared" si="76"/>
        <v>0.60921699336696511</v>
      </c>
      <c r="Q635" s="8">
        <f t="shared" si="77"/>
        <v>0.78232437418295342</v>
      </c>
      <c r="R635" s="8">
        <f t="shared" si="78"/>
        <v>1.2841473279648261</v>
      </c>
      <c r="S635" s="22">
        <f t="shared" si="79"/>
        <v>0.36081072982086054</v>
      </c>
      <c r="T635" s="25"/>
      <c r="U635" s="1" t="s">
        <v>1802</v>
      </c>
    </row>
    <row r="636" spans="1:21">
      <c r="A636" s="6" t="s">
        <v>1803</v>
      </c>
      <c r="B636" s="6" t="s">
        <v>1804</v>
      </c>
      <c r="C636" s="7">
        <v>0.9559999062009511</v>
      </c>
      <c r="D636" s="7">
        <v>0.91461822559907169</v>
      </c>
      <c r="E636" s="7">
        <v>0.91317119493311949</v>
      </c>
      <c r="F636" s="8">
        <v>0.87723100947886623</v>
      </c>
      <c r="G636" s="8">
        <f t="shared" si="72"/>
        <v>0.93530906590001139</v>
      </c>
      <c r="H636" s="8">
        <f t="shared" si="73"/>
        <v>0.89520110220599292</v>
      </c>
      <c r="I636" s="8">
        <f t="shared" si="74"/>
        <v>0.95711795688046264</v>
      </c>
      <c r="J636" s="22">
        <f t="shared" si="75"/>
        <v>-6.3231358974734114E-2</v>
      </c>
      <c r="K636" s="8"/>
      <c r="L636" s="8">
        <v>0.72063147975976627</v>
      </c>
      <c r="M636" s="8">
        <v>0.93594270773240851</v>
      </c>
      <c r="N636" s="8">
        <v>0.75249021796739191</v>
      </c>
      <c r="O636" s="8">
        <v>0.73340424315528474</v>
      </c>
      <c r="P636" s="8">
        <f t="shared" si="76"/>
        <v>0.82828709374608733</v>
      </c>
      <c r="Q636" s="8">
        <f t="shared" si="77"/>
        <v>0.74294723056133827</v>
      </c>
      <c r="R636" s="8">
        <f t="shared" si="78"/>
        <v>0.89696825674443004</v>
      </c>
      <c r="S636" s="22">
        <f t="shared" si="79"/>
        <v>-0.15687116509146432</v>
      </c>
      <c r="T636" s="25"/>
      <c r="U636" s="1" t="s">
        <v>1805</v>
      </c>
    </row>
    <row r="637" spans="1:21">
      <c r="A637" s="6" t="s">
        <v>1806</v>
      </c>
      <c r="B637" s="6" t="s">
        <v>1807</v>
      </c>
      <c r="C637" s="7">
        <v>0.89463727485898015</v>
      </c>
      <c r="D637" s="7">
        <v>0.88716886506561232</v>
      </c>
      <c r="E637" s="7">
        <v>0.88023826169982644</v>
      </c>
      <c r="F637" s="8">
        <v>0.9018004451961944</v>
      </c>
      <c r="G637" s="8">
        <f t="shared" si="72"/>
        <v>0.89090306996229618</v>
      </c>
      <c r="H637" s="8">
        <f t="shared" si="73"/>
        <v>0.89101935344801042</v>
      </c>
      <c r="I637" s="8">
        <f t="shared" si="74"/>
        <v>1.0001305231619857</v>
      </c>
      <c r="J637" s="22">
        <f t="shared" si="75"/>
        <v>1.8829283049740306E-4</v>
      </c>
      <c r="K637" s="8"/>
      <c r="L637" s="8">
        <v>0.90251396955605523</v>
      </c>
      <c r="M637" s="8">
        <v>0.78836344254116619</v>
      </c>
      <c r="N637" s="8">
        <v>0.95601040206026366</v>
      </c>
      <c r="O637" s="8">
        <v>1.0946857864390964</v>
      </c>
      <c r="P637" s="8">
        <f t="shared" si="76"/>
        <v>0.84543870604861071</v>
      </c>
      <c r="Q637" s="8">
        <f t="shared" si="77"/>
        <v>1.02534809424968</v>
      </c>
      <c r="R637" s="8">
        <f t="shared" si="78"/>
        <v>1.2128000373225458</v>
      </c>
      <c r="S637" s="22">
        <f t="shared" si="79"/>
        <v>0.27834170301894684</v>
      </c>
      <c r="T637" s="25"/>
      <c r="U637" s="1" t="s">
        <v>1808</v>
      </c>
    </row>
    <row r="638" spans="1:21">
      <c r="A638" s="6" t="s">
        <v>1809</v>
      </c>
      <c r="B638" s="6" t="s">
        <v>1810</v>
      </c>
      <c r="C638" s="7">
        <v>0.80980839778175062</v>
      </c>
      <c r="D638" s="7">
        <v>0.85433777008033396</v>
      </c>
      <c r="E638" s="7">
        <v>0.8452287114075453</v>
      </c>
      <c r="F638" s="8">
        <v>0.90657419749841506</v>
      </c>
      <c r="G638" s="8">
        <f t="shared" si="72"/>
        <v>0.83207308393104229</v>
      </c>
      <c r="H638" s="8">
        <f t="shared" si="73"/>
        <v>0.87590145445298018</v>
      </c>
      <c r="I638" s="8">
        <f t="shared" si="74"/>
        <v>1.0526737030296369</v>
      </c>
      <c r="J638" s="22">
        <f t="shared" si="75"/>
        <v>7.4058313882980925E-2</v>
      </c>
      <c r="K638" s="8"/>
      <c r="L638" s="8">
        <v>0.71855451821233718</v>
      </c>
      <c r="M638" s="8">
        <v>0.83360444349831242</v>
      </c>
      <c r="N638" s="8">
        <v>0.73242664000242141</v>
      </c>
      <c r="O638" s="8">
        <v>0.8600650892877939</v>
      </c>
      <c r="P638" s="8">
        <f t="shared" si="76"/>
        <v>0.77607948085532485</v>
      </c>
      <c r="Q638" s="8">
        <f t="shared" si="77"/>
        <v>0.7962458646451076</v>
      </c>
      <c r="R638" s="8">
        <f t="shared" si="78"/>
        <v>1.0259849465000122</v>
      </c>
      <c r="S638" s="22">
        <f t="shared" si="79"/>
        <v>3.7009563528687527E-2</v>
      </c>
      <c r="T638" s="25"/>
      <c r="U638" s="1" t="s">
        <v>1811</v>
      </c>
    </row>
    <row r="639" spans="1:21">
      <c r="A639" s="6" t="s">
        <v>1812</v>
      </c>
      <c r="B639" s="6" t="s">
        <v>1813</v>
      </c>
      <c r="C639" s="7">
        <v>0.88302660095892849</v>
      </c>
      <c r="D639" s="7">
        <v>0.85355188596061737</v>
      </c>
      <c r="E639" s="7">
        <v>0.92267546109651299</v>
      </c>
      <c r="F639" s="8">
        <v>0.8142292661322742</v>
      </c>
      <c r="G639" s="8">
        <f t="shared" si="72"/>
        <v>0.86828924345977287</v>
      </c>
      <c r="H639" s="8">
        <f t="shared" si="73"/>
        <v>0.8684523636143936</v>
      </c>
      <c r="I639" s="8">
        <f t="shared" si="74"/>
        <v>1.0001878638435859</v>
      </c>
      <c r="J639" s="22">
        <f t="shared" si="75"/>
        <v>2.7100478030090644E-4</v>
      </c>
      <c r="K639" s="8"/>
      <c r="L639" s="8">
        <v>0.78049247864459714</v>
      </c>
      <c r="M639" s="8">
        <v>1.0973672792510534</v>
      </c>
      <c r="N639" s="8">
        <v>0.77586237749952447</v>
      </c>
      <c r="O639" s="8">
        <v>0.78115050362677629</v>
      </c>
      <c r="P639" s="8">
        <f t="shared" si="76"/>
        <v>0.93892987894782531</v>
      </c>
      <c r="Q639" s="8">
        <f t="shared" si="77"/>
        <v>0.77850644056315033</v>
      </c>
      <c r="R639" s="8">
        <f t="shared" si="78"/>
        <v>0.82914225866957481</v>
      </c>
      <c r="S639" s="22">
        <f t="shared" si="79"/>
        <v>-0.27030844398706749</v>
      </c>
      <c r="T639" s="25"/>
      <c r="U639" s="1" t="s">
        <v>1814</v>
      </c>
    </row>
    <row r="640" spans="1:21">
      <c r="A640" s="6" t="s">
        <v>1815</v>
      </c>
      <c r="B640" s="6" t="s">
        <v>1816</v>
      </c>
      <c r="C640" s="7">
        <v>0.921425341304421</v>
      </c>
      <c r="D640" s="7">
        <v>0.99469038678875099</v>
      </c>
      <c r="E640" s="7">
        <v>0.87315563047669476</v>
      </c>
      <c r="F640" s="8">
        <v>0.86180308022779351</v>
      </c>
      <c r="G640" s="8">
        <f t="shared" si="72"/>
        <v>0.95805786404658599</v>
      </c>
      <c r="H640" s="8">
        <f t="shared" si="73"/>
        <v>0.86747935535224419</v>
      </c>
      <c r="I640" s="8">
        <f t="shared" si="74"/>
        <v>0.90545611899498235</v>
      </c>
      <c r="J640" s="22">
        <f t="shared" si="75"/>
        <v>-0.14328336916450968</v>
      </c>
      <c r="K640" s="8"/>
      <c r="L640" s="8">
        <v>1.0062878697293864</v>
      </c>
      <c r="M640" s="8">
        <v>0.92627049373467385</v>
      </c>
      <c r="N640" s="8">
        <v>0.80436708023199843</v>
      </c>
      <c r="O640" s="8">
        <v>0.88328323297970179</v>
      </c>
      <c r="P640" s="8">
        <f t="shared" si="76"/>
        <v>0.9662791817320302</v>
      </c>
      <c r="Q640" s="8">
        <f t="shared" si="77"/>
        <v>0.84382515660585011</v>
      </c>
      <c r="R640" s="8">
        <f t="shared" si="78"/>
        <v>0.87327262406017647</v>
      </c>
      <c r="S640" s="22">
        <f t="shared" si="79"/>
        <v>-0.19549598057484688</v>
      </c>
      <c r="T640" s="25"/>
      <c r="U640" s="1" t="s">
        <v>1817</v>
      </c>
    </row>
    <row r="641" spans="1:21">
      <c r="A641" s="6" t="s">
        <v>1818</v>
      </c>
      <c r="B641" s="6" t="s">
        <v>1819</v>
      </c>
      <c r="C641" s="7">
        <v>0.82821969895803582</v>
      </c>
      <c r="D641" s="7">
        <v>0.94119368299140638</v>
      </c>
      <c r="E641" s="7">
        <v>0.81403388712331115</v>
      </c>
      <c r="F641" s="8">
        <v>0.83372372512227566</v>
      </c>
      <c r="G641" s="8">
        <f t="shared" si="72"/>
        <v>0.8847066909747211</v>
      </c>
      <c r="H641" s="8">
        <f t="shared" si="73"/>
        <v>0.82387880612279341</v>
      </c>
      <c r="I641" s="8">
        <f t="shared" si="74"/>
        <v>0.9312451398045708</v>
      </c>
      <c r="J641" s="22">
        <f t="shared" si="75"/>
        <v>-0.10276710387286872</v>
      </c>
      <c r="K641" s="8"/>
      <c r="L641" s="8">
        <v>0.93214776020598078</v>
      </c>
      <c r="M641" s="8">
        <v>0.74565749767213596</v>
      </c>
      <c r="N641" s="8">
        <v>0.68788804198293085</v>
      </c>
      <c r="O641" s="8">
        <v>0.83761486085417869</v>
      </c>
      <c r="P641" s="8">
        <f t="shared" si="76"/>
        <v>0.83890262893905843</v>
      </c>
      <c r="Q641" s="8">
        <f t="shared" si="77"/>
        <v>0.76275145141855472</v>
      </c>
      <c r="R641" s="8">
        <f t="shared" si="78"/>
        <v>0.90922524868373533</v>
      </c>
      <c r="S641" s="22">
        <f t="shared" si="79"/>
        <v>-0.13729034732966344</v>
      </c>
      <c r="T641" s="25"/>
      <c r="U641" s="1" t="s">
        <v>1820</v>
      </c>
    </row>
    <row r="642" spans="1:21">
      <c r="A642" s="6" t="s">
        <v>1821</v>
      </c>
      <c r="B642" s="6" t="s">
        <v>1822</v>
      </c>
      <c r="C642" s="7">
        <v>1.0262542164193273</v>
      </c>
      <c r="D642" s="7">
        <v>1.0292944363481098</v>
      </c>
      <c r="E642" s="7">
        <v>0.9420225015332292</v>
      </c>
      <c r="F642" s="8">
        <v>0.96690421116145975</v>
      </c>
      <c r="G642" s="8">
        <f t="shared" si="72"/>
        <v>1.0277743263837187</v>
      </c>
      <c r="H642" s="8">
        <f t="shared" si="73"/>
        <v>0.95446335634734447</v>
      </c>
      <c r="I642" s="8">
        <f t="shared" si="74"/>
        <v>0.92867016799853042</v>
      </c>
      <c r="J642" s="22">
        <f t="shared" si="75"/>
        <v>-0.1067618034303099</v>
      </c>
      <c r="K642" s="8"/>
      <c r="L642" s="8">
        <v>1.1537150509977894</v>
      </c>
      <c r="M642" s="8">
        <v>1.2996647550827061</v>
      </c>
      <c r="N642" s="8">
        <v>1.0929771953982967</v>
      </c>
      <c r="O642" s="8">
        <v>0.8428095817190997</v>
      </c>
      <c r="P642" s="8">
        <f t="shared" si="76"/>
        <v>1.2266899030402478</v>
      </c>
      <c r="Q642" s="8">
        <f t="shared" si="77"/>
        <v>0.96789338855869822</v>
      </c>
      <c r="R642" s="8">
        <f t="shared" si="78"/>
        <v>0.78902857695319395</v>
      </c>
      <c r="S642" s="22">
        <f t="shared" si="79"/>
        <v>-0.34185054232663226</v>
      </c>
      <c r="T642" s="25"/>
      <c r="U642" s="1" t="s">
        <v>1823</v>
      </c>
    </row>
    <row r="643" spans="1:21">
      <c r="A643" s="6" t="s">
        <v>1824</v>
      </c>
      <c r="B643" s="6" t="s">
        <v>1825</v>
      </c>
      <c r="C643" s="7">
        <v>0.97280995164737527</v>
      </c>
      <c r="D643" s="7">
        <v>0.95735774756573622</v>
      </c>
      <c r="E643" s="7">
        <v>0.97783926347226424</v>
      </c>
      <c r="F643" s="8">
        <v>0.85706861806797785</v>
      </c>
      <c r="G643" s="8">
        <f t="shared" si="72"/>
        <v>0.96508384960655569</v>
      </c>
      <c r="H643" s="8">
        <f t="shared" si="73"/>
        <v>0.91745394077012099</v>
      </c>
      <c r="I643" s="8">
        <f t="shared" si="74"/>
        <v>0.95064686984881941</v>
      </c>
      <c r="J643" s="22">
        <f t="shared" si="75"/>
        <v>-7.3018562138844487E-2</v>
      </c>
      <c r="K643" s="8"/>
      <c r="L643" s="8">
        <v>0.2891056296823149</v>
      </c>
      <c r="M643" s="8">
        <v>0.3544788428443979</v>
      </c>
      <c r="N643" s="8">
        <v>0.41060345602730286</v>
      </c>
      <c r="O643" s="8">
        <v>0.4033361965467811</v>
      </c>
      <c r="P643" s="8">
        <f t="shared" si="76"/>
        <v>0.3217922362633564</v>
      </c>
      <c r="Q643" s="8">
        <f t="shared" si="77"/>
        <v>0.40696982628704198</v>
      </c>
      <c r="R643" s="8">
        <f t="shared" si="78"/>
        <v>1.2646974675733811</v>
      </c>
      <c r="S643" s="22">
        <f t="shared" si="79"/>
        <v>0.33879231438109869</v>
      </c>
      <c r="T643" s="25"/>
      <c r="U643" s="1" t="s">
        <v>1826</v>
      </c>
    </row>
    <row r="644" spans="1:21">
      <c r="A644" s="6" t="s">
        <v>1827</v>
      </c>
      <c r="B644" s="6" t="s">
        <v>1828</v>
      </c>
      <c r="C644" s="7">
        <v>0.9093813864421717</v>
      </c>
      <c r="D644" s="7">
        <v>0.96228681276459838</v>
      </c>
      <c r="E644" s="7">
        <v>0.9494826994943586</v>
      </c>
      <c r="F644" s="8">
        <v>0.99800235887510347</v>
      </c>
      <c r="G644" s="8">
        <f t="shared" si="72"/>
        <v>0.93583409960338504</v>
      </c>
      <c r="H644" s="8">
        <f t="shared" si="73"/>
        <v>0.97374252918473103</v>
      </c>
      <c r="I644" s="8">
        <f t="shared" si="74"/>
        <v>1.0405076386908876</v>
      </c>
      <c r="J644" s="22">
        <f t="shared" si="75"/>
        <v>5.7287556386088172E-2</v>
      </c>
      <c r="K644" s="8"/>
      <c r="L644" s="8">
        <v>0.86505448450420941</v>
      </c>
      <c r="M644" s="8">
        <v>0.87709040562522445</v>
      </c>
      <c r="N644" s="8">
        <v>0.99079292622786574</v>
      </c>
      <c r="O644" s="8">
        <v>1.0181201180387387</v>
      </c>
      <c r="P644" s="8">
        <f t="shared" si="76"/>
        <v>0.87107244506471693</v>
      </c>
      <c r="Q644" s="8">
        <f t="shared" si="77"/>
        <v>1.0044565221333022</v>
      </c>
      <c r="R644" s="8">
        <f t="shared" si="78"/>
        <v>1.1531262730491669</v>
      </c>
      <c r="S644" s="22">
        <f t="shared" si="79"/>
        <v>0.20555050390643742</v>
      </c>
      <c r="T644" s="25"/>
      <c r="U644" s="1" t="s">
        <v>1829</v>
      </c>
    </row>
    <row r="645" spans="1:21">
      <c r="A645" s="6" t="s">
        <v>1830</v>
      </c>
      <c r="B645" s="6" t="s">
        <v>1831</v>
      </c>
      <c r="C645" s="7">
        <v>0.63633902704679879</v>
      </c>
      <c r="D645" s="7">
        <v>0.72392501571809176</v>
      </c>
      <c r="E645" s="7">
        <v>1.3982142578334291</v>
      </c>
      <c r="F645" s="8">
        <v>1.3993446151862232</v>
      </c>
      <c r="G645" s="8">
        <f t="shared" si="72"/>
        <v>0.68013202138244533</v>
      </c>
      <c r="H645" s="8">
        <f t="shared" si="73"/>
        <v>1.3987794365098263</v>
      </c>
      <c r="I645" s="8">
        <f t="shared" si="74"/>
        <v>2.056629290393722</v>
      </c>
      <c r="J645" s="22">
        <f t="shared" si="75"/>
        <v>1.0402817699889</v>
      </c>
      <c r="K645" s="8"/>
      <c r="L645" s="8">
        <v>0.73390919822368783</v>
      </c>
      <c r="M645" s="8">
        <v>0.95462412105867833</v>
      </c>
      <c r="N645" s="8">
        <v>0.70163138080037368</v>
      </c>
      <c r="O645" s="8">
        <v>0.75603515753202766</v>
      </c>
      <c r="P645" s="8">
        <f t="shared" si="76"/>
        <v>0.84426665964118308</v>
      </c>
      <c r="Q645" s="8">
        <f t="shared" si="77"/>
        <v>0.72883326916620073</v>
      </c>
      <c r="R645" s="8">
        <f t="shared" si="78"/>
        <v>0.86327377830596552</v>
      </c>
      <c r="S645" s="22">
        <f t="shared" si="79"/>
        <v>-0.21210992717951918</v>
      </c>
      <c r="T645" s="25"/>
      <c r="U645" s="1" t="s">
        <v>1832</v>
      </c>
    </row>
    <row r="646" spans="1:21">
      <c r="A646" s="6" t="s">
        <v>1833</v>
      </c>
      <c r="B646" s="6" t="s">
        <v>1834</v>
      </c>
      <c r="C646" s="7">
        <v>0.97520869552504952</v>
      </c>
      <c r="D646" s="7">
        <v>0.9902768615724229</v>
      </c>
      <c r="E646" s="7">
        <v>0.78333380546128117</v>
      </c>
      <c r="F646" s="8">
        <v>0.91614134717405915</v>
      </c>
      <c r="G646" s="8">
        <f t="shared" ref="G646:G709" si="80">AVERAGE(C646:D646)</f>
        <v>0.98274277854873615</v>
      </c>
      <c r="H646" s="8">
        <f t="shared" ref="H646:H709" si="81">AVERAGE(E646:F646)</f>
        <v>0.84973757631767022</v>
      </c>
      <c r="I646" s="8">
        <f t="shared" ref="I646:I709" si="82">H646/G646</f>
        <v>0.86465919146464632</v>
      </c>
      <c r="J646" s="22">
        <f t="shared" ref="J646:J709" si="83">LOG(I646,2)</f>
        <v>-0.20979649354885457</v>
      </c>
      <c r="K646" s="8"/>
      <c r="L646" s="8">
        <v>1.1319069547497842</v>
      </c>
      <c r="M646" s="8">
        <v>1.1748619938216132</v>
      </c>
      <c r="N646" s="8">
        <v>0.73662599352997338</v>
      </c>
      <c r="O646" s="8">
        <v>0.73859896402020575</v>
      </c>
      <c r="P646" s="8">
        <f t="shared" ref="P646:P709" si="84">AVERAGE(L646:M646)</f>
        <v>1.1533844742856987</v>
      </c>
      <c r="Q646" s="8">
        <f t="shared" ref="Q646:Q709" si="85">AVERAGE(N646:O646)</f>
        <v>0.73761247877508951</v>
      </c>
      <c r="R646" s="8">
        <f t="shared" ref="R646:R709" si="86">Q646/P646</f>
        <v>0.63952003448971295</v>
      </c>
      <c r="S646" s="22">
        <f t="shared" ref="S646:S709" si="87">LOG(R646,2)</f>
        <v>-0.64493853921092248</v>
      </c>
      <c r="T646" s="25"/>
      <c r="U646" s="1" t="s">
        <v>1835</v>
      </c>
    </row>
    <row r="647" spans="1:21">
      <c r="A647" s="6" t="s">
        <v>1836</v>
      </c>
      <c r="B647" s="6" t="s">
        <v>1837</v>
      </c>
      <c r="C647" s="7">
        <v>0.83410352883599603</v>
      </c>
      <c r="D647" s="7">
        <v>0.98470022785891431</v>
      </c>
      <c r="E647" s="7">
        <v>0.98322935414575041</v>
      </c>
      <c r="F647" s="8">
        <v>0.97908415530704351</v>
      </c>
      <c r="G647" s="8">
        <f t="shared" si="80"/>
        <v>0.90940187834745512</v>
      </c>
      <c r="H647" s="8">
        <f t="shared" si="81"/>
        <v>0.98115675472639696</v>
      </c>
      <c r="I647" s="8">
        <f t="shared" si="82"/>
        <v>1.0789033738409834</v>
      </c>
      <c r="J647" s="22">
        <f t="shared" si="83"/>
        <v>0.10956566341476717</v>
      </c>
      <c r="K647" s="8"/>
      <c r="L647" s="8">
        <v>0.75045071340499803</v>
      </c>
      <c r="M647" s="8">
        <v>0.87147428136847527</v>
      </c>
      <c r="N647" s="8">
        <v>0.80042223297884352</v>
      </c>
      <c r="O647" s="8">
        <v>0.85410245316458022</v>
      </c>
      <c r="P647" s="8">
        <f t="shared" si="84"/>
        <v>0.81096249738673665</v>
      </c>
      <c r="Q647" s="8">
        <f t="shared" si="85"/>
        <v>0.82726234307171187</v>
      </c>
      <c r="R647" s="8">
        <f t="shared" si="86"/>
        <v>1.0200993828167149</v>
      </c>
      <c r="S647" s="22">
        <f t="shared" si="87"/>
        <v>2.8709713091151997E-2</v>
      </c>
      <c r="T647" s="25"/>
      <c r="U647" s="1" t="s">
        <v>1838</v>
      </c>
    </row>
    <row r="648" spans="1:21">
      <c r="A648" s="6" t="s">
        <v>1839</v>
      </c>
      <c r="B648" s="6" t="s">
        <v>1840</v>
      </c>
      <c r="C648" s="7">
        <v>0.95157918449968759</v>
      </c>
      <c r="D648" s="7">
        <v>0.99735610572282951</v>
      </c>
      <c r="E648" s="7">
        <v>0.92781818045889719</v>
      </c>
      <c r="F648" s="8">
        <v>1.0137249641942145</v>
      </c>
      <c r="G648" s="8">
        <f t="shared" si="80"/>
        <v>0.97446764511125861</v>
      </c>
      <c r="H648" s="8">
        <f t="shared" si="81"/>
        <v>0.97077157232655586</v>
      </c>
      <c r="I648" s="8">
        <f t="shared" si="82"/>
        <v>0.99620708516773715</v>
      </c>
      <c r="J648" s="22">
        <f t="shared" si="83"/>
        <v>-5.4824231862287635E-3</v>
      </c>
      <c r="K648" s="8"/>
      <c r="L648" s="8">
        <v>0.81212905364382926</v>
      </c>
      <c r="M648" s="8">
        <v>0.74663251924448826</v>
      </c>
      <c r="N648" s="8">
        <v>0.90922366528359888</v>
      </c>
      <c r="O648" s="8">
        <v>0.83458837130678987</v>
      </c>
      <c r="P648" s="8">
        <f t="shared" si="84"/>
        <v>0.77938078644415876</v>
      </c>
      <c r="Q648" s="8">
        <f t="shared" si="85"/>
        <v>0.87190601829519432</v>
      </c>
      <c r="R648" s="8">
        <f t="shared" si="86"/>
        <v>1.1187163366871951</v>
      </c>
      <c r="S648" s="22">
        <f t="shared" si="87"/>
        <v>0.16184427086839367</v>
      </c>
      <c r="T648" s="25"/>
      <c r="U648" s="1" t="s">
        <v>1841</v>
      </c>
    </row>
    <row r="649" spans="1:21">
      <c r="A649" s="6" t="s">
        <v>1842</v>
      </c>
      <c r="B649" s="6" t="s">
        <v>1843</v>
      </c>
      <c r="C649" s="7">
        <v>1.0081757252574839</v>
      </c>
      <c r="D649" s="7">
        <v>1.0040706996416877</v>
      </c>
      <c r="E649" s="7">
        <v>0.93764793518953016</v>
      </c>
      <c r="F649" s="8">
        <v>0.90462278709229471</v>
      </c>
      <c r="G649" s="8">
        <f t="shared" si="80"/>
        <v>1.0061232124495858</v>
      </c>
      <c r="H649" s="8">
        <f t="shared" si="81"/>
        <v>0.92113536114091243</v>
      </c>
      <c r="I649" s="8">
        <f t="shared" si="82"/>
        <v>0.91552938024185393</v>
      </c>
      <c r="J649" s="22">
        <f t="shared" si="83"/>
        <v>-0.12732191061341241</v>
      </c>
      <c r="K649" s="8"/>
      <c r="L649" s="8">
        <v>0.70464629356437469</v>
      </c>
      <c r="M649" s="8">
        <v>0.64862335079163624</v>
      </c>
      <c r="N649" s="8">
        <v>0.88097346882552208</v>
      </c>
      <c r="O649" s="8">
        <v>0.73408181544201356</v>
      </c>
      <c r="P649" s="8">
        <f t="shared" si="84"/>
        <v>0.67663482217800541</v>
      </c>
      <c r="Q649" s="8">
        <f t="shared" si="85"/>
        <v>0.80752764213376782</v>
      </c>
      <c r="R649" s="8">
        <f t="shared" si="86"/>
        <v>1.1934467687229491</v>
      </c>
      <c r="S649" s="22">
        <f t="shared" si="87"/>
        <v>0.25513421936307262</v>
      </c>
      <c r="T649" s="25"/>
      <c r="U649" s="1" t="s">
        <v>1844</v>
      </c>
    </row>
    <row r="650" spans="1:21">
      <c r="A650" s="6" t="s">
        <v>1845</v>
      </c>
      <c r="B650" s="6" t="s">
        <v>1846</v>
      </c>
      <c r="C650" s="7">
        <v>0.93633899761195083</v>
      </c>
      <c r="D650" s="7">
        <v>0.91291442882752627</v>
      </c>
      <c r="E650" s="7">
        <v>0.96175361847928786</v>
      </c>
      <c r="F650" s="8">
        <v>0.98788514720578791</v>
      </c>
      <c r="G650" s="8">
        <f t="shared" si="80"/>
        <v>0.92462671321973855</v>
      </c>
      <c r="H650" s="8">
        <f t="shared" si="81"/>
        <v>0.97481938284253788</v>
      </c>
      <c r="I650" s="8">
        <f t="shared" si="82"/>
        <v>1.0542842521259399</v>
      </c>
      <c r="J650" s="22">
        <f t="shared" si="83"/>
        <v>7.6263893392724727E-2</v>
      </c>
      <c r="K650" s="8"/>
      <c r="L650" s="8">
        <v>0.84773410874261335</v>
      </c>
      <c r="M650" s="8">
        <v>0.74109439671352728</v>
      </c>
      <c r="N650" s="8">
        <v>0.90197023646328189</v>
      </c>
      <c r="O650" s="8">
        <v>0.89376301768110766</v>
      </c>
      <c r="P650" s="8">
        <f t="shared" si="84"/>
        <v>0.79441425272807031</v>
      </c>
      <c r="Q650" s="8">
        <f t="shared" si="85"/>
        <v>0.89786662707219478</v>
      </c>
      <c r="R650" s="8">
        <f t="shared" si="86"/>
        <v>1.1302247209045686</v>
      </c>
      <c r="S650" s="22">
        <f t="shared" si="87"/>
        <v>0.17660965007585688</v>
      </c>
      <c r="T650" s="25"/>
      <c r="U650" s="1" t="s">
        <v>1847</v>
      </c>
    </row>
    <row r="651" spans="1:21">
      <c r="A651" s="6" t="s">
        <v>1848</v>
      </c>
      <c r="B651" s="6" t="s">
        <v>80</v>
      </c>
      <c r="C651" s="7">
        <v>0.91341906265511552</v>
      </c>
      <c r="D651" s="7">
        <v>1.0130989364089913</v>
      </c>
      <c r="E651" s="7">
        <v>0.91100995084664915</v>
      </c>
      <c r="F651" s="8">
        <v>1.0009884096978918</v>
      </c>
      <c r="G651" s="8">
        <f t="shared" si="80"/>
        <v>0.96325899953205341</v>
      </c>
      <c r="H651" s="8">
        <f t="shared" si="81"/>
        <v>0.95599918027227049</v>
      </c>
      <c r="I651" s="8">
        <f t="shared" si="82"/>
        <v>0.99246327388240374</v>
      </c>
      <c r="J651" s="22">
        <f t="shared" si="83"/>
        <v>-1.0914378594550637E-2</v>
      </c>
      <c r="K651" s="8"/>
      <c r="L651" s="8">
        <v>1.2836364135092904</v>
      </c>
      <c r="M651" s="8">
        <v>0.81039893007632791</v>
      </c>
      <c r="N651" s="8">
        <v>1.21246789122773</v>
      </c>
      <c r="O651" s="8">
        <v>1.1759492893607741</v>
      </c>
      <c r="P651" s="8">
        <f t="shared" si="84"/>
        <v>1.0470176717928092</v>
      </c>
      <c r="Q651" s="8">
        <f t="shared" si="85"/>
        <v>1.1942085902942521</v>
      </c>
      <c r="R651" s="8">
        <f t="shared" si="86"/>
        <v>1.140581121471816</v>
      </c>
      <c r="S651" s="22">
        <f t="shared" si="87"/>
        <v>0.18976905899824459</v>
      </c>
      <c r="T651" s="25"/>
      <c r="U651" s="1">
        <v>0</v>
      </c>
    </row>
    <row r="652" spans="1:21">
      <c r="A652" s="6" t="s">
        <v>1849</v>
      </c>
      <c r="B652" s="6" t="s">
        <v>80</v>
      </c>
      <c r="C652" s="7">
        <v>0.85063099974185641</v>
      </c>
      <c r="D652" s="7">
        <v>0.97162940317978874</v>
      </c>
      <c r="E652" s="7">
        <v>1.0067947264138906</v>
      </c>
      <c r="F652" s="8">
        <v>0.96368896784130842</v>
      </c>
      <c r="G652" s="8">
        <f t="shared" si="80"/>
        <v>0.91113020146082258</v>
      </c>
      <c r="H652" s="8">
        <f t="shared" si="81"/>
        <v>0.98524184712759943</v>
      </c>
      <c r="I652" s="8">
        <f t="shared" si="82"/>
        <v>1.0813403458122155</v>
      </c>
      <c r="J652" s="22">
        <f t="shared" si="83"/>
        <v>0.11282067472401469</v>
      </c>
      <c r="K652" s="8"/>
      <c r="L652" s="8">
        <v>1.3729457600487405</v>
      </c>
      <c r="M652" s="8">
        <v>1.1209628013019788</v>
      </c>
      <c r="N652" s="8">
        <v>1.5185965216150279</v>
      </c>
      <c r="O652" s="8">
        <v>1.4660405710522768</v>
      </c>
      <c r="P652" s="8">
        <f t="shared" si="84"/>
        <v>1.2469542806753595</v>
      </c>
      <c r="Q652" s="8">
        <f t="shared" si="85"/>
        <v>1.4923185463336524</v>
      </c>
      <c r="R652" s="8">
        <f t="shared" si="86"/>
        <v>1.1967708595742594</v>
      </c>
      <c r="S652" s="22">
        <f t="shared" si="87"/>
        <v>0.25914695228042439</v>
      </c>
      <c r="T652" s="25"/>
      <c r="U652" s="1">
        <v>0</v>
      </c>
    </row>
    <row r="653" spans="1:21">
      <c r="A653" s="6" t="s">
        <v>1850</v>
      </c>
      <c r="B653" s="6" t="s">
        <v>1851</v>
      </c>
      <c r="C653" s="7">
        <v>1.1065744597160068</v>
      </c>
      <c r="D653" s="7">
        <v>1.0933911451521912</v>
      </c>
      <c r="E653" s="7">
        <v>0.95575811907073627</v>
      </c>
      <c r="F653" s="8">
        <v>0.98189994884607634</v>
      </c>
      <c r="G653" s="8">
        <f t="shared" si="80"/>
        <v>1.099982802434099</v>
      </c>
      <c r="H653" s="8">
        <f t="shared" si="81"/>
        <v>0.96882903395840625</v>
      </c>
      <c r="I653" s="8">
        <f t="shared" si="82"/>
        <v>0.88076743728586593</v>
      </c>
      <c r="J653" s="22">
        <f t="shared" si="83"/>
        <v>-0.18316696265015509</v>
      </c>
      <c r="K653" s="8"/>
      <c r="L653" s="8">
        <v>1.1017910123120627</v>
      </c>
      <c r="M653" s="8">
        <v>1.0844579936331091</v>
      </c>
      <c r="N653" s="8">
        <v>0.60334954117069794</v>
      </c>
      <c r="O653" s="8">
        <v>1.037092142067146</v>
      </c>
      <c r="P653" s="8">
        <f t="shared" si="84"/>
        <v>1.0931245029725858</v>
      </c>
      <c r="Q653" s="8">
        <f t="shared" si="85"/>
        <v>0.82022084161892195</v>
      </c>
      <c r="R653" s="8">
        <f t="shared" si="86"/>
        <v>0.7503453077746004</v>
      </c>
      <c r="S653" s="22">
        <f t="shared" si="87"/>
        <v>-0.4143734203895228</v>
      </c>
      <c r="T653" s="25"/>
      <c r="U653" s="1" t="s">
        <v>1852</v>
      </c>
    </row>
    <row r="654" spans="1:21">
      <c r="A654" s="6" t="s">
        <v>1853</v>
      </c>
      <c r="B654" s="6" t="s">
        <v>1854</v>
      </c>
      <c r="C654" s="7">
        <v>1.1890108723497967</v>
      </c>
      <c r="D654" s="7">
        <v>1.1410911676825066</v>
      </c>
      <c r="E654" s="7">
        <v>1.0127902258224422</v>
      </c>
      <c r="F654" s="8">
        <v>0.90684268013818337</v>
      </c>
      <c r="G654" s="8">
        <f t="shared" si="80"/>
        <v>1.1650510200161517</v>
      </c>
      <c r="H654" s="8">
        <f t="shared" si="81"/>
        <v>0.95981645298031282</v>
      </c>
      <c r="I654" s="8">
        <f t="shared" si="82"/>
        <v>0.82384070438992996</v>
      </c>
      <c r="J654" s="22">
        <f t="shared" si="83"/>
        <v>-0.27956268612383667</v>
      </c>
      <c r="K654" s="8"/>
      <c r="L654" s="8">
        <v>0.43627319075728926</v>
      </c>
      <c r="M654" s="8">
        <v>0.41457917256419297</v>
      </c>
      <c r="N654" s="8">
        <v>0.60470690796748239</v>
      </c>
      <c r="O654" s="8">
        <v>0.39330812670319443</v>
      </c>
      <c r="P654" s="8">
        <f t="shared" si="84"/>
        <v>0.42542618166074109</v>
      </c>
      <c r="Q654" s="8">
        <f t="shared" si="85"/>
        <v>0.49900751733533844</v>
      </c>
      <c r="R654" s="8">
        <f t="shared" si="86"/>
        <v>1.1729591145221883</v>
      </c>
      <c r="S654" s="22">
        <f t="shared" si="87"/>
        <v>0.23015272666216965</v>
      </c>
      <c r="T654" s="25"/>
      <c r="U654" s="1" t="s">
        <v>1855</v>
      </c>
    </row>
    <row r="655" spans="1:21">
      <c r="A655" s="6" t="s">
        <v>1856</v>
      </c>
      <c r="B655" s="6" t="s">
        <v>1857</v>
      </c>
      <c r="C655" s="7">
        <v>1.0729606482573932</v>
      </c>
      <c r="D655" s="7">
        <v>1.0762211489046241</v>
      </c>
      <c r="E655" s="7">
        <v>1.0982114454087777</v>
      </c>
      <c r="F655" s="8">
        <v>1.096699196596737</v>
      </c>
      <c r="G655" s="8">
        <f t="shared" si="80"/>
        <v>1.0745908985810086</v>
      </c>
      <c r="H655" s="8">
        <f t="shared" si="81"/>
        <v>1.0974553210027573</v>
      </c>
      <c r="I655" s="8">
        <f t="shared" si="82"/>
        <v>1.021277327448</v>
      </c>
      <c r="J655" s="22">
        <f t="shared" si="83"/>
        <v>3.0374682675716237E-2</v>
      </c>
      <c r="K655" s="8"/>
      <c r="L655" s="8">
        <v>0.56085379500397248</v>
      </c>
      <c r="M655" s="8">
        <v>0.53134775606910301</v>
      </c>
      <c r="N655" s="8">
        <v>0.44441037280971613</v>
      </c>
      <c r="O655" s="8">
        <v>0.67115793574779625</v>
      </c>
      <c r="P655" s="8">
        <f t="shared" si="84"/>
        <v>0.54610077553653769</v>
      </c>
      <c r="Q655" s="8">
        <f t="shared" si="85"/>
        <v>0.55778415427875616</v>
      </c>
      <c r="R655" s="8">
        <f t="shared" si="86"/>
        <v>1.0213941808281441</v>
      </c>
      <c r="S655" s="22">
        <f t="shared" si="87"/>
        <v>3.0539744744233745E-2</v>
      </c>
      <c r="T655" s="25"/>
      <c r="U655" s="1" t="s">
        <v>1858</v>
      </c>
    </row>
    <row r="656" spans="1:21">
      <c r="A656" s="6" t="s">
        <v>1859</v>
      </c>
      <c r="B656" s="6" t="s">
        <v>1860</v>
      </c>
      <c r="C656" s="7">
        <v>1.0570987973804162</v>
      </c>
      <c r="D656" s="7">
        <v>1.0642694232119749</v>
      </c>
      <c r="E656" s="7">
        <v>1.0841373197613415</v>
      </c>
      <c r="F656" s="8">
        <v>1.0215240574616287</v>
      </c>
      <c r="G656" s="8">
        <f t="shared" si="80"/>
        <v>1.0606841102961955</v>
      </c>
      <c r="H656" s="8">
        <f t="shared" si="81"/>
        <v>1.0528306886114851</v>
      </c>
      <c r="I656" s="8">
        <f t="shared" si="82"/>
        <v>0.99259589013498339</v>
      </c>
      <c r="J656" s="22">
        <f t="shared" si="83"/>
        <v>-1.0721613750367977E-2</v>
      </c>
      <c r="K656" s="8"/>
      <c r="L656" s="8">
        <v>0.75208261176369229</v>
      </c>
      <c r="M656" s="8">
        <v>1.1580526219142597</v>
      </c>
      <c r="N656" s="8">
        <v>0.75808935600412786</v>
      </c>
      <c r="O656" s="8">
        <v>0.76520496914575775</v>
      </c>
      <c r="P656" s="8">
        <f t="shared" si="84"/>
        <v>0.95506761683897601</v>
      </c>
      <c r="Q656" s="8">
        <f t="shared" si="85"/>
        <v>0.7616471625749428</v>
      </c>
      <c r="R656" s="8">
        <f t="shared" si="86"/>
        <v>0.79747983194718264</v>
      </c>
      <c r="S656" s="22">
        <f t="shared" si="87"/>
        <v>-0.32648006092233228</v>
      </c>
      <c r="T656" s="25"/>
      <c r="U656" s="1" t="s">
        <v>1861</v>
      </c>
    </row>
    <row r="657" spans="1:21">
      <c r="A657" s="6" t="s">
        <v>1862</v>
      </c>
      <c r="B657" s="6" t="s">
        <v>1863</v>
      </c>
      <c r="C657" s="7">
        <v>1.0164645784473529</v>
      </c>
      <c r="D657" s="7">
        <v>1.0671174672618278</v>
      </c>
      <c r="E657" s="7">
        <v>1.054758721682304</v>
      </c>
      <c r="F657" s="8">
        <v>1.0585026298219036</v>
      </c>
      <c r="G657" s="8">
        <f t="shared" si="80"/>
        <v>1.0417910228545904</v>
      </c>
      <c r="H657" s="8">
        <f t="shared" si="81"/>
        <v>1.0566306757521038</v>
      </c>
      <c r="I657" s="8">
        <f t="shared" si="82"/>
        <v>1.0142443662615288</v>
      </c>
      <c r="J657" s="22">
        <f t="shared" si="83"/>
        <v>2.0405288948792847E-2</v>
      </c>
      <c r="K657" s="8"/>
      <c r="L657" s="8">
        <v>0.99434534083166926</v>
      </c>
      <c r="M657" s="8">
        <v>1.0379299642004578</v>
      </c>
      <c r="N657" s="8">
        <v>0.66650951493357546</v>
      </c>
      <c r="O657" s="8">
        <v>0.78806174095141035</v>
      </c>
      <c r="P657" s="8">
        <f t="shared" si="84"/>
        <v>1.0161376525160635</v>
      </c>
      <c r="Q657" s="8">
        <f t="shared" si="85"/>
        <v>0.72728562794249285</v>
      </c>
      <c r="R657" s="8">
        <f t="shared" si="86"/>
        <v>0.71573533973636083</v>
      </c>
      <c r="S657" s="22">
        <f t="shared" si="87"/>
        <v>-0.482501879793726</v>
      </c>
      <c r="T657" s="25"/>
      <c r="U657" s="1" t="s">
        <v>1864</v>
      </c>
    </row>
    <row r="658" spans="1:21">
      <c r="A658" s="6" t="s">
        <v>1865</v>
      </c>
      <c r="B658" s="6" t="s">
        <v>1866</v>
      </c>
      <c r="C658" s="7">
        <v>1.0310391453062062</v>
      </c>
      <c r="D658" s="7">
        <v>0.98642288584933291</v>
      </c>
      <c r="E658" s="7">
        <v>1.0547977803103727</v>
      </c>
      <c r="F658" s="8">
        <v>0.93797356963716461</v>
      </c>
      <c r="G658" s="8">
        <f t="shared" si="80"/>
        <v>1.0087310155777696</v>
      </c>
      <c r="H658" s="8">
        <f t="shared" si="81"/>
        <v>0.99638567497376873</v>
      </c>
      <c r="I658" s="8">
        <f t="shared" si="82"/>
        <v>0.98776151380957611</v>
      </c>
      <c r="J658" s="22">
        <f t="shared" si="83"/>
        <v>-1.7765336859142371E-2</v>
      </c>
      <c r="K658" s="8"/>
      <c r="L658" s="8">
        <v>0.77589349236100413</v>
      </c>
      <c r="M658" s="8">
        <v>1.2332462855740682</v>
      </c>
      <c r="N658" s="8">
        <v>0.72148287020334656</v>
      </c>
      <c r="O658" s="8">
        <v>0.76330776674291712</v>
      </c>
      <c r="P658" s="8">
        <f t="shared" si="84"/>
        <v>1.0045698889675361</v>
      </c>
      <c r="Q658" s="8">
        <f t="shared" si="85"/>
        <v>0.74239531847313178</v>
      </c>
      <c r="R658" s="8">
        <f t="shared" si="86"/>
        <v>0.73901808786658074</v>
      </c>
      <c r="S658" s="22">
        <f t="shared" si="87"/>
        <v>-0.43631841934399329</v>
      </c>
      <c r="T658" s="25"/>
      <c r="U658" s="1" t="s">
        <v>1867</v>
      </c>
    </row>
    <row r="659" spans="1:21">
      <c r="A659" s="6" t="s">
        <v>1868</v>
      </c>
      <c r="B659" s="6" t="s">
        <v>1869</v>
      </c>
      <c r="C659" s="7">
        <v>0.85530289881250998</v>
      </c>
      <c r="D659" s="7">
        <v>0.99483498946677884</v>
      </c>
      <c r="E659" s="7">
        <v>0.91477910845528265</v>
      </c>
      <c r="F659" s="8">
        <v>1.0065086747058096</v>
      </c>
      <c r="G659" s="8">
        <f t="shared" si="80"/>
        <v>0.92506894413964447</v>
      </c>
      <c r="H659" s="8">
        <f t="shared" si="81"/>
        <v>0.96064389158054619</v>
      </c>
      <c r="I659" s="8">
        <f t="shared" si="82"/>
        <v>1.0384565363114509</v>
      </c>
      <c r="J659" s="22">
        <f t="shared" si="83"/>
        <v>5.4440834709148435E-2</v>
      </c>
      <c r="K659" s="8"/>
      <c r="L659" s="8">
        <v>1.0107014130176732</v>
      </c>
      <c r="M659" s="8">
        <v>1.2484956229656581</v>
      </c>
      <c r="N659" s="8">
        <v>0.85310503177904085</v>
      </c>
      <c r="O659" s="8">
        <v>0.81213814287317465</v>
      </c>
      <c r="P659" s="8">
        <f t="shared" si="84"/>
        <v>1.1295985179916657</v>
      </c>
      <c r="Q659" s="8">
        <f t="shared" si="85"/>
        <v>0.8326215873261078</v>
      </c>
      <c r="R659" s="8">
        <f t="shared" si="86"/>
        <v>0.73709514846605972</v>
      </c>
      <c r="S659" s="22">
        <f t="shared" si="87"/>
        <v>-0.44007723220210837</v>
      </c>
      <c r="T659" s="25"/>
      <c r="U659" s="1" t="s">
        <v>1870</v>
      </c>
    </row>
    <row r="660" spans="1:21">
      <c r="A660" s="6" t="s">
        <v>1871</v>
      </c>
      <c r="B660" s="6" t="s">
        <v>1872</v>
      </c>
      <c r="C660" s="7">
        <v>1.0265933058680037</v>
      </c>
      <c r="D660" s="7">
        <v>1.0257233789081179</v>
      </c>
      <c r="E660" s="7">
        <v>0.97217576240229686</v>
      </c>
      <c r="F660" s="8">
        <v>1.0085321170396726</v>
      </c>
      <c r="G660" s="8">
        <f t="shared" si="80"/>
        <v>1.0261583423880607</v>
      </c>
      <c r="H660" s="8">
        <f t="shared" si="81"/>
        <v>0.99035393972098473</v>
      </c>
      <c r="I660" s="8">
        <f t="shared" si="82"/>
        <v>0.96510830620569488</v>
      </c>
      <c r="J660" s="22">
        <f t="shared" si="83"/>
        <v>-5.1237241565672602E-2</v>
      </c>
      <c r="K660" s="8"/>
      <c r="L660" s="8">
        <v>0.62078897108692577</v>
      </c>
      <c r="M660" s="8">
        <v>0.64870135251742445</v>
      </c>
      <c r="N660" s="8">
        <v>0.57348747164143954</v>
      </c>
      <c r="O660" s="8">
        <v>0.58546762721949042</v>
      </c>
      <c r="P660" s="8">
        <f t="shared" si="84"/>
        <v>0.63474516180217511</v>
      </c>
      <c r="Q660" s="8">
        <f t="shared" si="85"/>
        <v>0.57947754943046492</v>
      </c>
      <c r="R660" s="8">
        <f t="shared" si="86"/>
        <v>0.9129294468117034</v>
      </c>
      <c r="S660" s="22">
        <f t="shared" si="87"/>
        <v>-0.13142472500417834</v>
      </c>
      <c r="T660" s="25"/>
      <c r="U660" s="1" t="s">
        <v>1873</v>
      </c>
    </row>
    <row r="661" spans="1:21">
      <c r="A661" s="6" t="s">
        <v>1874</v>
      </c>
      <c r="B661" s="6" t="s">
        <v>1875</v>
      </c>
      <c r="C661" s="7">
        <v>0.95674715887488626</v>
      </c>
      <c r="D661" s="7">
        <v>0.88849543745969384</v>
      </c>
      <c r="E661" s="7">
        <v>0.94991885417445954</v>
      </c>
      <c r="F661" s="8">
        <v>0.87225425810755253</v>
      </c>
      <c r="G661" s="8">
        <f t="shared" si="80"/>
        <v>0.9226212981672901</v>
      </c>
      <c r="H661" s="8">
        <f t="shared" si="81"/>
        <v>0.91108655614100598</v>
      </c>
      <c r="I661" s="8">
        <f t="shared" si="82"/>
        <v>0.98749785849384042</v>
      </c>
      <c r="J661" s="22">
        <f t="shared" si="83"/>
        <v>-1.8150475362073575E-2</v>
      </c>
      <c r="K661" s="8"/>
      <c r="L661" s="8">
        <v>0.86242119397086181</v>
      </c>
      <c r="M661" s="8">
        <v>0.85595193793662683</v>
      </c>
      <c r="N661" s="8">
        <v>0.75881045711491957</v>
      </c>
      <c r="O661" s="8">
        <v>0.87316482016455121</v>
      </c>
      <c r="P661" s="8">
        <f t="shared" si="84"/>
        <v>0.85918656595374432</v>
      </c>
      <c r="Q661" s="8">
        <f t="shared" si="85"/>
        <v>0.81598763863973534</v>
      </c>
      <c r="R661" s="8">
        <f t="shared" si="86"/>
        <v>0.94972113272504932</v>
      </c>
      <c r="S661" s="22">
        <f t="shared" si="87"/>
        <v>-7.4424138807641357E-2</v>
      </c>
      <c r="T661" s="25"/>
      <c r="U661" s="1" t="s">
        <v>1876</v>
      </c>
    </row>
    <row r="662" spans="1:21">
      <c r="A662" s="6" t="s">
        <v>1877</v>
      </c>
      <c r="B662" s="13" t="s">
        <v>1878</v>
      </c>
      <c r="C662" s="14">
        <v>0.96799990502355715</v>
      </c>
      <c r="D662" s="14">
        <v>0.93347944447226883</v>
      </c>
      <c r="E662" s="14">
        <v>0.81473043265720368</v>
      </c>
      <c r="F662" s="8">
        <v>0.90732725856117968</v>
      </c>
      <c r="G662" s="8">
        <f t="shared" si="80"/>
        <v>0.95073967474791299</v>
      </c>
      <c r="H662" s="8">
        <f t="shared" si="81"/>
        <v>0.86102884560919168</v>
      </c>
      <c r="I662" s="8">
        <f t="shared" si="82"/>
        <v>0.90564101665105334</v>
      </c>
      <c r="J662" s="22">
        <f t="shared" si="83"/>
        <v>-0.14298879530962119</v>
      </c>
      <c r="K662" s="8"/>
      <c r="L662" s="8">
        <v>0.69381642263849452</v>
      </c>
      <c r="M662" s="8">
        <v>0.87182528913452206</v>
      </c>
      <c r="N662" s="8">
        <v>0.78239470520904975</v>
      </c>
      <c r="O662" s="8">
        <v>0.79510849273339013</v>
      </c>
      <c r="P662" s="8">
        <f t="shared" si="84"/>
        <v>0.78282085588650829</v>
      </c>
      <c r="Q662" s="8">
        <f t="shared" si="85"/>
        <v>0.78875159897121994</v>
      </c>
      <c r="R662" s="8">
        <f t="shared" si="86"/>
        <v>1.0075761178820348</v>
      </c>
      <c r="S662" s="22">
        <f t="shared" si="87"/>
        <v>1.0888832046361813E-2</v>
      </c>
      <c r="T662" s="25"/>
      <c r="U662" s="1" t="s">
        <v>1879</v>
      </c>
    </row>
    <row r="663" spans="1:21">
      <c r="A663" s="6" t="s">
        <v>1880</v>
      </c>
      <c r="B663" s="6" t="s">
        <v>1881</v>
      </c>
      <c r="C663" s="7">
        <v>0.90305171673354423</v>
      </c>
      <c r="D663" s="7">
        <v>0.95892951580516939</v>
      </c>
      <c r="E663" s="7">
        <v>0.99862496337617901</v>
      </c>
      <c r="F663" s="8">
        <v>0.94896826115352761</v>
      </c>
      <c r="G663" s="8">
        <f t="shared" si="80"/>
        <v>0.93099061626935686</v>
      </c>
      <c r="H663" s="8">
        <f t="shared" si="81"/>
        <v>0.97379661226485337</v>
      </c>
      <c r="I663" s="8">
        <f t="shared" si="82"/>
        <v>1.0459789768526644</v>
      </c>
      <c r="J663" s="22">
        <f t="shared" si="83"/>
        <v>6.4853855126723939E-2</v>
      </c>
      <c r="K663" s="8"/>
      <c r="L663" s="8">
        <v>0.92562016677120362</v>
      </c>
      <c r="M663" s="8">
        <v>0.94155883198915769</v>
      </c>
      <c r="N663" s="8">
        <v>0.64992418938536511</v>
      </c>
      <c r="O663" s="8">
        <v>0.81051196938502557</v>
      </c>
      <c r="P663" s="8">
        <f t="shared" si="84"/>
        <v>0.93358949938018065</v>
      </c>
      <c r="Q663" s="8">
        <f t="shared" si="85"/>
        <v>0.73021807938519534</v>
      </c>
      <c r="R663" s="8">
        <f t="shared" si="86"/>
        <v>0.78216183865606281</v>
      </c>
      <c r="S663" s="22">
        <f t="shared" si="87"/>
        <v>-0.35446094557780489</v>
      </c>
      <c r="T663" s="25"/>
      <c r="U663" s="1" t="s">
        <v>1882</v>
      </c>
    </row>
    <row r="664" spans="1:21">
      <c r="A664" s="6" t="s">
        <v>1883</v>
      </c>
      <c r="B664" s="6" t="s">
        <v>1884</v>
      </c>
      <c r="C664" s="7">
        <v>0.85914591256417661</v>
      </c>
      <c r="D664" s="7">
        <v>0.88725059701406284</v>
      </c>
      <c r="E664" s="7">
        <v>0.96880370084569556</v>
      </c>
      <c r="F664" s="8">
        <v>0.8885596672056727</v>
      </c>
      <c r="G664" s="8">
        <f t="shared" si="80"/>
        <v>0.87319825478911972</v>
      </c>
      <c r="H664" s="8">
        <f t="shared" si="81"/>
        <v>0.92868168402568418</v>
      </c>
      <c r="I664" s="8">
        <f t="shared" si="82"/>
        <v>1.0635404719744475</v>
      </c>
      <c r="J664" s="22">
        <f t="shared" si="83"/>
        <v>8.8874934667512367E-2</v>
      </c>
      <c r="K664" s="8"/>
      <c r="L664" s="8">
        <v>0.94431282069806532</v>
      </c>
      <c r="M664" s="8">
        <v>0.85653695088003823</v>
      </c>
      <c r="N664" s="8">
        <v>0.81942536813382616</v>
      </c>
      <c r="O664" s="8">
        <v>0.77279377875712063</v>
      </c>
      <c r="P664" s="8">
        <f t="shared" si="84"/>
        <v>0.90042488578905178</v>
      </c>
      <c r="Q664" s="8">
        <f t="shared" si="85"/>
        <v>0.7961095734454734</v>
      </c>
      <c r="R664" s="8">
        <f t="shared" si="86"/>
        <v>0.8841487902101175</v>
      </c>
      <c r="S664" s="22">
        <f t="shared" si="87"/>
        <v>-0.17763891889602848</v>
      </c>
      <c r="T664" s="25"/>
      <c r="U664" s="1" t="s">
        <v>1885</v>
      </c>
    </row>
    <row r="665" spans="1:21">
      <c r="A665" s="6" t="s">
        <v>1886</v>
      </c>
      <c r="B665" s="6" t="s">
        <v>1887</v>
      </c>
      <c r="C665" s="7">
        <v>1.071585452159983</v>
      </c>
      <c r="D665" s="7">
        <v>0.96722216503641834</v>
      </c>
      <c r="E665" s="7">
        <v>0.92199844487665483</v>
      </c>
      <c r="F665" s="8">
        <v>0.94822174844783047</v>
      </c>
      <c r="G665" s="8">
        <f t="shared" si="80"/>
        <v>1.0194038085982007</v>
      </c>
      <c r="H665" s="8">
        <f t="shared" si="81"/>
        <v>0.93511009666224265</v>
      </c>
      <c r="I665" s="8">
        <f t="shared" si="82"/>
        <v>0.91731077397888894</v>
      </c>
      <c r="J665" s="22">
        <f t="shared" si="83"/>
        <v>-0.12451751033483345</v>
      </c>
      <c r="K665" s="8"/>
      <c r="L665" s="8">
        <v>0.76154020452430682</v>
      </c>
      <c r="M665" s="8">
        <v>1.2468575867241063</v>
      </c>
      <c r="N665" s="8">
        <v>0.77887403507989006</v>
      </c>
      <c r="O665" s="8">
        <v>0.80744030835185487</v>
      </c>
      <c r="P665" s="8">
        <f t="shared" si="84"/>
        <v>1.0041988956242065</v>
      </c>
      <c r="Q665" s="8">
        <f t="shared" si="85"/>
        <v>0.79315717171587252</v>
      </c>
      <c r="R665" s="8">
        <f t="shared" si="86"/>
        <v>0.78984071300222736</v>
      </c>
      <c r="S665" s="22">
        <f t="shared" si="87"/>
        <v>-0.34036636024613121</v>
      </c>
      <c r="T665" s="25"/>
      <c r="U665" s="1" t="s">
        <v>1888</v>
      </c>
    </row>
    <row r="666" spans="1:21">
      <c r="A666" s="6" t="s">
        <v>1889</v>
      </c>
      <c r="B666" s="6" t="s">
        <v>1890</v>
      </c>
      <c r="C666" s="7">
        <v>0.97902031210554241</v>
      </c>
      <c r="D666" s="7">
        <v>0.96693924675332033</v>
      </c>
      <c r="E666" s="7">
        <v>0.97608162520917086</v>
      </c>
      <c r="F666" s="8">
        <v>0.98136298356653984</v>
      </c>
      <c r="G666" s="8">
        <f t="shared" si="80"/>
        <v>0.97297977942943137</v>
      </c>
      <c r="H666" s="8">
        <f t="shared" si="81"/>
        <v>0.97872230438785535</v>
      </c>
      <c r="I666" s="8">
        <f t="shared" si="82"/>
        <v>1.005901998253028</v>
      </c>
      <c r="J666" s="22">
        <f t="shared" si="83"/>
        <v>8.4897549232110063E-3</v>
      </c>
      <c r="K666" s="8"/>
      <c r="L666" s="8">
        <v>0.68610199403375793</v>
      </c>
      <c r="M666" s="8">
        <v>1.0031021936360343</v>
      </c>
      <c r="N666" s="8">
        <v>0.80979654741913631</v>
      </c>
      <c r="O666" s="8">
        <v>0.87989537154605757</v>
      </c>
      <c r="P666" s="8">
        <f t="shared" si="84"/>
        <v>0.84460209383489615</v>
      </c>
      <c r="Q666" s="8">
        <f t="shared" si="85"/>
        <v>0.844845959482597</v>
      </c>
      <c r="R666" s="8">
        <f t="shared" si="86"/>
        <v>1.0002887343631763</v>
      </c>
      <c r="S666" s="22">
        <f t="shared" si="87"/>
        <v>4.1649550849912461E-4</v>
      </c>
      <c r="T666" s="25"/>
      <c r="U666" s="1" t="s">
        <v>1891</v>
      </c>
    </row>
    <row r="667" spans="1:21">
      <c r="A667" s="6" t="s">
        <v>1892</v>
      </c>
      <c r="B667" s="6" t="s">
        <v>1893</v>
      </c>
      <c r="C667" s="7">
        <v>0.96576442643598637</v>
      </c>
      <c r="D667" s="7">
        <v>0.92549486181594876</v>
      </c>
      <c r="E667" s="7">
        <v>0.96414921433417067</v>
      </c>
      <c r="F667" s="8">
        <v>1.0584109528229584</v>
      </c>
      <c r="G667" s="8">
        <f t="shared" si="80"/>
        <v>0.94562964412596751</v>
      </c>
      <c r="H667" s="8">
        <f t="shared" si="81"/>
        <v>1.0112800835785645</v>
      </c>
      <c r="I667" s="8">
        <f t="shared" si="82"/>
        <v>1.0694251072398189</v>
      </c>
      <c r="J667" s="22">
        <f t="shared" si="83"/>
        <v>9.6835452865790178E-2</v>
      </c>
      <c r="K667" s="8"/>
      <c r="L667" s="8">
        <v>0.89424321196540013</v>
      </c>
      <c r="M667" s="8">
        <v>0.82104616564641486</v>
      </c>
      <c r="N667" s="8">
        <v>0.86328528275492444</v>
      </c>
      <c r="O667" s="8">
        <v>0.77645266910545641</v>
      </c>
      <c r="P667" s="8">
        <f t="shared" si="84"/>
        <v>0.8576446888059075</v>
      </c>
      <c r="Q667" s="8">
        <f t="shared" si="85"/>
        <v>0.81986897593019048</v>
      </c>
      <c r="R667" s="8">
        <f t="shared" si="86"/>
        <v>0.95595412253026146</v>
      </c>
      <c r="S667" s="22">
        <f t="shared" si="87"/>
        <v>-6.4986711813408954E-2</v>
      </c>
      <c r="T667" s="25"/>
      <c r="U667" s="1" t="s">
        <v>1894</v>
      </c>
    </row>
    <row r="668" spans="1:21">
      <c r="A668" s="6" t="s">
        <v>1895</v>
      </c>
      <c r="B668" s="6" t="s">
        <v>1896</v>
      </c>
      <c r="C668" s="7">
        <v>1.0307754090683467</v>
      </c>
      <c r="D668" s="7">
        <v>0.99475325751832833</v>
      </c>
      <c r="E668" s="7">
        <v>0.91091881404782216</v>
      </c>
      <c r="F668" s="8">
        <v>0.91842672379062296</v>
      </c>
      <c r="G668" s="8">
        <f t="shared" si="80"/>
        <v>1.0127643332933376</v>
      </c>
      <c r="H668" s="8">
        <f t="shared" si="81"/>
        <v>0.91467276891922256</v>
      </c>
      <c r="I668" s="8">
        <f t="shared" si="82"/>
        <v>0.90314472859136152</v>
      </c>
      <c r="J668" s="22">
        <f t="shared" si="83"/>
        <v>-0.14697089733611099</v>
      </c>
      <c r="K668" s="8"/>
      <c r="L668" s="8">
        <v>0.90789181641993411</v>
      </c>
      <c r="M668" s="8">
        <v>1.1373431637174971</v>
      </c>
      <c r="N668" s="8">
        <v>0.71126020151506353</v>
      </c>
      <c r="O668" s="8">
        <v>0.88305737555079211</v>
      </c>
      <c r="P668" s="8">
        <f t="shared" si="84"/>
        <v>1.0226174900687157</v>
      </c>
      <c r="Q668" s="8">
        <f t="shared" si="85"/>
        <v>0.79715878853292788</v>
      </c>
      <c r="R668" s="8">
        <f t="shared" si="86"/>
        <v>0.7795278256773821</v>
      </c>
      <c r="S668" s="22">
        <f t="shared" si="87"/>
        <v>-0.35932757324681747</v>
      </c>
      <c r="T668" s="25"/>
      <c r="U668" s="1" t="s">
        <v>1897</v>
      </c>
    </row>
    <row r="669" spans="1:21">
      <c r="A669" s="6" t="s">
        <v>1898</v>
      </c>
      <c r="B669" s="6" t="s">
        <v>1899</v>
      </c>
      <c r="C669" s="7">
        <v>0.99149126849575464</v>
      </c>
      <c r="D669" s="7">
        <v>1.0684188913640782</v>
      </c>
      <c r="E669" s="7">
        <v>0.96384325508096558</v>
      </c>
      <c r="F669" s="8">
        <v>0.9380194081366372</v>
      </c>
      <c r="G669" s="8">
        <f t="shared" si="80"/>
        <v>1.0299550799299164</v>
      </c>
      <c r="H669" s="8">
        <f t="shared" si="81"/>
        <v>0.95093133160880139</v>
      </c>
      <c r="I669" s="8">
        <f t="shared" si="82"/>
        <v>0.92327456812340569</v>
      </c>
      <c r="J669" s="22">
        <f t="shared" si="83"/>
        <v>-0.11516834716325425</v>
      </c>
      <c r="K669" s="8"/>
      <c r="L669" s="8">
        <v>1.2218097188742141</v>
      </c>
      <c r="M669" s="8">
        <v>0.85509391895295683</v>
      </c>
      <c r="N669" s="8">
        <v>0.84551226125952772</v>
      </c>
      <c r="O669" s="8">
        <v>0.86539532461006063</v>
      </c>
      <c r="P669" s="8">
        <f t="shared" si="84"/>
        <v>1.0384518189135854</v>
      </c>
      <c r="Q669" s="8">
        <f t="shared" si="85"/>
        <v>0.85545379293479418</v>
      </c>
      <c r="R669" s="8">
        <f t="shared" si="86"/>
        <v>0.82377802932615463</v>
      </c>
      <c r="S669" s="22">
        <f t="shared" si="87"/>
        <v>-0.27967244574466321</v>
      </c>
      <c r="T669" s="25"/>
      <c r="U669" s="1" t="s">
        <v>1900</v>
      </c>
    </row>
    <row r="670" spans="1:21">
      <c r="A670" s="6" t="s">
        <v>1901</v>
      </c>
      <c r="B670" s="6" t="s">
        <v>1902</v>
      </c>
      <c r="C670" s="7">
        <v>0.99600618171053945</v>
      </c>
      <c r="D670" s="7">
        <v>0.9364720912001494</v>
      </c>
      <c r="E670" s="7">
        <v>0.94403402087876931</v>
      </c>
      <c r="F670" s="8">
        <v>0.89634566375895175</v>
      </c>
      <c r="G670" s="8">
        <f t="shared" si="80"/>
        <v>0.96623913645534443</v>
      </c>
      <c r="H670" s="8">
        <f t="shared" si="81"/>
        <v>0.92018984231886058</v>
      </c>
      <c r="I670" s="8">
        <f t="shared" si="82"/>
        <v>0.95234172121674143</v>
      </c>
      <c r="J670" s="22">
        <f t="shared" si="83"/>
        <v>-7.0448757651801364E-2</v>
      </c>
      <c r="K670" s="8"/>
      <c r="L670" s="8">
        <v>0.97450294033390938</v>
      </c>
      <c r="M670" s="8">
        <v>0.87155228309426347</v>
      </c>
      <c r="N670" s="8">
        <v>0.75796210286692922</v>
      </c>
      <c r="O670" s="8">
        <v>0.72093691307947427</v>
      </c>
      <c r="P670" s="8">
        <f t="shared" si="84"/>
        <v>0.92302761171408643</v>
      </c>
      <c r="Q670" s="8">
        <f t="shared" si="85"/>
        <v>0.73944950797320175</v>
      </c>
      <c r="R670" s="8">
        <f t="shared" si="86"/>
        <v>0.80111309628107941</v>
      </c>
      <c r="S670" s="22">
        <f t="shared" si="87"/>
        <v>-0.31992216695237535</v>
      </c>
      <c r="T670" s="25"/>
      <c r="U670" s="1" t="s">
        <v>1903</v>
      </c>
    </row>
    <row r="671" spans="1:21">
      <c r="A671" s="6" t="s">
        <v>1904</v>
      </c>
      <c r="B671" s="6" t="s">
        <v>1905</v>
      </c>
      <c r="C671" s="7">
        <v>0.94041435043030319</v>
      </c>
      <c r="D671" s="7">
        <v>0.89755510959178608</v>
      </c>
      <c r="E671" s="7">
        <v>1.0230431156904867</v>
      </c>
      <c r="F671" s="8">
        <v>0.98091114692888115</v>
      </c>
      <c r="G671" s="8">
        <f t="shared" si="80"/>
        <v>0.91898473001104464</v>
      </c>
      <c r="H671" s="8">
        <f t="shared" si="81"/>
        <v>1.0019771313096839</v>
      </c>
      <c r="I671" s="8">
        <f t="shared" si="82"/>
        <v>1.0903087925058796</v>
      </c>
      <c r="J671" s="22">
        <f t="shared" si="83"/>
        <v>0.1247367866770526</v>
      </c>
      <c r="K671" s="8"/>
      <c r="L671" s="8">
        <v>0.66028832908713941</v>
      </c>
      <c r="M671" s="8">
        <v>0.76948702490042586</v>
      </c>
      <c r="N671" s="8">
        <v>0.72644574255408978</v>
      </c>
      <c r="O671" s="8">
        <v>0.82862573518357618</v>
      </c>
      <c r="P671" s="8">
        <f t="shared" si="84"/>
        <v>0.71488767699378264</v>
      </c>
      <c r="Q671" s="8">
        <f t="shared" si="85"/>
        <v>0.77753573886883298</v>
      </c>
      <c r="R671" s="8">
        <f t="shared" si="86"/>
        <v>1.0876334337423406</v>
      </c>
      <c r="S671" s="22">
        <f t="shared" si="87"/>
        <v>0.12119240545738187</v>
      </c>
      <c r="T671" s="25"/>
      <c r="U671" s="1" t="s">
        <v>1906</v>
      </c>
    </row>
    <row r="672" spans="1:21">
      <c r="A672" s="6" t="s">
        <v>1907</v>
      </c>
      <c r="B672" s="6" t="s">
        <v>1908</v>
      </c>
      <c r="C672" s="7">
        <v>1.0260595539580502</v>
      </c>
      <c r="D672" s="7">
        <v>0.94502251042266538</v>
      </c>
      <c r="E672" s="7">
        <v>1.0507812513906372</v>
      </c>
      <c r="F672" s="8">
        <v>0.99223980465568751</v>
      </c>
      <c r="G672" s="8">
        <f t="shared" si="80"/>
        <v>0.98554103219035771</v>
      </c>
      <c r="H672" s="8">
        <f t="shared" si="81"/>
        <v>1.0215105280231622</v>
      </c>
      <c r="I672" s="8">
        <f t="shared" si="82"/>
        <v>1.0364972077853143</v>
      </c>
      <c r="J672" s="22">
        <f t="shared" si="83"/>
        <v>5.1716229983549473E-2</v>
      </c>
      <c r="K672" s="8"/>
      <c r="L672" s="8">
        <v>1.070710766298749</v>
      </c>
      <c r="M672" s="8">
        <v>0.86324509929782189</v>
      </c>
      <c r="N672" s="8">
        <v>0.80716664925036641</v>
      </c>
      <c r="O672" s="8">
        <v>0.90333937266687514</v>
      </c>
      <c r="P672" s="8">
        <f t="shared" si="84"/>
        <v>0.96697793279828548</v>
      </c>
      <c r="Q672" s="8">
        <f t="shared" si="85"/>
        <v>0.85525301095862072</v>
      </c>
      <c r="R672" s="8">
        <f t="shared" si="86"/>
        <v>0.88445969856173445</v>
      </c>
      <c r="S672" s="22">
        <f t="shared" si="87"/>
        <v>-0.17713168855701691</v>
      </c>
      <c r="T672" s="25"/>
      <c r="U672" s="1" t="s">
        <v>1909</v>
      </c>
    </row>
    <row r="673" spans="1:21">
      <c r="A673" s="6" t="s">
        <v>1910</v>
      </c>
      <c r="B673" s="6" t="s">
        <v>1911</v>
      </c>
      <c r="C673" s="7">
        <v>0.91931545140154525</v>
      </c>
      <c r="D673" s="7">
        <v>0.94831693665251715</v>
      </c>
      <c r="E673" s="7">
        <v>0.90787224105846032</v>
      </c>
      <c r="F673" s="8">
        <v>0.94937425929171371</v>
      </c>
      <c r="G673" s="8">
        <f t="shared" si="80"/>
        <v>0.9338161940270312</v>
      </c>
      <c r="H673" s="8">
        <f t="shared" si="81"/>
        <v>0.92862325017508707</v>
      </c>
      <c r="I673" s="8">
        <f t="shared" si="82"/>
        <v>0.99443900857025214</v>
      </c>
      <c r="J673" s="22">
        <f t="shared" si="83"/>
        <v>-8.0452052074928993E-3</v>
      </c>
      <c r="K673" s="8"/>
      <c r="L673" s="8">
        <v>0.69867502911551604</v>
      </c>
      <c r="M673" s="8">
        <v>0.79569560476525536</v>
      </c>
      <c r="N673" s="8">
        <v>0.77501402325153423</v>
      </c>
      <c r="O673" s="8">
        <v>0.82799333438262934</v>
      </c>
      <c r="P673" s="8">
        <f t="shared" si="84"/>
        <v>0.7471853169403857</v>
      </c>
      <c r="Q673" s="8">
        <f t="shared" si="85"/>
        <v>0.80150367881708173</v>
      </c>
      <c r="R673" s="8">
        <f t="shared" si="86"/>
        <v>1.0726973090144782</v>
      </c>
      <c r="S673" s="22">
        <f t="shared" si="87"/>
        <v>0.10124303752026488</v>
      </c>
      <c r="T673" s="25"/>
      <c r="U673" s="1" t="s">
        <v>1912</v>
      </c>
    </row>
    <row r="674" spans="1:21">
      <c r="A674" s="6" t="s">
        <v>1913</v>
      </c>
      <c r="B674" s="6" t="s">
        <v>1914</v>
      </c>
      <c r="C674" s="7">
        <v>0.92664355115349772</v>
      </c>
      <c r="D674" s="7">
        <v>0.98232371428089149</v>
      </c>
      <c r="E674" s="7">
        <v>1.0242018549898593</v>
      </c>
      <c r="F674" s="8">
        <v>0.92820996924949506</v>
      </c>
      <c r="G674" s="8">
        <f t="shared" si="80"/>
        <v>0.95448363271719461</v>
      </c>
      <c r="H674" s="8">
        <f t="shared" si="81"/>
        <v>0.97620591211967711</v>
      </c>
      <c r="I674" s="8">
        <f t="shared" si="82"/>
        <v>1.0227581476076695</v>
      </c>
      <c r="J674" s="22">
        <f t="shared" si="83"/>
        <v>3.2465030226555398E-2</v>
      </c>
      <c r="K674" s="8"/>
      <c r="L674" s="8">
        <v>0.94397902330651418</v>
      </c>
      <c r="M674" s="8">
        <v>0.86667717523250198</v>
      </c>
      <c r="N674" s="8">
        <v>0.84776040001670205</v>
      </c>
      <c r="O674" s="8">
        <v>0.8704997025034179</v>
      </c>
      <c r="P674" s="8">
        <f t="shared" si="84"/>
        <v>0.90532809926950808</v>
      </c>
      <c r="Q674" s="8">
        <f t="shared" si="85"/>
        <v>0.85913005126005992</v>
      </c>
      <c r="R674" s="8">
        <f t="shared" si="86"/>
        <v>0.94897093324870341</v>
      </c>
      <c r="S674" s="22">
        <f t="shared" si="87"/>
        <v>-7.5564196366125144E-2</v>
      </c>
      <c r="T674" s="25"/>
      <c r="U674" s="1" t="s">
        <v>1915</v>
      </c>
    </row>
    <row r="675" spans="1:21">
      <c r="A675" s="6" t="s">
        <v>1916</v>
      </c>
      <c r="B675" s="6" t="s">
        <v>80</v>
      </c>
      <c r="C675" s="7">
        <v>0.89010352334149101</v>
      </c>
      <c r="D675" s="7">
        <v>0.94833579787139033</v>
      </c>
      <c r="E675" s="7">
        <v>0.96857585884862796</v>
      </c>
      <c r="F675" s="8">
        <v>0.98829114534397411</v>
      </c>
      <c r="G675" s="8">
        <f t="shared" si="80"/>
        <v>0.91921966060644067</v>
      </c>
      <c r="H675" s="8">
        <f t="shared" si="81"/>
        <v>0.97843350209630109</v>
      </c>
      <c r="I675" s="8">
        <f t="shared" si="82"/>
        <v>1.0644175097938995</v>
      </c>
      <c r="J675" s="22">
        <f t="shared" si="83"/>
        <v>9.0064148171989961E-2</v>
      </c>
      <c r="K675" s="8"/>
      <c r="L675" s="8">
        <v>1.2238866804216433</v>
      </c>
      <c r="M675" s="8">
        <v>0.87478935471447306</v>
      </c>
      <c r="N675" s="8">
        <v>1.1694139131422225</v>
      </c>
      <c r="O675" s="8">
        <v>1.110586149434333</v>
      </c>
      <c r="P675" s="8">
        <f t="shared" si="84"/>
        <v>1.0493380175680582</v>
      </c>
      <c r="Q675" s="8">
        <f t="shared" si="85"/>
        <v>1.1400000312882779</v>
      </c>
      <c r="R675" s="8">
        <f t="shared" si="86"/>
        <v>1.0863992461936502</v>
      </c>
      <c r="S675" s="22">
        <f t="shared" si="87"/>
        <v>0.11955438367074277</v>
      </c>
      <c r="T675" s="25"/>
      <c r="U675" s="1">
        <v>0</v>
      </c>
    </row>
    <row r="676" spans="1:21">
      <c r="A676" s="6" t="s">
        <v>1917</v>
      </c>
      <c r="B676" s="6" t="s">
        <v>80</v>
      </c>
      <c r="C676" s="7">
        <v>0.96287588668800173</v>
      </c>
      <c r="D676" s="7">
        <v>0.99361529731297871</v>
      </c>
      <c r="E676" s="7">
        <v>0.96303604343421156</v>
      </c>
      <c r="F676" s="8">
        <v>0.97019148640935393</v>
      </c>
      <c r="G676" s="8">
        <f t="shared" si="80"/>
        <v>0.97824559200049022</v>
      </c>
      <c r="H676" s="8">
        <f t="shared" si="81"/>
        <v>0.96661376492178275</v>
      </c>
      <c r="I676" s="8">
        <f t="shared" si="82"/>
        <v>0.98810950218040783</v>
      </c>
      <c r="J676" s="22">
        <f t="shared" si="83"/>
        <v>-1.7257164920778102E-2</v>
      </c>
      <c r="K676" s="8"/>
      <c r="L676" s="8">
        <v>1.3796217078797626</v>
      </c>
      <c r="M676" s="8">
        <v>0.92221440399368837</v>
      </c>
      <c r="N676" s="8">
        <v>1.5410779091867708</v>
      </c>
      <c r="O676" s="8">
        <v>1.6500692041278269</v>
      </c>
      <c r="P676" s="8">
        <f t="shared" si="84"/>
        <v>1.1509180559367254</v>
      </c>
      <c r="Q676" s="8">
        <f t="shared" si="85"/>
        <v>1.5955735566572988</v>
      </c>
      <c r="R676" s="8">
        <f t="shared" si="86"/>
        <v>1.3863485314414248</v>
      </c>
      <c r="S676" s="22">
        <f t="shared" si="87"/>
        <v>0.47129000016716838</v>
      </c>
      <c r="T676" s="25"/>
      <c r="U676" s="1">
        <v>0</v>
      </c>
    </row>
    <row r="677" spans="1:21">
      <c r="A677" s="6" t="s">
        <v>1918</v>
      </c>
      <c r="B677" s="6" t="s">
        <v>1919</v>
      </c>
      <c r="C677" s="7">
        <v>0.99138451811376394</v>
      </c>
      <c r="D677" s="7">
        <v>1.0046553974267567</v>
      </c>
      <c r="E677" s="7">
        <v>1.0398057769033211</v>
      </c>
      <c r="F677" s="8">
        <v>1.0020688886140323</v>
      </c>
      <c r="G677" s="8">
        <f t="shared" si="80"/>
        <v>0.99801995777026031</v>
      </c>
      <c r="H677" s="8">
        <f t="shared" si="81"/>
        <v>1.0209373327586766</v>
      </c>
      <c r="I677" s="8">
        <f t="shared" si="82"/>
        <v>1.0229628423860555</v>
      </c>
      <c r="J677" s="22">
        <f t="shared" si="83"/>
        <v>3.2753742269012225E-2</v>
      </c>
      <c r="K677" s="8"/>
      <c r="L677" s="8">
        <v>1.0502749482160094</v>
      </c>
      <c r="M677" s="8">
        <v>0.85606894052530913</v>
      </c>
      <c r="N677" s="8">
        <v>0.8322779349908791</v>
      </c>
      <c r="O677" s="8">
        <v>0.87519753702473779</v>
      </c>
      <c r="P677" s="8">
        <f t="shared" si="84"/>
        <v>0.95317194437065922</v>
      </c>
      <c r="Q677" s="8">
        <f t="shared" si="85"/>
        <v>0.85373773600780845</v>
      </c>
      <c r="R677" s="8">
        <f t="shared" si="86"/>
        <v>0.89568072271734445</v>
      </c>
      <c r="S677" s="22">
        <f t="shared" si="87"/>
        <v>-0.15894353876476752</v>
      </c>
      <c r="T677" s="25"/>
      <c r="U677" s="1" t="s">
        <v>1920</v>
      </c>
    </row>
    <row r="678" spans="1:21">
      <c r="A678" s="6" t="s">
        <v>1921</v>
      </c>
      <c r="B678" s="6" t="s">
        <v>1922</v>
      </c>
      <c r="C678" s="7">
        <v>1.0452934610190874</v>
      </c>
      <c r="D678" s="7">
        <v>1.0020776975140866</v>
      </c>
      <c r="E678" s="7">
        <v>1.0275218383757021</v>
      </c>
      <c r="F678" s="8">
        <v>1.0167044666599354</v>
      </c>
      <c r="G678" s="8">
        <f t="shared" si="80"/>
        <v>1.0236855792665871</v>
      </c>
      <c r="H678" s="8">
        <f t="shared" si="81"/>
        <v>1.0221131525178189</v>
      </c>
      <c r="I678" s="8">
        <f t="shared" si="82"/>
        <v>0.99846395535834864</v>
      </c>
      <c r="J678" s="22">
        <f t="shared" si="83"/>
        <v>-2.2177477032200208E-3</v>
      </c>
      <c r="K678" s="8"/>
      <c r="L678" s="8">
        <v>1.1582027714841987</v>
      </c>
      <c r="M678" s="8">
        <v>0.7617648540473958</v>
      </c>
      <c r="N678" s="8">
        <v>0.76831202469241089</v>
      </c>
      <c r="O678" s="8">
        <v>0.77514269601778063</v>
      </c>
      <c r="P678" s="8">
        <f t="shared" si="84"/>
        <v>0.95998381276579725</v>
      </c>
      <c r="Q678" s="8">
        <f t="shared" si="85"/>
        <v>0.77172736035509581</v>
      </c>
      <c r="R678" s="8">
        <f t="shared" si="86"/>
        <v>0.80389622209533085</v>
      </c>
      <c r="S678" s="22">
        <f t="shared" si="87"/>
        <v>-0.31491882424428658</v>
      </c>
      <c r="T678" s="25"/>
      <c r="U678" s="1" t="s">
        <v>1923</v>
      </c>
    </row>
    <row r="679" spans="1:21">
      <c r="A679" s="6" t="s">
        <v>1924</v>
      </c>
      <c r="B679" s="6" t="s">
        <v>1925</v>
      </c>
      <c r="C679" s="7">
        <v>0.99019142560916151</v>
      </c>
      <c r="D679" s="7">
        <v>0.93888632721591858</v>
      </c>
      <c r="E679" s="7">
        <v>0.98126991297096866</v>
      </c>
      <c r="F679" s="8">
        <v>0.97463782085819872</v>
      </c>
      <c r="G679" s="8">
        <f t="shared" si="80"/>
        <v>0.96453887641253999</v>
      </c>
      <c r="H679" s="8">
        <f t="shared" si="81"/>
        <v>0.97795386691458375</v>
      </c>
      <c r="I679" s="8">
        <f t="shared" si="82"/>
        <v>1.0139081905666041</v>
      </c>
      <c r="J679" s="22">
        <f t="shared" si="83"/>
        <v>1.9927022152989759E-2</v>
      </c>
      <c r="K679" s="8"/>
      <c r="L679" s="8">
        <v>1.0396676088844965</v>
      </c>
      <c r="M679" s="8">
        <v>1.0676876225886498</v>
      </c>
      <c r="N679" s="8">
        <v>0.73997699280953499</v>
      </c>
      <c r="O679" s="8">
        <v>0.77816918556516934</v>
      </c>
      <c r="P679" s="8">
        <f t="shared" si="84"/>
        <v>1.0536776157365733</v>
      </c>
      <c r="Q679" s="8">
        <f t="shared" si="85"/>
        <v>0.75907308918735217</v>
      </c>
      <c r="R679" s="8">
        <f t="shared" si="86"/>
        <v>0.7204035445478475</v>
      </c>
      <c r="S679" s="22">
        <f t="shared" si="87"/>
        <v>-0.47312281524086708</v>
      </c>
      <c r="T679" s="25"/>
      <c r="U679" s="1" t="s">
        <v>1926</v>
      </c>
    </row>
    <row r="680" spans="1:21">
      <c r="A680" s="6" t="s">
        <v>1927</v>
      </c>
      <c r="B680" s="6" t="s">
        <v>1928</v>
      </c>
      <c r="C680" s="7">
        <v>1.0950579773294764</v>
      </c>
      <c r="D680" s="7">
        <v>1.033682813272607</v>
      </c>
      <c r="E680" s="7">
        <v>1.0147431572258792</v>
      </c>
      <c r="F680" s="8">
        <v>0.97206431653066405</v>
      </c>
      <c r="G680" s="8">
        <f t="shared" si="80"/>
        <v>1.0643703953010417</v>
      </c>
      <c r="H680" s="8">
        <f t="shared" si="81"/>
        <v>0.99340373687827155</v>
      </c>
      <c r="I680" s="8">
        <f t="shared" si="82"/>
        <v>0.9333252233094117</v>
      </c>
      <c r="J680" s="22">
        <f t="shared" si="83"/>
        <v>-9.9548209631765069E-2</v>
      </c>
      <c r="K680" s="8"/>
      <c r="L680" s="8">
        <v>1.1666960606692212</v>
      </c>
      <c r="M680" s="8">
        <v>1.0140224352463798</v>
      </c>
      <c r="N680" s="8">
        <v>0.72088902222975337</v>
      </c>
      <c r="O680" s="8">
        <v>0.79375334815993248</v>
      </c>
      <c r="P680" s="8">
        <f t="shared" si="84"/>
        <v>1.0903592479578004</v>
      </c>
      <c r="Q680" s="8">
        <f t="shared" si="85"/>
        <v>0.75732118519484293</v>
      </c>
      <c r="R680" s="8">
        <f t="shared" si="86"/>
        <v>0.6945611610240161</v>
      </c>
      <c r="S680" s="22">
        <f t="shared" si="87"/>
        <v>-0.52582635558206725</v>
      </c>
      <c r="T680" s="25"/>
      <c r="U680" s="1" t="s">
        <v>1929</v>
      </c>
    </row>
    <row r="681" spans="1:21">
      <c r="A681" s="6" t="s">
        <v>1930</v>
      </c>
      <c r="B681" s="6" t="s">
        <v>1931</v>
      </c>
      <c r="C681" s="7">
        <v>1.0508005248429626</v>
      </c>
      <c r="D681" s="7">
        <v>0.99052205741777444</v>
      </c>
      <c r="E681" s="7">
        <v>0.99201754546121701</v>
      </c>
      <c r="F681" s="8">
        <v>0.95327708010395451</v>
      </c>
      <c r="G681" s="8">
        <f t="shared" si="80"/>
        <v>1.0206612911303685</v>
      </c>
      <c r="H681" s="8">
        <f t="shared" si="81"/>
        <v>0.97264731278258576</v>
      </c>
      <c r="I681" s="8">
        <f t="shared" si="82"/>
        <v>0.95295797071464527</v>
      </c>
      <c r="J681" s="22">
        <f t="shared" si="83"/>
        <v>-6.9515508012026925E-2</v>
      </c>
      <c r="K681" s="8"/>
      <c r="L681" s="8">
        <v>1.2046376975088631</v>
      </c>
      <c r="M681" s="8">
        <v>0.8133239947933848</v>
      </c>
      <c r="N681" s="8">
        <v>0.77272346678196036</v>
      </c>
      <c r="O681" s="8">
        <v>0.80161318668598691</v>
      </c>
      <c r="P681" s="8">
        <f t="shared" si="84"/>
        <v>1.008980846151124</v>
      </c>
      <c r="Q681" s="8">
        <f t="shared" si="85"/>
        <v>0.78716832673397363</v>
      </c>
      <c r="R681" s="8">
        <f t="shared" si="86"/>
        <v>0.78016181351382408</v>
      </c>
      <c r="S681" s="22">
        <f t="shared" si="87"/>
        <v>-0.35815471021687695</v>
      </c>
      <c r="T681" s="25"/>
      <c r="U681" s="1" t="s">
        <v>1932</v>
      </c>
    </row>
    <row r="682" spans="1:21">
      <c r="A682" s="6" t="s">
        <v>1933</v>
      </c>
      <c r="B682" s="6" t="s">
        <v>1934</v>
      </c>
      <c r="C682" s="7">
        <v>0.98083506859938496</v>
      </c>
      <c r="D682" s="7">
        <v>1.0334816269379596</v>
      </c>
      <c r="E682" s="7">
        <v>0.99686081534174087</v>
      </c>
      <c r="F682" s="8">
        <v>0.99316967135927514</v>
      </c>
      <c r="G682" s="8">
        <f t="shared" si="80"/>
        <v>1.0071583477686723</v>
      </c>
      <c r="H682" s="8">
        <f t="shared" si="81"/>
        <v>0.99501524335050795</v>
      </c>
      <c r="I682" s="8">
        <f t="shared" si="82"/>
        <v>0.98794320233251598</v>
      </c>
      <c r="J682" s="22">
        <f t="shared" si="83"/>
        <v>-1.7499992418114223E-2</v>
      </c>
      <c r="K682" s="8"/>
      <c r="L682" s="8">
        <v>1.2024494701642503</v>
      </c>
      <c r="M682" s="8">
        <v>1.1637467478967971</v>
      </c>
      <c r="N682" s="8">
        <v>0.69340234459486783</v>
      </c>
      <c r="O682" s="8">
        <v>0.67748194375726534</v>
      </c>
      <c r="P682" s="8">
        <f t="shared" si="84"/>
        <v>1.1830981090305237</v>
      </c>
      <c r="Q682" s="8">
        <f t="shared" si="85"/>
        <v>0.68544214417606653</v>
      </c>
      <c r="R682" s="8">
        <f t="shared" si="86"/>
        <v>0.57936204862819385</v>
      </c>
      <c r="S682" s="22">
        <f t="shared" si="87"/>
        <v>-0.78746291157201476</v>
      </c>
      <c r="T682" s="25"/>
      <c r="U682" s="1" t="s">
        <v>1935</v>
      </c>
    </row>
    <row r="683" spans="1:21">
      <c r="A683" s="6" t="s">
        <v>1936</v>
      </c>
      <c r="B683" s="6" t="s">
        <v>1937</v>
      </c>
      <c r="C683" s="7">
        <v>1.1628319110251264</v>
      </c>
      <c r="D683" s="7">
        <v>1.185804830557899</v>
      </c>
      <c r="E683" s="7">
        <v>1.1866336695850617</v>
      </c>
      <c r="F683" s="8">
        <v>1.1964699648774435</v>
      </c>
      <c r="G683" s="8">
        <f t="shared" si="80"/>
        <v>1.1743183707915126</v>
      </c>
      <c r="H683" s="8">
        <f t="shared" si="81"/>
        <v>1.1915518172312525</v>
      </c>
      <c r="I683" s="8">
        <f t="shared" si="82"/>
        <v>1.0146752762013969</v>
      </c>
      <c r="J683" s="22">
        <f t="shared" si="83"/>
        <v>2.1018099461002176E-2</v>
      </c>
      <c r="K683" s="8"/>
      <c r="L683" s="8">
        <v>1.1257131587065583</v>
      </c>
      <c r="M683" s="8">
        <v>1.2269671466481196</v>
      </c>
      <c r="N683" s="8">
        <v>0.65089979677055398</v>
      </c>
      <c r="O683" s="8">
        <v>1.4072724680499964</v>
      </c>
      <c r="P683" s="8">
        <f t="shared" si="84"/>
        <v>1.1763401526773389</v>
      </c>
      <c r="Q683" s="8">
        <f t="shared" si="85"/>
        <v>1.0290861324102751</v>
      </c>
      <c r="R683" s="8">
        <f t="shared" si="86"/>
        <v>0.87482020406094696</v>
      </c>
      <c r="S683" s="22">
        <f t="shared" si="87"/>
        <v>-0.19294155492895107</v>
      </c>
      <c r="T683" s="25"/>
      <c r="U683" s="1" t="s">
        <v>1938</v>
      </c>
    </row>
    <row r="684" spans="1:21">
      <c r="A684" s="6" t="s">
        <v>1939</v>
      </c>
      <c r="B684" s="6" t="s">
        <v>1940</v>
      </c>
      <c r="C684" s="7">
        <v>0.9707816943895512</v>
      </c>
      <c r="D684" s="7">
        <v>0.95361693915588552</v>
      </c>
      <c r="E684" s="7">
        <v>1.0448899083236021</v>
      </c>
      <c r="F684" s="8">
        <v>0.98199162584502164</v>
      </c>
      <c r="G684" s="8">
        <f t="shared" si="80"/>
        <v>0.9621993167727183</v>
      </c>
      <c r="H684" s="8">
        <f t="shared" si="81"/>
        <v>1.0134407670843117</v>
      </c>
      <c r="I684" s="8">
        <f t="shared" si="82"/>
        <v>1.0532545070635269</v>
      </c>
      <c r="J684" s="22">
        <f t="shared" si="83"/>
        <v>7.485408946227208E-2</v>
      </c>
      <c r="K684" s="8"/>
      <c r="L684" s="8">
        <v>0.63002403225317294</v>
      </c>
      <c r="M684" s="8">
        <v>0.87166928568294566</v>
      </c>
      <c r="N684" s="8">
        <v>0.7437097515006923</v>
      </c>
      <c r="O684" s="8">
        <v>0.77550406790403603</v>
      </c>
      <c r="P684" s="8">
        <f t="shared" si="84"/>
        <v>0.75084665896805936</v>
      </c>
      <c r="Q684" s="8">
        <f t="shared" si="85"/>
        <v>0.75960690970236411</v>
      </c>
      <c r="R684" s="8">
        <f t="shared" si="86"/>
        <v>1.0116671635009264</v>
      </c>
      <c r="S684" s="22">
        <f t="shared" si="87"/>
        <v>1.6734724273949526E-2</v>
      </c>
      <c r="T684" s="25"/>
      <c r="U684" s="1" t="s">
        <v>1941</v>
      </c>
    </row>
    <row r="685" spans="1:21">
      <c r="A685" s="6" t="s">
        <v>1942</v>
      </c>
      <c r="B685" s="6" t="s">
        <v>1943</v>
      </c>
      <c r="C685" s="7">
        <v>0.83254622914577814</v>
      </c>
      <c r="D685" s="7">
        <v>0.88164252793576559</v>
      </c>
      <c r="E685" s="7">
        <v>1.065428236916415</v>
      </c>
      <c r="F685" s="8">
        <v>0.91351545598998429</v>
      </c>
      <c r="G685" s="8">
        <f t="shared" si="80"/>
        <v>0.85709437854077186</v>
      </c>
      <c r="H685" s="8">
        <f t="shared" si="81"/>
        <v>0.98947184645319963</v>
      </c>
      <c r="I685" s="8">
        <f t="shared" si="82"/>
        <v>1.1544491146211975</v>
      </c>
      <c r="J685" s="22">
        <f t="shared" si="83"/>
        <v>0.20720458393788901</v>
      </c>
      <c r="K685" s="8"/>
      <c r="L685" s="8">
        <v>0.7853139965225574</v>
      </c>
      <c r="M685" s="8">
        <v>1.1027493983304379</v>
      </c>
      <c r="N685" s="8">
        <v>0.77497160553913469</v>
      </c>
      <c r="O685" s="8">
        <v>0.84253855280440815</v>
      </c>
      <c r="P685" s="8">
        <f t="shared" si="84"/>
        <v>0.94403169742649773</v>
      </c>
      <c r="Q685" s="8">
        <f t="shared" si="85"/>
        <v>0.80875507917177147</v>
      </c>
      <c r="R685" s="8">
        <f t="shared" si="86"/>
        <v>0.85670330919660787</v>
      </c>
      <c r="S685" s="22">
        <f t="shared" si="87"/>
        <v>-0.22313243367669763</v>
      </c>
      <c r="T685" s="25"/>
      <c r="U685" s="1" t="s">
        <v>1944</v>
      </c>
    </row>
    <row r="686" spans="1:21">
      <c r="A686" s="6" t="s">
        <v>1945</v>
      </c>
      <c r="B686" s="6" t="s">
        <v>1946</v>
      </c>
      <c r="C686" s="7">
        <v>1.0621537419393896</v>
      </c>
      <c r="D686" s="7">
        <v>0.8642650582805933</v>
      </c>
      <c r="E686" s="7">
        <v>0.93763491564684065</v>
      </c>
      <c r="F686" s="8">
        <v>0.93614657801532708</v>
      </c>
      <c r="G686" s="8">
        <f t="shared" si="80"/>
        <v>0.96320940010999145</v>
      </c>
      <c r="H686" s="8">
        <f t="shared" si="81"/>
        <v>0.93689074683108386</v>
      </c>
      <c r="I686" s="8">
        <f t="shared" si="82"/>
        <v>0.97267608343948664</v>
      </c>
      <c r="J686" s="22">
        <f t="shared" si="83"/>
        <v>-3.9968650228526921E-2</v>
      </c>
      <c r="K686" s="8"/>
      <c r="L686" s="8">
        <v>1.1131401236248</v>
      </c>
      <c r="M686" s="8">
        <v>0.74858256238919285</v>
      </c>
      <c r="N686" s="8">
        <v>0.76207662096968221</v>
      </c>
      <c r="O686" s="8">
        <v>0.87713991091336041</v>
      </c>
      <c r="P686" s="8">
        <f t="shared" si="84"/>
        <v>0.93086134300699641</v>
      </c>
      <c r="Q686" s="8">
        <f t="shared" si="85"/>
        <v>0.81960826594152136</v>
      </c>
      <c r="R686" s="8">
        <f t="shared" si="86"/>
        <v>0.88048372842931677</v>
      </c>
      <c r="S686" s="22">
        <f t="shared" si="87"/>
        <v>-0.18363175196800774</v>
      </c>
      <c r="T686" s="25"/>
      <c r="U686" s="1" t="s">
        <v>1947</v>
      </c>
    </row>
    <row r="687" spans="1:21">
      <c r="A687" s="6" t="s">
        <v>1948</v>
      </c>
      <c r="B687" s="6" t="s">
        <v>1949</v>
      </c>
      <c r="C687" s="7">
        <v>1.5639998465463258</v>
      </c>
      <c r="D687" s="7">
        <v>1.0070633463695682</v>
      </c>
      <c r="E687" s="7">
        <v>1.0088518141588443</v>
      </c>
      <c r="F687" s="8">
        <v>0.94543869669413527</v>
      </c>
      <c r="G687" s="8">
        <f t="shared" si="80"/>
        <v>1.285531596457947</v>
      </c>
      <c r="H687" s="8">
        <f t="shared" si="81"/>
        <v>0.97714525542648978</v>
      </c>
      <c r="I687" s="8">
        <f t="shared" si="82"/>
        <v>0.76010987059270985</v>
      </c>
      <c r="J687" s="22">
        <f t="shared" si="83"/>
        <v>-0.39572012593279698</v>
      </c>
      <c r="K687" s="8"/>
      <c r="L687" s="8">
        <v>1.1263807534896604</v>
      </c>
      <c r="M687" s="8">
        <v>0.87342432451317986</v>
      </c>
      <c r="N687" s="8">
        <v>0.84309445165275543</v>
      </c>
      <c r="O687" s="8">
        <v>0.78819725540875607</v>
      </c>
      <c r="P687" s="8">
        <f t="shared" si="84"/>
        <v>0.99990253900142012</v>
      </c>
      <c r="Q687" s="8">
        <f t="shared" si="85"/>
        <v>0.8156458535307558</v>
      </c>
      <c r="R687" s="8">
        <f t="shared" si="86"/>
        <v>0.81572535493841503</v>
      </c>
      <c r="S687" s="22">
        <f t="shared" si="87"/>
        <v>-0.29384459926373457</v>
      </c>
      <c r="T687" s="25"/>
      <c r="U687" s="1" t="s">
        <v>1950</v>
      </c>
    </row>
    <row r="688" spans="1:21">
      <c r="A688" s="6" t="s">
        <v>1951</v>
      </c>
      <c r="B688" s="6" t="s">
        <v>1952</v>
      </c>
      <c r="C688" s="7">
        <v>0.9059465359157638</v>
      </c>
      <c r="D688" s="7">
        <v>1.0021468553166215</v>
      </c>
      <c r="E688" s="7">
        <v>0.98970657663381656</v>
      </c>
      <c r="F688" s="8">
        <v>0.93712883157545479</v>
      </c>
      <c r="G688" s="8">
        <f t="shared" si="80"/>
        <v>0.9540466956161926</v>
      </c>
      <c r="H688" s="8">
        <f t="shared" si="81"/>
        <v>0.96341770410463567</v>
      </c>
      <c r="I688" s="8">
        <f t="shared" si="82"/>
        <v>1.0098223792729459</v>
      </c>
      <c r="J688" s="22">
        <f t="shared" si="83"/>
        <v>1.4101555276794847E-2</v>
      </c>
      <c r="K688" s="8"/>
      <c r="L688" s="8">
        <v>0.81012626929452258</v>
      </c>
      <c r="M688" s="8">
        <v>0.84253564110105927</v>
      </c>
      <c r="N688" s="8">
        <v>0.63083621880558349</v>
      </c>
      <c r="O688" s="8">
        <v>0.79655398027841162</v>
      </c>
      <c r="P688" s="8">
        <f t="shared" si="84"/>
        <v>0.82633095519779087</v>
      </c>
      <c r="Q688" s="8">
        <f t="shared" si="85"/>
        <v>0.7136950995419975</v>
      </c>
      <c r="R688" s="8">
        <f t="shared" si="86"/>
        <v>0.86369159360751191</v>
      </c>
      <c r="S688" s="22">
        <f t="shared" si="87"/>
        <v>-0.21141184708467456</v>
      </c>
      <c r="T688" s="25"/>
      <c r="U688" s="1" t="s">
        <v>1953</v>
      </c>
    </row>
    <row r="689" spans="1:21">
      <c r="A689" s="6" t="s">
        <v>1954</v>
      </c>
      <c r="B689" s="6" t="s">
        <v>1955</v>
      </c>
      <c r="C689" s="7">
        <v>0.9625619149762642</v>
      </c>
      <c r="D689" s="7">
        <v>0.91332308856977884</v>
      </c>
      <c r="E689" s="7">
        <v>0.86655472233307762</v>
      </c>
      <c r="F689" s="8">
        <v>1.0155716008872546</v>
      </c>
      <c r="G689" s="8">
        <f t="shared" si="80"/>
        <v>0.93794250177302152</v>
      </c>
      <c r="H689" s="8">
        <f t="shared" si="81"/>
        <v>0.94106316161016612</v>
      </c>
      <c r="I689" s="8">
        <f t="shared" si="82"/>
        <v>1.0033271334130243</v>
      </c>
      <c r="J689" s="22">
        <f t="shared" si="83"/>
        <v>4.7920713582533794E-3</v>
      </c>
      <c r="K689" s="8"/>
      <c r="L689" s="8">
        <v>0.92550890097401994</v>
      </c>
      <c r="M689" s="8">
        <v>0.69230431723301877</v>
      </c>
      <c r="N689" s="8">
        <v>0.75711374861893899</v>
      </c>
      <c r="O689" s="8">
        <v>0.67368753895158395</v>
      </c>
      <c r="P689" s="8">
        <f t="shared" si="84"/>
        <v>0.8089066091035193</v>
      </c>
      <c r="Q689" s="8">
        <f t="shared" si="85"/>
        <v>0.71540064378526147</v>
      </c>
      <c r="R689" s="8">
        <f t="shared" si="86"/>
        <v>0.88440449828703094</v>
      </c>
      <c r="S689" s="22">
        <f t="shared" si="87"/>
        <v>-0.17722173183194803</v>
      </c>
      <c r="T689" s="25"/>
      <c r="U689" s="1" t="s">
        <v>1956</v>
      </c>
    </row>
    <row r="690" spans="1:21">
      <c r="A690" s="6" t="s">
        <v>1957</v>
      </c>
      <c r="B690" s="13" t="s">
        <v>1958</v>
      </c>
      <c r="C690" s="14">
        <v>0.86661215986929363</v>
      </c>
      <c r="D690" s="14">
        <v>0.8112398849550787</v>
      </c>
      <c r="E690" s="14">
        <v>0.9477576100879892</v>
      </c>
      <c r="F690" s="8">
        <v>0.940265494610796</v>
      </c>
      <c r="G690" s="8">
        <f t="shared" si="80"/>
        <v>0.83892602241218617</v>
      </c>
      <c r="H690" s="8">
        <f t="shared" si="81"/>
        <v>0.9440115523493926</v>
      </c>
      <c r="I690" s="8">
        <f t="shared" si="82"/>
        <v>1.1252619743932262</v>
      </c>
      <c r="J690" s="22">
        <f t="shared" si="83"/>
        <v>0.17026091713920072</v>
      </c>
      <c r="K690" s="8"/>
      <c r="L690" s="8">
        <v>1.0615127937315632</v>
      </c>
      <c r="M690" s="8">
        <v>1.1093795450224335</v>
      </c>
      <c r="N690" s="8">
        <v>0.76784542985601623</v>
      </c>
      <c r="O690" s="8">
        <v>0.75711927319079375</v>
      </c>
      <c r="P690" s="8">
        <f t="shared" si="84"/>
        <v>1.0854461693769983</v>
      </c>
      <c r="Q690" s="8">
        <f t="shared" si="85"/>
        <v>0.76248235152340493</v>
      </c>
      <c r="R690" s="8">
        <f t="shared" si="86"/>
        <v>0.70245984834147845</v>
      </c>
      <c r="S690" s="22">
        <f t="shared" si="87"/>
        <v>-0.50951232970198956</v>
      </c>
      <c r="T690" s="25"/>
      <c r="U690" s="1" t="s">
        <v>1959</v>
      </c>
    </row>
    <row r="691" spans="1:21">
      <c r="A691" s="6" t="s">
        <v>1960</v>
      </c>
      <c r="B691" s="6" t="s">
        <v>1961</v>
      </c>
      <c r="C691" s="7">
        <v>0.97704229032159629</v>
      </c>
      <c r="D691" s="7">
        <v>0.91783091988047294</v>
      </c>
      <c r="E691" s="7">
        <v>0.93005754180150502</v>
      </c>
      <c r="F691" s="8">
        <v>0.90571636272257017</v>
      </c>
      <c r="G691" s="8">
        <f t="shared" si="80"/>
        <v>0.94743660510103456</v>
      </c>
      <c r="H691" s="8">
        <f t="shared" si="81"/>
        <v>0.91788695226203765</v>
      </c>
      <c r="I691" s="8">
        <f t="shared" si="82"/>
        <v>0.96881094452135319</v>
      </c>
      <c r="J691" s="22">
        <f t="shared" si="83"/>
        <v>-4.5712931839540213E-2</v>
      </c>
      <c r="K691" s="8"/>
      <c r="L691" s="8">
        <v>0.73691337474764773</v>
      </c>
      <c r="M691" s="8">
        <v>1.2041126409921818</v>
      </c>
      <c r="N691" s="8">
        <v>0.73671082895477236</v>
      </c>
      <c r="O691" s="8">
        <v>0.89240787310765002</v>
      </c>
      <c r="P691" s="8">
        <f t="shared" si="84"/>
        <v>0.97051300786991479</v>
      </c>
      <c r="Q691" s="8">
        <f t="shared" si="85"/>
        <v>0.81455935103121124</v>
      </c>
      <c r="R691" s="8">
        <f t="shared" si="86"/>
        <v>0.8393080200120232</v>
      </c>
      <c r="S691" s="22">
        <f t="shared" si="87"/>
        <v>-0.25272772833200879</v>
      </c>
      <c r="T691" s="25"/>
      <c r="U691" s="1" t="s">
        <v>1962</v>
      </c>
    </row>
    <row r="692" spans="1:21">
      <c r="A692" s="6" t="s">
        <v>1963</v>
      </c>
      <c r="B692" s="6" t="s">
        <v>1964</v>
      </c>
      <c r="C692" s="7">
        <v>0.91157290899009924</v>
      </c>
      <c r="D692" s="7">
        <v>1.0073211163608353</v>
      </c>
      <c r="E692" s="7">
        <v>0.99446521948685807</v>
      </c>
      <c r="F692" s="8">
        <v>0.99095632667045397</v>
      </c>
      <c r="G692" s="8">
        <f t="shared" si="80"/>
        <v>0.95944701267546728</v>
      </c>
      <c r="H692" s="8">
        <f t="shared" si="81"/>
        <v>0.99271077307865596</v>
      </c>
      <c r="I692" s="8">
        <f t="shared" si="82"/>
        <v>1.0346697211661862</v>
      </c>
      <c r="J692" s="22">
        <f t="shared" si="83"/>
        <v>4.917031586136307E-2</v>
      </c>
      <c r="K692" s="8"/>
      <c r="L692" s="8">
        <v>1.0389258369032719</v>
      </c>
      <c r="M692" s="8">
        <v>0.74542349249477147</v>
      </c>
      <c r="N692" s="8">
        <v>0.80110091637723579</v>
      </c>
      <c r="O692" s="8">
        <v>0.87831436954369035</v>
      </c>
      <c r="P692" s="8">
        <f t="shared" si="84"/>
        <v>0.89217466469902162</v>
      </c>
      <c r="Q692" s="8">
        <f t="shared" si="85"/>
        <v>0.83970764296046307</v>
      </c>
      <c r="R692" s="8">
        <f t="shared" si="86"/>
        <v>0.94119198424418549</v>
      </c>
      <c r="S692" s="22">
        <f t="shared" si="87"/>
        <v>-8.7439061129663834E-2</v>
      </c>
      <c r="T692" s="25"/>
      <c r="U692" s="1" t="s">
        <v>1965</v>
      </c>
    </row>
    <row r="693" spans="1:21">
      <c r="A693" s="6" t="s">
        <v>1966</v>
      </c>
      <c r="B693" s="6" t="s">
        <v>1967</v>
      </c>
      <c r="C693" s="7">
        <v>0.98080995086244593</v>
      </c>
      <c r="D693" s="7">
        <v>0.96341219882403251</v>
      </c>
      <c r="E693" s="7">
        <v>0.87015462588674652</v>
      </c>
      <c r="F693" s="8">
        <v>0.97463782085819872</v>
      </c>
      <c r="G693" s="8">
        <f t="shared" si="80"/>
        <v>0.97211107484323922</v>
      </c>
      <c r="H693" s="8">
        <f t="shared" si="81"/>
        <v>0.92239622337247262</v>
      </c>
      <c r="I693" s="8">
        <f t="shared" si="82"/>
        <v>0.94885887759402032</v>
      </c>
      <c r="J693" s="22">
        <f t="shared" si="83"/>
        <v>-7.5734561629205222E-2</v>
      </c>
      <c r="K693" s="8"/>
      <c r="L693" s="8">
        <v>1.1701082117828547</v>
      </c>
      <c r="M693" s="8">
        <v>0.82085116133194447</v>
      </c>
      <c r="N693" s="8">
        <v>0.80088882781523818</v>
      </c>
      <c r="O693" s="8">
        <v>0.93319772476872553</v>
      </c>
      <c r="P693" s="8">
        <f t="shared" si="84"/>
        <v>0.9954796865573996</v>
      </c>
      <c r="Q693" s="8">
        <f t="shared" si="85"/>
        <v>0.86704327629198186</v>
      </c>
      <c r="R693" s="8">
        <f t="shared" si="86"/>
        <v>0.87098038061471572</v>
      </c>
      <c r="S693" s="22">
        <f t="shared" si="87"/>
        <v>-0.1992878733176934</v>
      </c>
      <c r="T693" s="25"/>
      <c r="U693" s="1" t="s">
        <v>1968</v>
      </c>
    </row>
    <row r="694" spans="1:21">
      <c r="A694" s="6" t="s">
        <v>1969</v>
      </c>
      <c r="B694" s="6" t="s">
        <v>1970</v>
      </c>
      <c r="C694" s="7">
        <v>0.96354778615111991</v>
      </c>
      <c r="D694" s="7">
        <v>0.90269164819825343</v>
      </c>
      <c r="E694" s="7">
        <v>0.86063083040931865</v>
      </c>
      <c r="F694" s="8">
        <v>1.0372139209954021</v>
      </c>
      <c r="G694" s="8">
        <f t="shared" si="80"/>
        <v>0.93311971717468667</v>
      </c>
      <c r="H694" s="8">
        <f t="shared" si="81"/>
        <v>0.94892237570236038</v>
      </c>
      <c r="I694" s="8">
        <f t="shared" si="82"/>
        <v>1.0169352959077118</v>
      </c>
      <c r="J694" s="22">
        <f t="shared" si="83"/>
        <v>2.4227888396277288E-2</v>
      </c>
      <c r="K694" s="8"/>
      <c r="L694" s="8">
        <v>0.45841508439684564</v>
      </c>
      <c r="M694" s="8">
        <v>0.48240167313701815</v>
      </c>
      <c r="N694" s="8">
        <v>0.59380555588080719</v>
      </c>
      <c r="O694" s="8">
        <v>0.64884322177152687</v>
      </c>
      <c r="P694" s="8">
        <f t="shared" si="84"/>
        <v>0.47040837876693187</v>
      </c>
      <c r="Q694" s="8">
        <f t="shared" si="85"/>
        <v>0.62132438882616703</v>
      </c>
      <c r="R694" s="8">
        <f t="shared" si="86"/>
        <v>1.320819136884481</v>
      </c>
      <c r="S694" s="22">
        <f t="shared" si="87"/>
        <v>0.40143292821687621</v>
      </c>
      <c r="T694" s="25"/>
      <c r="U694" s="1" t="s">
        <v>1971</v>
      </c>
    </row>
    <row r="695" spans="1:21">
      <c r="A695" s="6" t="s">
        <v>1972</v>
      </c>
      <c r="B695" s="6" t="s">
        <v>1973</v>
      </c>
      <c r="C695" s="7">
        <v>1.0709763470392124</v>
      </c>
      <c r="D695" s="7">
        <v>1.0771453486294107</v>
      </c>
      <c r="E695" s="7">
        <v>1.1331103295881975</v>
      </c>
      <c r="F695" s="8">
        <v>1.0705778002544071</v>
      </c>
      <c r="G695" s="8">
        <f t="shared" si="80"/>
        <v>1.0740608478343114</v>
      </c>
      <c r="H695" s="8">
        <f t="shared" si="81"/>
        <v>1.1018440649213024</v>
      </c>
      <c r="I695" s="8">
        <f t="shared" si="82"/>
        <v>1.0258674516839634</v>
      </c>
      <c r="J695" s="22">
        <f t="shared" si="83"/>
        <v>3.6844338009757456E-2</v>
      </c>
      <c r="K695" s="8"/>
      <c r="L695" s="8">
        <v>0.91275042289695563</v>
      </c>
      <c r="M695" s="8">
        <v>0.79027448482297669</v>
      </c>
      <c r="N695" s="8">
        <v>0.7482484467274404</v>
      </c>
      <c r="O695" s="8">
        <v>0.95072426125211129</v>
      </c>
      <c r="P695" s="8">
        <f t="shared" si="84"/>
        <v>0.8515124538599661</v>
      </c>
      <c r="Q695" s="8">
        <f t="shared" si="85"/>
        <v>0.8494863539897759</v>
      </c>
      <c r="R695" s="8">
        <f t="shared" si="86"/>
        <v>0.9976205869203606</v>
      </c>
      <c r="S695" s="22">
        <f t="shared" si="87"/>
        <v>-3.4368579260166117E-3</v>
      </c>
      <c r="T695" s="25"/>
      <c r="U695" s="1" t="s">
        <v>1974</v>
      </c>
    </row>
    <row r="696" spans="1:21">
      <c r="A696" s="6" t="s">
        <v>1975</v>
      </c>
      <c r="B696" s="6" t="s">
        <v>1976</v>
      </c>
      <c r="C696" s="7">
        <v>0.91505799499038509</v>
      </c>
      <c r="D696" s="7">
        <v>0.93136698795847073</v>
      </c>
      <c r="E696" s="7">
        <v>1.0942795435165247</v>
      </c>
      <c r="F696" s="8">
        <v>0.96628211724004553</v>
      </c>
      <c r="G696" s="8">
        <f t="shared" si="80"/>
        <v>0.92321249147442797</v>
      </c>
      <c r="H696" s="8">
        <f t="shared" si="81"/>
        <v>1.0302808303782851</v>
      </c>
      <c r="I696" s="8">
        <f t="shared" si="82"/>
        <v>1.1159736679178403</v>
      </c>
      <c r="J696" s="22">
        <f t="shared" si="83"/>
        <v>0.15830298629565481</v>
      </c>
      <c r="K696" s="8"/>
      <c r="L696" s="8">
        <v>1.116960249328107</v>
      </c>
      <c r="M696" s="8">
        <v>0.74035338031853948</v>
      </c>
      <c r="N696" s="8">
        <v>0.76678498704602838</v>
      </c>
      <c r="O696" s="8">
        <v>0.87397790690862587</v>
      </c>
      <c r="P696" s="8">
        <f t="shared" si="84"/>
        <v>0.92865681482332318</v>
      </c>
      <c r="Q696" s="8">
        <f t="shared" si="85"/>
        <v>0.82038144697732718</v>
      </c>
      <c r="R696" s="8">
        <f t="shared" si="86"/>
        <v>0.88340647899450842</v>
      </c>
      <c r="S696" s="22">
        <f t="shared" si="87"/>
        <v>-0.1788506815958138</v>
      </c>
      <c r="T696" s="25"/>
      <c r="U696" s="1" t="s">
        <v>1977</v>
      </c>
    </row>
    <row r="697" spans="1:21">
      <c r="A697" s="6" t="s">
        <v>1978</v>
      </c>
      <c r="B697" s="6" t="s">
        <v>1979</v>
      </c>
      <c r="C697" s="7">
        <v>0.9401317758897394</v>
      </c>
      <c r="D697" s="7">
        <v>0.99346440756199317</v>
      </c>
      <c r="E697" s="7">
        <v>0.94565495394362198</v>
      </c>
      <c r="F697" s="8">
        <v>1.0538860380893034</v>
      </c>
      <c r="G697" s="8">
        <f t="shared" si="80"/>
        <v>0.96679809172586628</v>
      </c>
      <c r="H697" s="8">
        <f t="shared" si="81"/>
        <v>0.99977049601646262</v>
      </c>
      <c r="I697" s="8">
        <f t="shared" si="82"/>
        <v>1.0341047469712483</v>
      </c>
      <c r="J697" s="22">
        <f t="shared" si="83"/>
        <v>4.8382327124954959E-2</v>
      </c>
      <c r="K697" s="8"/>
      <c r="L697" s="8">
        <v>0.96222661404464105</v>
      </c>
      <c r="M697" s="8">
        <v>0.77057904906146046</v>
      </c>
      <c r="N697" s="8">
        <v>0.81174776218951394</v>
      </c>
      <c r="O697" s="8">
        <v>0.86575669649631604</v>
      </c>
      <c r="P697" s="8">
        <f t="shared" si="84"/>
        <v>0.86640283155305076</v>
      </c>
      <c r="Q697" s="8">
        <f t="shared" si="85"/>
        <v>0.83875222934291505</v>
      </c>
      <c r="R697" s="8">
        <f t="shared" si="86"/>
        <v>0.96808574348658205</v>
      </c>
      <c r="S697" s="22">
        <f t="shared" si="87"/>
        <v>-4.6793262031521093E-2</v>
      </c>
      <c r="T697" s="25"/>
      <c r="U697" s="1" t="s">
        <v>1980</v>
      </c>
    </row>
    <row r="698" spans="1:21">
      <c r="A698" s="6" t="s">
        <v>1981</v>
      </c>
      <c r="B698" s="6" t="s">
        <v>1982</v>
      </c>
      <c r="C698" s="7">
        <v>0.88978327219551878</v>
      </c>
      <c r="D698" s="7">
        <v>0.96694553382627813</v>
      </c>
      <c r="E698" s="7">
        <v>0.61913784283164064</v>
      </c>
      <c r="F698" s="8">
        <v>0.75365041490066376</v>
      </c>
      <c r="G698" s="8">
        <f t="shared" si="80"/>
        <v>0.9283644030108984</v>
      </c>
      <c r="H698" s="8">
        <f t="shared" si="81"/>
        <v>0.68639412886615214</v>
      </c>
      <c r="I698" s="8">
        <f t="shared" si="82"/>
        <v>0.73935851766829785</v>
      </c>
      <c r="J698" s="22">
        <f t="shared" si="83"/>
        <v>-0.43565399271068456</v>
      </c>
      <c r="K698" s="8"/>
      <c r="L698" s="8">
        <v>0.79655184203811114</v>
      </c>
      <c r="M698" s="8">
        <v>1.1435443009176578</v>
      </c>
      <c r="N698" s="8">
        <v>1.0178130090263566</v>
      </c>
      <c r="O698" s="8">
        <v>1.0577806825552662</v>
      </c>
      <c r="P698" s="8">
        <f t="shared" si="84"/>
        <v>0.97004807147788452</v>
      </c>
      <c r="Q698" s="8">
        <f t="shared" si="85"/>
        <v>1.0377968457908113</v>
      </c>
      <c r="R698" s="8">
        <f t="shared" si="86"/>
        <v>1.0698406360518922</v>
      </c>
      <c r="S698" s="22">
        <f t="shared" si="87"/>
        <v>9.7395908121004474E-2</v>
      </c>
      <c r="T698" s="25"/>
      <c r="U698" s="1" t="s">
        <v>1983</v>
      </c>
    </row>
    <row r="699" spans="1:21">
      <c r="A699" s="6" t="s">
        <v>1984</v>
      </c>
      <c r="B699" s="6" t="s">
        <v>80</v>
      </c>
      <c r="C699" s="7">
        <v>0.94148185425021058</v>
      </c>
      <c r="D699" s="7">
        <v>1.0000784083135277</v>
      </c>
      <c r="E699" s="7">
        <v>0.9876559986602077</v>
      </c>
      <c r="F699" s="8">
        <v>0.97677913361927715</v>
      </c>
      <c r="G699" s="8">
        <f t="shared" si="80"/>
        <v>0.97078013128186913</v>
      </c>
      <c r="H699" s="8">
        <f t="shared" si="81"/>
        <v>0.98221756613974243</v>
      </c>
      <c r="I699" s="8">
        <f t="shared" si="82"/>
        <v>1.011781694422166</v>
      </c>
      <c r="J699" s="22">
        <f t="shared" si="83"/>
        <v>1.6898042651510944E-2</v>
      </c>
      <c r="K699" s="8"/>
      <c r="L699" s="8">
        <v>1.0561720354667454</v>
      </c>
      <c r="M699" s="8">
        <v>0.81979813803380397</v>
      </c>
      <c r="N699" s="8">
        <v>1.1213122272811726</v>
      </c>
      <c r="O699" s="8">
        <v>1.1194849321333715</v>
      </c>
      <c r="P699" s="8">
        <f t="shared" si="84"/>
        <v>0.9379850867502747</v>
      </c>
      <c r="Q699" s="8">
        <f t="shared" si="85"/>
        <v>1.1203985797072722</v>
      </c>
      <c r="R699" s="8">
        <f t="shared" si="86"/>
        <v>1.1944737667301129</v>
      </c>
      <c r="S699" s="22">
        <f t="shared" si="87"/>
        <v>0.25637516938740817</v>
      </c>
      <c r="T699" s="25"/>
      <c r="U699" s="1">
        <v>0</v>
      </c>
    </row>
    <row r="700" spans="1:21">
      <c r="A700" s="6" t="s">
        <v>1985</v>
      </c>
      <c r="B700" s="6" t="s">
        <v>80</v>
      </c>
      <c r="C700" s="7">
        <v>1.1263232803842935</v>
      </c>
      <c r="D700" s="7">
        <v>1.0652376324474657</v>
      </c>
      <c r="E700" s="7">
        <v>1.5726045223890108</v>
      </c>
      <c r="F700" s="8">
        <v>1.3656598664309099</v>
      </c>
      <c r="G700" s="8">
        <f t="shared" si="80"/>
        <v>1.0957804564158797</v>
      </c>
      <c r="H700" s="8">
        <f t="shared" si="81"/>
        <v>1.4691321944099602</v>
      </c>
      <c r="I700" s="8">
        <f t="shared" si="82"/>
        <v>1.3407176463205537</v>
      </c>
      <c r="J700" s="22">
        <f t="shared" si="83"/>
        <v>0.42300543922310019</v>
      </c>
      <c r="K700" s="8"/>
      <c r="L700" s="8">
        <v>1.32632539102877</v>
      </c>
      <c r="M700" s="8">
        <v>1.0139444335205916</v>
      </c>
      <c r="N700" s="8">
        <v>1.4984481082252585</v>
      </c>
      <c r="O700" s="8">
        <v>1.6749135213078838</v>
      </c>
      <c r="P700" s="8">
        <f t="shared" si="84"/>
        <v>1.1701349122746807</v>
      </c>
      <c r="Q700" s="8">
        <f t="shared" si="85"/>
        <v>1.5866808147665712</v>
      </c>
      <c r="R700" s="8">
        <f t="shared" si="86"/>
        <v>1.3559810908317804</v>
      </c>
      <c r="S700" s="22">
        <f t="shared" si="87"/>
        <v>0.43933706021951652</v>
      </c>
      <c r="T700" s="25"/>
      <c r="U700" s="1">
        <v>0</v>
      </c>
    </row>
    <row r="701" spans="1:21">
      <c r="A701" s="6" t="s">
        <v>1986</v>
      </c>
      <c r="B701" s="6" t="s">
        <v>1987</v>
      </c>
      <c r="C701" s="7">
        <v>1.0805085282075619</v>
      </c>
      <c r="D701" s="7">
        <v>1.1657742161145637</v>
      </c>
      <c r="E701" s="7">
        <v>1.0088127555307755</v>
      </c>
      <c r="F701" s="8">
        <v>1.0232266302991835</v>
      </c>
      <c r="G701" s="8">
        <f t="shared" si="80"/>
        <v>1.1231413721610628</v>
      </c>
      <c r="H701" s="8">
        <f t="shared" si="81"/>
        <v>1.0160196929149796</v>
      </c>
      <c r="I701" s="8">
        <f t="shared" si="82"/>
        <v>0.90462315617492761</v>
      </c>
      <c r="J701" s="22">
        <f t="shared" si="83"/>
        <v>-0.14461116892560272</v>
      </c>
      <c r="K701" s="8"/>
      <c r="L701" s="8">
        <v>1.2265941481531133</v>
      </c>
      <c r="M701" s="8">
        <v>1.1078975122324581</v>
      </c>
      <c r="N701" s="8">
        <v>0.75927705195131423</v>
      </c>
      <c r="O701" s="8">
        <v>0.79420506301775173</v>
      </c>
      <c r="P701" s="8">
        <f t="shared" si="84"/>
        <v>1.1672458301927857</v>
      </c>
      <c r="Q701" s="8">
        <f t="shared" si="85"/>
        <v>0.77674105748453304</v>
      </c>
      <c r="R701" s="8">
        <f t="shared" si="86"/>
        <v>0.66544770381081098</v>
      </c>
      <c r="S701" s="22">
        <f t="shared" si="87"/>
        <v>-0.58760280278077992</v>
      </c>
      <c r="T701" s="25"/>
      <c r="U701" s="1" t="s">
        <v>1988</v>
      </c>
    </row>
    <row r="702" spans="1:21">
      <c r="A702" s="6" t="s">
        <v>1989</v>
      </c>
      <c r="B702" s="6" t="s">
        <v>1990</v>
      </c>
      <c r="C702" s="7">
        <v>1.0049229783238836</v>
      </c>
      <c r="D702" s="7">
        <v>1.0645649156409884</v>
      </c>
      <c r="E702" s="7">
        <v>1.0506640755064309</v>
      </c>
      <c r="F702" s="8">
        <v>0.97846860974269689</v>
      </c>
      <c r="G702" s="8">
        <f t="shared" si="80"/>
        <v>1.034743946982436</v>
      </c>
      <c r="H702" s="8">
        <f t="shared" si="81"/>
        <v>1.0145663426245639</v>
      </c>
      <c r="I702" s="8">
        <f t="shared" si="82"/>
        <v>0.98049990587843994</v>
      </c>
      <c r="J702" s="22">
        <f t="shared" si="83"/>
        <v>-2.8410602959193017E-2</v>
      </c>
      <c r="K702" s="8"/>
      <c r="L702" s="8">
        <v>1.1202240460454957</v>
      </c>
      <c r="M702" s="8">
        <v>0.7870374132027671</v>
      </c>
      <c r="N702" s="8">
        <v>0.72805761562527138</v>
      </c>
      <c r="O702" s="8">
        <v>0.72622197691595913</v>
      </c>
      <c r="P702" s="8">
        <f t="shared" si="84"/>
        <v>0.95363072962413142</v>
      </c>
      <c r="Q702" s="8">
        <f t="shared" si="85"/>
        <v>0.7271397962706152</v>
      </c>
      <c r="R702" s="8">
        <f t="shared" si="86"/>
        <v>0.76249618818094667</v>
      </c>
      <c r="S702" s="22">
        <f t="shared" si="87"/>
        <v>-0.39119796952931651</v>
      </c>
      <c r="T702" s="25"/>
      <c r="U702" s="1" t="s">
        <v>1991</v>
      </c>
    </row>
    <row r="703" spans="1:21">
      <c r="A703" s="6" t="s">
        <v>1992</v>
      </c>
      <c r="B703" s="6" t="s">
        <v>1993</v>
      </c>
      <c r="C703" s="7">
        <v>1.0800626883768947</v>
      </c>
      <c r="D703" s="7">
        <v>0.97117044685387421</v>
      </c>
      <c r="E703" s="7">
        <v>0.98909465812740627</v>
      </c>
      <c r="F703" s="8">
        <v>1.0011455702675123</v>
      </c>
      <c r="G703" s="8">
        <f t="shared" si="80"/>
        <v>1.0256165676153843</v>
      </c>
      <c r="H703" s="8">
        <f t="shared" si="81"/>
        <v>0.99512011419745927</v>
      </c>
      <c r="I703" s="8">
        <f t="shared" si="82"/>
        <v>0.97026524884554954</v>
      </c>
      <c r="J703" s="22">
        <f t="shared" si="83"/>
        <v>-4.354889306990934E-2</v>
      </c>
      <c r="K703" s="8"/>
      <c r="L703" s="8">
        <v>0.99219420208611775</v>
      </c>
      <c r="M703" s="8">
        <v>0.92459345663022796</v>
      </c>
      <c r="N703" s="8">
        <v>0.74188578986751319</v>
      </c>
      <c r="O703" s="8">
        <v>0.79452126341822515</v>
      </c>
      <c r="P703" s="8">
        <f t="shared" si="84"/>
        <v>0.95839382935817286</v>
      </c>
      <c r="Q703" s="8">
        <f t="shared" si="85"/>
        <v>0.76820352664286917</v>
      </c>
      <c r="R703" s="8">
        <f t="shared" si="86"/>
        <v>0.80155308090550592</v>
      </c>
      <c r="S703" s="22">
        <f t="shared" si="87"/>
        <v>-0.31913003236975279</v>
      </c>
      <c r="T703" s="25"/>
      <c r="U703" s="1" t="s">
        <v>1994</v>
      </c>
    </row>
    <row r="704" spans="1:21">
      <c r="A704" s="6" t="s">
        <v>1995</v>
      </c>
      <c r="B704" s="6" t="s">
        <v>1996</v>
      </c>
      <c r="C704" s="7">
        <v>0.91030446327467984</v>
      </c>
      <c r="D704" s="7">
        <v>1.0050326218042207</v>
      </c>
      <c r="E704" s="7">
        <v>1.0400922068424918</v>
      </c>
      <c r="F704" s="8">
        <v>0.99115277738247953</v>
      </c>
      <c r="G704" s="8">
        <f t="shared" si="80"/>
        <v>0.95766854253945022</v>
      </c>
      <c r="H704" s="8">
        <f t="shared" si="81"/>
        <v>1.0156224921124857</v>
      </c>
      <c r="I704" s="8">
        <f t="shared" si="82"/>
        <v>1.0605156659102104</v>
      </c>
      <c r="J704" s="22">
        <f t="shared" si="83"/>
        <v>8.476593248000884E-2</v>
      </c>
      <c r="K704" s="8"/>
      <c r="L704" s="8">
        <v>1.1461489767892978</v>
      </c>
      <c r="M704" s="8">
        <v>0.8114519533744684</v>
      </c>
      <c r="N704" s="8">
        <v>0.72169495876534417</v>
      </c>
      <c r="O704" s="8">
        <v>0.84168029457455162</v>
      </c>
      <c r="P704" s="8">
        <f t="shared" si="84"/>
        <v>0.97880046508188312</v>
      </c>
      <c r="Q704" s="8">
        <f t="shared" si="85"/>
        <v>0.78168762666994795</v>
      </c>
      <c r="R704" s="8">
        <f t="shared" si="86"/>
        <v>0.79861795591255125</v>
      </c>
      <c r="S704" s="22">
        <f t="shared" si="87"/>
        <v>-0.32442258538225338</v>
      </c>
      <c r="T704" s="25"/>
      <c r="U704" s="1" t="s">
        <v>1997</v>
      </c>
    </row>
    <row r="705" spans="1:21">
      <c r="A705" s="6" t="s">
        <v>1998</v>
      </c>
      <c r="B705" s="6" t="s">
        <v>1999</v>
      </c>
      <c r="C705" s="7">
        <v>1.1255069539337761</v>
      </c>
      <c r="D705" s="7">
        <v>1.1210794144580445</v>
      </c>
      <c r="E705" s="7">
        <v>0.99415926023365297</v>
      </c>
      <c r="F705" s="8">
        <v>1.0673691052913232</v>
      </c>
      <c r="G705" s="8">
        <f t="shared" si="80"/>
        <v>1.1232931841959104</v>
      </c>
      <c r="H705" s="8">
        <f t="shared" si="81"/>
        <v>1.030764182762488</v>
      </c>
      <c r="I705" s="8">
        <f t="shared" si="82"/>
        <v>0.91762702495194293</v>
      </c>
      <c r="J705" s="22">
        <f t="shared" si="83"/>
        <v>-0.12402021422454053</v>
      </c>
      <c r="K705" s="8"/>
      <c r="L705" s="8">
        <v>1.2212163012892343</v>
      </c>
      <c r="M705" s="8">
        <v>0.96394532729036631</v>
      </c>
      <c r="N705" s="8">
        <v>1.0303262341842134</v>
      </c>
      <c r="O705" s="8">
        <v>1.1475815962897271</v>
      </c>
      <c r="P705" s="8">
        <f t="shared" si="84"/>
        <v>1.0925808142898004</v>
      </c>
      <c r="Q705" s="8">
        <f t="shared" si="85"/>
        <v>1.0889539152369703</v>
      </c>
      <c r="R705" s="8">
        <f t="shared" si="86"/>
        <v>0.99668042948824098</v>
      </c>
      <c r="S705" s="22">
        <f t="shared" si="87"/>
        <v>-4.7970944743538019E-3</v>
      </c>
      <c r="T705" s="25"/>
      <c r="U705" s="1" t="s">
        <v>2000</v>
      </c>
    </row>
    <row r="706" spans="1:21">
      <c r="A706" s="6" t="s">
        <v>2001</v>
      </c>
      <c r="B706" s="6" t="s">
        <v>2002</v>
      </c>
      <c r="C706" s="7">
        <v>1.103309153913937</v>
      </c>
      <c r="D706" s="7">
        <v>1.0873241197479795</v>
      </c>
      <c r="E706" s="7">
        <v>0.99787633967152811</v>
      </c>
      <c r="F706" s="8">
        <v>1.0107520100855614</v>
      </c>
      <c r="G706" s="8">
        <f t="shared" si="80"/>
        <v>1.0953166368309581</v>
      </c>
      <c r="H706" s="8">
        <f t="shared" si="81"/>
        <v>1.0043141748785447</v>
      </c>
      <c r="I706" s="8">
        <f t="shared" si="82"/>
        <v>0.91691675366521619</v>
      </c>
      <c r="J706" s="22">
        <f t="shared" si="83"/>
        <v>-0.12513733655892154</v>
      </c>
      <c r="K706" s="8"/>
      <c r="L706" s="8">
        <v>1.1740766918824066</v>
      </c>
      <c r="M706" s="8">
        <v>1.0329378537500142</v>
      </c>
      <c r="N706" s="8">
        <v>0.73565038614478451</v>
      </c>
      <c r="O706" s="8">
        <v>1.2512953276450198</v>
      </c>
      <c r="P706" s="8">
        <f t="shared" si="84"/>
        <v>1.1035072728162105</v>
      </c>
      <c r="Q706" s="8">
        <f t="shared" si="85"/>
        <v>0.99347285689490217</v>
      </c>
      <c r="R706" s="8">
        <f t="shared" si="86"/>
        <v>0.90028664184469342</v>
      </c>
      <c r="S706" s="22">
        <f t="shared" si="87"/>
        <v>-0.15154368130285772</v>
      </c>
      <c r="T706" s="25"/>
      <c r="U706" s="1" t="s">
        <v>2003</v>
      </c>
    </row>
    <row r="707" spans="1:21">
      <c r="A707" s="6" t="s">
        <v>2004</v>
      </c>
      <c r="B707" s="6" t="s">
        <v>2005</v>
      </c>
      <c r="C707" s="7">
        <v>0.99521497299696104</v>
      </c>
      <c r="D707" s="7">
        <v>0.95021563268575227</v>
      </c>
      <c r="E707" s="7">
        <v>0.89336847050226798</v>
      </c>
      <c r="F707" s="8">
        <v>1.0149364102517053</v>
      </c>
      <c r="G707" s="8">
        <f t="shared" si="80"/>
        <v>0.97271530284135665</v>
      </c>
      <c r="H707" s="8">
        <f t="shared" si="81"/>
        <v>0.95415244037698665</v>
      </c>
      <c r="I707" s="8">
        <f t="shared" si="82"/>
        <v>0.98091644861538951</v>
      </c>
      <c r="J707" s="22">
        <f t="shared" si="83"/>
        <v>-2.7797837445565177E-2</v>
      </c>
      <c r="K707" s="8"/>
      <c r="L707" s="8">
        <v>1.0845077251495279</v>
      </c>
      <c r="M707" s="8">
        <v>1.2473645979417294</v>
      </c>
      <c r="N707" s="8">
        <v>1.1071022936273354</v>
      </c>
      <c r="O707" s="8">
        <v>0.81466774607696235</v>
      </c>
      <c r="P707" s="8">
        <f t="shared" si="84"/>
        <v>1.1659361615456287</v>
      </c>
      <c r="Q707" s="8">
        <f t="shared" si="85"/>
        <v>0.9608850198521488</v>
      </c>
      <c r="R707" s="8">
        <f t="shared" si="86"/>
        <v>0.82413175913366221</v>
      </c>
      <c r="S707" s="22">
        <f t="shared" si="87"/>
        <v>-0.27905308629851211</v>
      </c>
      <c r="T707" s="25"/>
      <c r="U707" s="1" t="s">
        <v>2006</v>
      </c>
    </row>
    <row r="708" spans="1:21">
      <c r="A708" s="6" t="s">
        <v>2007</v>
      </c>
      <c r="B708" s="6" t="s">
        <v>2008</v>
      </c>
      <c r="C708" s="7">
        <v>0.75719301832878549</v>
      </c>
      <c r="D708" s="7">
        <v>0.91666152431033476</v>
      </c>
      <c r="E708" s="7">
        <v>0.50065349458511621</v>
      </c>
      <c r="F708" s="8">
        <v>0.59060287227652941</v>
      </c>
      <c r="G708" s="8">
        <f t="shared" si="80"/>
        <v>0.83692727131956013</v>
      </c>
      <c r="H708" s="8">
        <f t="shared" si="81"/>
        <v>0.54562818343082276</v>
      </c>
      <c r="I708" s="8">
        <f t="shared" si="82"/>
        <v>0.65194217243099972</v>
      </c>
      <c r="J708" s="22">
        <f t="shared" si="83"/>
        <v>-0.61718409246620087</v>
      </c>
      <c r="K708" s="8"/>
      <c r="L708" s="8">
        <v>1.6572669604521562</v>
      </c>
      <c r="M708" s="8">
        <v>1.1050504492411894</v>
      </c>
      <c r="N708" s="8">
        <v>1.0449179272496467</v>
      </c>
      <c r="O708" s="8">
        <v>1.1592810111072449</v>
      </c>
      <c r="P708" s="8">
        <f t="shared" si="84"/>
        <v>1.3811587048466727</v>
      </c>
      <c r="Q708" s="8">
        <f t="shared" si="85"/>
        <v>1.1020994691784458</v>
      </c>
      <c r="R708" s="8">
        <f t="shared" si="86"/>
        <v>0.7979528097032077</v>
      </c>
      <c r="S708" s="22">
        <f t="shared" si="87"/>
        <v>-0.32562466575835652</v>
      </c>
      <c r="T708" s="25"/>
      <c r="U708" s="1" t="s">
        <v>2009</v>
      </c>
    </row>
    <row r="709" spans="1:21">
      <c r="A709" s="6" t="s">
        <v>2010</v>
      </c>
      <c r="B709" s="6" t="s">
        <v>2011</v>
      </c>
      <c r="C709" s="7">
        <v>1.1096890590964423</v>
      </c>
      <c r="D709" s="7">
        <v>1.0115774647532201</v>
      </c>
      <c r="E709" s="7">
        <v>0.7428820863247555</v>
      </c>
      <c r="F709" s="8">
        <v>0.92208070703429812</v>
      </c>
      <c r="G709" s="8">
        <f t="shared" si="80"/>
        <v>1.0606332619248313</v>
      </c>
      <c r="H709" s="8">
        <f t="shared" si="81"/>
        <v>0.83248139667952681</v>
      </c>
      <c r="I709" s="8">
        <f t="shared" si="82"/>
        <v>0.78489090109124449</v>
      </c>
      <c r="J709" s="22">
        <f t="shared" si="83"/>
        <v>-0.34943595985517656</v>
      </c>
      <c r="K709" s="8"/>
      <c r="L709" s="8">
        <v>1.9431087934170825</v>
      </c>
      <c r="M709" s="8">
        <v>1.2409684564270984</v>
      </c>
      <c r="N709" s="8">
        <v>1.0815244130504278</v>
      </c>
      <c r="O709" s="8">
        <v>1.0233148389036597</v>
      </c>
      <c r="P709" s="8">
        <f t="shared" si="84"/>
        <v>1.5920386249220906</v>
      </c>
      <c r="Q709" s="8">
        <f t="shared" si="85"/>
        <v>1.0524196259770437</v>
      </c>
      <c r="R709" s="8">
        <f t="shared" si="86"/>
        <v>0.66105156589938008</v>
      </c>
      <c r="S709" s="22">
        <f t="shared" si="87"/>
        <v>-0.59716528008985659</v>
      </c>
      <c r="T709" s="25"/>
      <c r="U709" s="1" t="s">
        <v>2012</v>
      </c>
    </row>
    <row r="710" spans="1:21">
      <c r="A710" s="6" t="s">
        <v>2013</v>
      </c>
      <c r="B710" s="6" t="s">
        <v>2014</v>
      </c>
      <c r="C710" s="7">
        <v>0.95039865086355468</v>
      </c>
      <c r="D710" s="7">
        <v>1.0083018997422415</v>
      </c>
      <c r="E710" s="7">
        <v>0.91955077085101378</v>
      </c>
      <c r="F710" s="8">
        <v>1.1078052101832478</v>
      </c>
      <c r="G710" s="8">
        <f t="shared" ref="G710:G773" si="88">AVERAGE(C710:D710)</f>
        <v>0.97935027530289809</v>
      </c>
      <c r="H710" s="8">
        <f t="shared" ref="H710:H773" si="89">AVERAGE(E710:F710)</f>
        <v>1.0136779905171309</v>
      </c>
      <c r="I710" s="8">
        <f t="shared" ref="I710:I773" si="90">H710/G710</f>
        <v>1.0350515194409027</v>
      </c>
      <c r="J710" s="22">
        <f t="shared" ref="J710:J773" si="91">LOG(I710,2)</f>
        <v>4.970257931114027E-2</v>
      </c>
      <c r="K710" s="8"/>
      <c r="L710" s="8">
        <v>1.4911842138559528</v>
      </c>
      <c r="M710" s="8">
        <v>0.86714518558723108</v>
      </c>
      <c r="N710" s="8">
        <v>0.68665792832334493</v>
      </c>
      <c r="O710" s="8">
        <v>1.1624430151119793</v>
      </c>
      <c r="P710" s="8">
        <f t="shared" ref="P710:P773" si="92">AVERAGE(L710:M710)</f>
        <v>1.1791646997215919</v>
      </c>
      <c r="Q710" s="8">
        <f t="shared" ref="Q710:Q773" si="93">AVERAGE(N710:O710)</f>
        <v>0.92455047171766214</v>
      </c>
      <c r="R710" s="8">
        <f t="shared" ref="R710:R773" si="94">Q710/P710</f>
        <v>0.78407237931728646</v>
      </c>
      <c r="S710" s="22">
        <f t="shared" ref="S710:S773" si="95">LOG(R710,2)</f>
        <v>-0.35094125628374967</v>
      </c>
      <c r="T710" s="25"/>
      <c r="U710" s="1" t="s">
        <v>2015</v>
      </c>
    </row>
    <row r="711" spans="1:21">
      <c r="A711" s="6" t="s">
        <v>2016</v>
      </c>
      <c r="B711" s="6" t="s">
        <v>2017</v>
      </c>
      <c r="C711" s="7">
        <v>0.9411113676303603</v>
      </c>
      <c r="D711" s="7">
        <v>1.0740206733694178</v>
      </c>
      <c r="E711" s="7">
        <v>1.0624272323264667</v>
      </c>
      <c r="F711" s="8">
        <v>0.99177487130389375</v>
      </c>
      <c r="G711" s="8">
        <f t="shared" si="88"/>
        <v>1.0075660204998891</v>
      </c>
      <c r="H711" s="8">
        <f t="shared" si="89"/>
        <v>1.0271010518151802</v>
      </c>
      <c r="I711" s="8">
        <f t="shared" si="90"/>
        <v>1.0193883387468734</v>
      </c>
      <c r="J711" s="22">
        <f t="shared" si="91"/>
        <v>2.7703754796693882E-2</v>
      </c>
      <c r="K711" s="8"/>
      <c r="L711" s="8">
        <v>0.95510560302488423</v>
      </c>
      <c r="M711" s="8">
        <v>0.72958914215977022</v>
      </c>
      <c r="N711" s="8">
        <v>0.94587256879677961</v>
      </c>
      <c r="O711" s="8">
        <v>0.97493617763122142</v>
      </c>
      <c r="P711" s="8">
        <f t="shared" si="92"/>
        <v>0.84234737259232717</v>
      </c>
      <c r="Q711" s="8">
        <f t="shared" si="93"/>
        <v>0.96040437321400052</v>
      </c>
      <c r="R711" s="8">
        <f t="shared" si="94"/>
        <v>1.1401523937308102</v>
      </c>
      <c r="S711" s="22">
        <f t="shared" si="95"/>
        <v>0.18922666911446112</v>
      </c>
      <c r="T711" s="25"/>
      <c r="U711" s="1" t="s">
        <v>2018</v>
      </c>
    </row>
    <row r="712" spans="1:21">
      <c r="A712" s="6" t="s">
        <v>2019</v>
      </c>
      <c r="B712" s="6" t="s">
        <v>2020</v>
      </c>
      <c r="C712" s="7">
        <v>1.0242447974642075</v>
      </c>
      <c r="D712" s="7">
        <v>0.95049226389589259</v>
      </c>
      <c r="E712" s="7">
        <v>1.0435163465698514</v>
      </c>
      <c r="F712" s="8">
        <v>1.0141440590465358</v>
      </c>
      <c r="G712" s="8">
        <f t="shared" si="88"/>
        <v>0.98736853068005004</v>
      </c>
      <c r="H712" s="8">
        <f t="shared" si="89"/>
        <v>1.0288302028081935</v>
      </c>
      <c r="I712" s="8">
        <f t="shared" si="90"/>
        <v>1.0419920939748675</v>
      </c>
      <c r="J712" s="22">
        <f t="shared" si="91"/>
        <v>5.9344331333769852E-2</v>
      </c>
      <c r="K712" s="8"/>
      <c r="L712" s="8">
        <v>1.01511495630596</v>
      </c>
      <c r="M712" s="8">
        <v>0.79105450208085848</v>
      </c>
      <c r="N712" s="8">
        <v>0.87130223039843269</v>
      </c>
      <c r="O712" s="8">
        <v>0.97547823546060441</v>
      </c>
      <c r="P712" s="8">
        <f t="shared" si="92"/>
        <v>0.90308472919340921</v>
      </c>
      <c r="Q712" s="8">
        <f t="shared" si="93"/>
        <v>0.9233902329295185</v>
      </c>
      <c r="R712" s="8">
        <f t="shared" si="94"/>
        <v>1.0224846053528611</v>
      </c>
      <c r="S712" s="22">
        <f t="shared" si="95"/>
        <v>3.2079121946213193E-2</v>
      </c>
      <c r="T712" s="25"/>
      <c r="U712" s="1" t="s">
        <v>2021</v>
      </c>
    </row>
    <row r="713" spans="1:21">
      <c r="A713" s="6" t="s">
        <v>2022</v>
      </c>
      <c r="B713" s="6" t="s">
        <v>2023</v>
      </c>
      <c r="C713" s="7">
        <v>0.98415688930956735</v>
      </c>
      <c r="D713" s="7">
        <v>1.0187573020709504</v>
      </c>
      <c r="E713" s="7">
        <v>1.1601844686111795</v>
      </c>
      <c r="F713" s="8">
        <v>0.99910903121951411</v>
      </c>
      <c r="G713" s="8">
        <f t="shared" si="88"/>
        <v>1.0014570956902589</v>
      </c>
      <c r="H713" s="8">
        <f t="shared" si="89"/>
        <v>1.0796467499153468</v>
      </c>
      <c r="I713" s="8">
        <f t="shared" si="90"/>
        <v>1.0780758901819907</v>
      </c>
      <c r="J713" s="22">
        <f t="shared" si="91"/>
        <v>0.1084587388840379</v>
      </c>
      <c r="K713" s="8"/>
      <c r="L713" s="8">
        <v>1.0793894984790775</v>
      </c>
      <c r="M713" s="8">
        <v>0.69136829652356058</v>
      </c>
      <c r="N713" s="8">
        <v>0.84839666570269479</v>
      </c>
      <c r="O713" s="8">
        <v>0.85139216401766482</v>
      </c>
      <c r="P713" s="8">
        <f t="shared" si="92"/>
        <v>0.88537889750131904</v>
      </c>
      <c r="Q713" s="8">
        <f t="shared" si="93"/>
        <v>0.8498944148601798</v>
      </c>
      <c r="R713" s="8">
        <f t="shared" si="94"/>
        <v>0.95992169822289408</v>
      </c>
      <c r="S713" s="22">
        <f t="shared" si="95"/>
        <v>-5.9011366337689733E-2</v>
      </c>
      <c r="T713" s="25"/>
      <c r="U713" s="1" t="s">
        <v>2024</v>
      </c>
    </row>
    <row r="714" spans="1:21">
      <c r="A714" s="6" t="s">
        <v>2025</v>
      </c>
      <c r="B714" s="9" t="s">
        <v>2026</v>
      </c>
      <c r="C714" s="10">
        <v>0.92162000376569819</v>
      </c>
      <c r="D714" s="10">
        <v>0.98862964845749701</v>
      </c>
      <c r="E714" s="10">
        <v>1.09783387867078</v>
      </c>
      <c r="F714" s="8">
        <v>1.0987029938593975</v>
      </c>
      <c r="G714" s="8">
        <f t="shared" si="88"/>
        <v>0.95512482611159766</v>
      </c>
      <c r="H714" s="8">
        <f t="shared" si="89"/>
        <v>1.0982684362650887</v>
      </c>
      <c r="I714" s="8">
        <f t="shared" si="90"/>
        <v>1.1498690079455292</v>
      </c>
      <c r="J714" s="22">
        <f t="shared" si="91"/>
        <v>0.20146951999462498</v>
      </c>
      <c r="K714" s="8"/>
      <c r="L714" s="8">
        <v>0.66065921507775172</v>
      </c>
      <c r="M714" s="8">
        <v>0.77319210687536455</v>
      </c>
      <c r="N714" s="8">
        <v>0.72890596987326162</v>
      </c>
      <c r="O714" s="8">
        <v>0.94001861912179574</v>
      </c>
      <c r="P714" s="8">
        <f t="shared" si="92"/>
        <v>0.71692566097655819</v>
      </c>
      <c r="Q714" s="8">
        <f t="shared" si="93"/>
        <v>0.83446229449752862</v>
      </c>
      <c r="R714" s="8">
        <f t="shared" si="94"/>
        <v>1.1639453571251281</v>
      </c>
      <c r="S714" s="22">
        <f t="shared" si="95"/>
        <v>0.21902333070751492</v>
      </c>
      <c r="T714" s="25"/>
      <c r="U714" s="1" t="s">
        <v>2027</v>
      </c>
    </row>
    <row r="715" spans="1:21">
      <c r="A715" s="6" t="s">
        <v>2028</v>
      </c>
      <c r="B715" s="6" t="s">
        <v>2029</v>
      </c>
      <c r="C715" s="7">
        <v>0.98697007584673513</v>
      </c>
      <c r="D715" s="7">
        <v>1.1020798799797773</v>
      </c>
      <c r="E715" s="7">
        <v>1.0309589976457514</v>
      </c>
      <c r="F715" s="8">
        <v>1.0740680745713944</v>
      </c>
      <c r="G715" s="8">
        <f t="shared" si="88"/>
        <v>1.0445249779132562</v>
      </c>
      <c r="H715" s="8">
        <f t="shared" si="89"/>
        <v>1.0525135361085729</v>
      </c>
      <c r="I715" s="8">
        <f t="shared" si="90"/>
        <v>1.0076480298357979</v>
      </c>
      <c r="J715" s="22">
        <f t="shared" si="91"/>
        <v>1.0991795301577064E-2</v>
      </c>
      <c r="K715" s="8"/>
      <c r="L715" s="8">
        <v>1.1681054274335481</v>
      </c>
      <c r="M715" s="8">
        <v>1.0933111895100678</v>
      </c>
      <c r="N715" s="8">
        <v>0.90778146306201535</v>
      </c>
      <c r="O715" s="8">
        <v>0.86544049609584262</v>
      </c>
      <c r="P715" s="8">
        <f t="shared" si="92"/>
        <v>1.1307083084718079</v>
      </c>
      <c r="Q715" s="8">
        <f t="shared" si="93"/>
        <v>0.88661097957892898</v>
      </c>
      <c r="R715" s="8">
        <f t="shared" si="94"/>
        <v>0.78411998296644247</v>
      </c>
      <c r="S715" s="22">
        <f t="shared" si="95"/>
        <v>-0.35085366811505503</v>
      </c>
      <c r="T715" s="25"/>
      <c r="U715" s="1" t="s">
        <v>2030</v>
      </c>
    </row>
    <row r="716" spans="1:21">
      <c r="A716" s="6" t="s">
        <v>2031</v>
      </c>
      <c r="B716" s="6" t="s">
        <v>2032</v>
      </c>
      <c r="C716" s="7">
        <v>0.98212863205174328</v>
      </c>
      <c r="D716" s="7">
        <v>0.92725524224411371</v>
      </c>
      <c r="E716" s="7">
        <v>0.96894691581528092</v>
      </c>
      <c r="F716" s="8">
        <v>1.0397153933951941</v>
      </c>
      <c r="G716" s="8">
        <f t="shared" si="88"/>
        <v>0.95469193714792855</v>
      </c>
      <c r="H716" s="8">
        <f t="shared" si="89"/>
        <v>1.0043311546052376</v>
      </c>
      <c r="I716" s="8">
        <f t="shared" si="90"/>
        <v>1.0519950106686797</v>
      </c>
      <c r="J716" s="22">
        <f t="shared" si="91"/>
        <v>7.3127862329243468E-2</v>
      </c>
      <c r="K716" s="8"/>
      <c r="L716" s="8">
        <v>1.0819486118143027</v>
      </c>
      <c r="M716" s="8">
        <v>0.81761408971173488</v>
      </c>
      <c r="N716" s="8">
        <v>0.79575628461489689</v>
      </c>
      <c r="O716" s="8">
        <v>0.90094528392043327</v>
      </c>
      <c r="P716" s="8">
        <f t="shared" si="92"/>
        <v>0.94978135076301884</v>
      </c>
      <c r="Q716" s="8">
        <f t="shared" si="93"/>
        <v>0.84835078426766508</v>
      </c>
      <c r="R716" s="8">
        <f t="shared" si="94"/>
        <v>0.89320640333286372</v>
      </c>
      <c r="S716" s="22">
        <f t="shared" si="95"/>
        <v>-0.16293450111227137</v>
      </c>
      <c r="T716" s="25"/>
      <c r="U716" s="1" t="s">
        <v>2033</v>
      </c>
    </row>
    <row r="717" spans="1:21">
      <c r="A717" s="6" t="s">
        <v>2034</v>
      </c>
      <c r="B717" s="6" t="s">
        <v>2035</v>
      </c>
      <c r="C717" s="7">
        <v>0.93053052094480759</v>
      </c>
      <c r="D717" s="7">
        <v>1.0334376174272555</v>
      </c>
      <c r="E717" s="7">
        <v>0.99535054838974957</v>
      </c>
      <c r="F717" s="8">
        <v>1.070525413397867</v>
      </c>
      <c r="G717" s="8">
        <f t="shared" si="88"/>
        <v>0.98198406918603154</v>
      </c>
      <c r="H717" s="8">
        <f t="shared" si="89"/>
        <v>1.0329379808938084</v>
      </c>
      <c r="I717" s="8">
        <f t="shared" si="90"/>
        <v>1.051888735577974</v>
      </c>
      <c r="J717" s="22">
        <f t="shared" si="91"/>
        <v>7.2982110410455103E-2</v>
      </c>
      <c r="K717" s="8"/>
      <c r="L717" s="8">
        <v>0.98381217869827897</v>
      </c>
      <c r="M717" s="8">
        <v>0.85365088702587544</v>
      </c>
      <c r="N717" s="8">
        <v>0.8755440016383842</v>
      </c>
      <c r="O717" s="8">
        <v>0.93848278860521039</v>
      </c>
      <c r="P717" s="8">
        <f t="shared" si="92"/>
        <v>0.9187315328620772</v>
      </c>
      <c r="Q717" s="8">
        <f t="shared" si="93"/>
        <v>0.90701339512179735</v>
      </c>
      <c r="R717" s="8">
        <f t="shared" si="94"/>
        <v>0.98724530799136179</v>
      </c>
      <c r="S717" s="22">
        <f t="shared" si="95"/>
        <v>-1.8519488776749558E-2</v>
      </c>
      <c r="T717" s="25"/>
      <c r="U717" s="1" t="s">
        <v>2036</v>
      </c>
    </row>
    <row r="718" spans="1:21">
      <c r="A718" s="6" t="s">
        <v>2037</v>
      </c>
      <c r="B718" s="6" t="s">
        <v>2038</v>
      </c>
      <c r="C718" s="7">
        <v>1.0743107266178644</v>
      </c>
      <c r="D718" s="7">
        <v>1.0061202854259084</v>
      </c>
      <c r="E718" s="7">
        <v>0.91300845064949976</v>
      </c>
      <c r="F718" s="8">
        <v>1.1418239251490045</v>
      </c>
      <c r="G718" s="8">
        <f t="shared" si="88"/>
        <v>1.0402155060218865</v>
      </c>
      <c r="H718" s="8">
        <f t="shared" si="89"/>
        <v>1.0274161878992523</v>
      </c>
      <c r="I718" s="8">
        <f t="shared" si="90"/>
        <v>0.98769551304653891</v>
      </c>
      <c r="J718" s="22">
        <f t="shared" si="91"/>
        <v>-1.7861738828174947E-2</v>
      </c>
      <c r="K718" s="8"/>
      <c r="L718" s="8">
        <v>1.0798345616678124</v>
      </c>
      <c r="M718" s="8">
        <v>0.8871916291147941</v>
      </c>
      <c r="N718" s="8">
        <v>0.82896935342371691</v>
      </c>
      <c r="O718" s="8">
        <v>1.0055172735055826</v>
      </c>
      <c r="P718" s="8">
        <f t="shared" si="92"/>
        <v>0.98351309539130327</v>
      </c>
      <c r="Q718" s="8">
        <f t="shared" si="93"/>
        <v>0.91724331346464982</v>
      </c>
      <c r="R718" s="8">
        <f t="shared" si="94"/>
        <v>0.93261931921680497</v>
      </c>
      <c r="S718" s="22">
        <f t="shared" si="95"/>
        <v>-0.10063977946047192</v>
      </c>
      <c r="T718" s="25"/>
      <c r="U718" s="1" t="s">
        <v>2039</v>
      </c>
    </row>
    <row r="719" spans="1:21">
      <c r="A719" s="6" t="s">
        <v>2040</v>
      </c>
      <c r="B719" s="6" t="s">
        <v>2041</v>
      </c>
      <c r="C719" s="7">
        <v>0.94622282709744632</v>
      </c>
      <c r="D719" s="7">
        <v>0.95208289335419882</v>
      </c>
      <c r="E719" s="7">
        <v>1.0099259264307345</v>
      </c>
      <c r="F719" s="8">
        <v>1.0019706632580194</v>
      </c>
      <c r="G719" s="8">
        <f t="shared" si="88"/>
        <v>0.94915286022582257</v>
      </c>
      <c r="H719" s="8">
        <f t="shared" si="89"/>
        <v>1.005948294844377</v>
      </c>
      <c r="I719" s="8">
        <f t="shared" si="90"/>
        <v>1.0598380271488006</v>
      </c>
      <c r="J719" s="22">
        <f t="shared" si="91"/>
        <v>8.3843797538952519E-2</v>
      </c>
      <c r="K719" s="8"/>
      <c r="L719" s="8">
        <v>1.0036174905969777</v>
      </c>
      <c r="M719" s="8">
        <v>0.98531780015632842</v>
      </c>
      <c r="N719" s="8">
        <v>0.73293565255121551</v>
      </c>
      <c r="O719" s="8">
        <v>0.90067425500574172</v>
      </c>
      <c r="P719" s="8">
        <f t="shared" si="92"/>
        <v>0.994467645376653</v>
      </c>
      <c r="Q719" s="8">
        <f t="shared" si="93"/>
        <v>0.81680495377847862</v>
      </c>
      <c r="R719" s="8">
        <f t="shared" si="94"/>
        <v>0.8213489474251473</v>
      </c>
      <c r="S719" s="22">
        <f t="shared" si="95"/>
        <v>-0.28393281835874362</v>
      </c>
      <c r="T719" s="25"/>
      <c r="U719" s="1" t="s">
        <v>2042</v>
      </c>
    </row>
    <row r="720" spans="1:21">
      <c r="A720" s="6" t="s">
        <v>2043</v>
      </c>
      <c r="B720" s="6" t="s">
        <v>2044</v>
      </c>
      <c r="C720" s="7">
        <v>0.97267808352844554</v>
      </c>
      <c r="D720" s="7">
        <v>1.0200147166624969</v>
      </c>
      <c r="E720" s="7">
        <v>1.0229064104922461</v>
      </c>
      <c r="F720" s="8">
        <v>1.0849907341600147</v>
      </c>
      <c r="G720" s="8">
        <f t="shared" si="88"/>
        <v>0.99634640009547115</v>
      </c>
      <c r="H720" s="8">
        <f t="shared" si="89"/>
        <v>1.0539485723261304</v>
      </c>
      <c r="I720" s="8">
        <f t="shared" si="90"/>
        <v>1.0578133992606786</v>
      </c>
      <c r="J720" s="22">
        <f t="shared" si="91"/>
        <v>8.1085155141632698E-2</v>
      </c>
      <c r="K720" s="8"/>
      <c r="L720" s="8">
        <v>1.0130009061594698</v>
      </c>
      <c r="M720" s="8">
        <v>0.84651372911625666</v>
      </c>
      <c r="N720" s="8">
        <v>0.73849237287555203</v>
      </c>
      <c r="O720" s="8">
        <v>1.0050655586477633</v>
      </c>
      <c r="P720" s="8">
        <f t="shared" si="92"/>
        <v>0.92975731763786329</v>
      </c>
      <c r="Q720" s="8">
        <f t="shared" si="93"/>
        <v>0.8717789657616577</v>
      </c>
      <c r="R720" s="8">
        <f t="shared" si="94"/>
        <v>0.93764141375783405</v>
      </c>
      <c r="S720" s="22">
        <f t="shared" si="95"/>
        <v>-9.2891802747114213E-2</v>
      </c>
      <c r="T720" s="25"/>
      <c r="U720" s="1" t="s">
        <v>2045</v>
      </c>
    </row>
    <row r="721" spans="1:21">
      <c r="A721" s="6" t="s">
        <v>2046</v>
      </c>
      <c r="B721" s="6" t="s">
        <v>2047</v>
      </c>
      <c r="C721" s="7">
        <v>1.039591734733935</v>
      </c>
      <c r="D721" s="7">
        <v>0.98979904402763519</v>
      </c>
      <c r="E721" s="7">
        <v>1.0937587618089413</v>
      </c>
      <c r="F721" s="8">
        <v>0.9723589925987024</v>
      </c>
      <c r="G721" s="8">
        <f t="shared" si="88"/>
        <v>1.0146953893807851</v>
      </c>
      <c r="H721" s="8">
        <f t="shared" si="89"/>
        <v>1.0330588772038218</v>
      </c>
      <c r="I721" s="8">
        <f t="shared" si="90"/>
        <v>1.018097537463182</v>
      </c>
      <c r="J721" s="22">
        <f t="shared" si="91"/>
        <v>2.5875783489861543E-2</v>
      </c>
      <c r="K721" s="8"/>
      <c r="L721" s="8">
        <v>0.93622750610271643</v>
      </c>
      <c r="M721" s="8">
        <v>0.89928189661196245</v>
      </c>
      <c r="N721" s="8">
        <v>0.84250060367916213</v>
      </c>
      <c r="O721" s="8">
        <v>0.92104659509338849</v>
      </c>
      <c r="P721" s="8">
        <f t="shared" si="92"/>
        <v>0.9177547013573395</v>
      </c>
      <c r="Q721" s="8">
        <f t="shared" si="93"/>
        <v>0.88177359938627531</v>
      </c>
      <c r="R721" s="8">
        <f t="shared" si="94"/>
        <v>0.96079442369747725</v>
      </c>
      <c r="S721" s="22">
        <f t="shared" si="95"/>
        <v>-5.7700316998833739E-2</v>
      </c>
      <c r="T721" s="25"/>
      <c r="U721" s="1" t="s">
        <v>2048</v>
      </c>
    </row>
    <row r="722" spans="1:21">
      <c r="A722" s="6" t="s">
        <v>2049</v>
      </c>
      <c r="B722" s="6" t="s">
        <v>2050</v>
      </c>
      <c r="C722" s="7">
        <v>1.0729480893889238</v>
      </c>
      <c r="D722" s="7">
        <v>1.0892668252919187</v>
      </c>
      <c r="E722" s="7">
        <v>1.0638724015650101</v>
      </c>
      <c r="F722" s="8">
        <v>1.1422495683583933</v>
      </c>
      <c r="G722" s="8">
        <f t="shared" si="88"/>
        <v>1.0811074573404214</v>
      </c>
      <c r="H722" s="8">
        <f t="shared" si="89"/>
        <v>1.1030609849617017</v>
      </c>
      <c r="I722" s="8">
        <f t="shared" si="90"/>
        <v>1.0203065176104575</v>
      </c>
      <c r="J722" s="22">
        <f t="shared" si="91"/>
        <v>2.9002627692792885E-2</v>
      </c>
      <c r="K722" s="8"/>
      <c r="L722" s="8">
        <v>1.1966265601116366</v>
      </c>
      <c r="M722" s="8">
        <v>0.9380487543286895</v>
      </c>
      <c r="N722" s="8">
        <v>0.78977538716656537</v>
      </c>
      <c r="O722" s="8">
        <v>1.1222403927660689</v>
      </c>
      <c r="P722" s="8">
        <f t="shared" si="92"/>
        <v>1.0673376572201629</v>
      </c>
      <c r="Q722" s="8">
        <f t="shared" si="93"/>
        <v>0.95600788996631714</v>
      </c>
      <c r="R722" s="8">
        <f t="shared" si="94"/>
        <v>0.89569395729576373</v>
      </c>
      <c r="S722" s="22">
        <f t="shared" si="95"/>
        <v>-0.15892222166023642</v>
      </c>
      <c r="T722" s="25"/>
      <c r="U722" s="1" t="s">
        <v>2051</v>
      </c>
    </row>
    <row r="723" spans="1:21">
      <c r="A723" s="6" t="s">
        <v>2052</v>
      </c>
      <c r="B723" s="6" t="s">
        <v>80</v>
      </c>
      <c r="C723" s="7">
        <v>0.99161685718044967</v>
      </c>
      <c r="D723" s="7">
        <v>0.98009809045385421</v>
      </c>
      <c r="E723" s="7">
        <v>1.0537692364378959</v>
      </c>
      <c r="F723" s="8">
        <v>1.1803020712777412</v>
      </c>
      <c r="G723" s="8">
        <f t="shared" si="88"/>
        <v>0.98585747381715194</v>
      </c>
      <c r="H723" s="8">
        <f t="shared" si="89"/>
        <v>1.1170356538578186</v>
      </c>
      <c r="I723" s="8">
        <f t="shared" si="90"/>
        <v>1.133059984353272</v>
      </c>
      <c r="J723" s="22">
        <f t="shared" si="91"/>
        <v>0.18022423965645096</v>
      </c>
      <c r="K723" s="8"/>
      <c r="L723" s="8">
        <v>1.074530892002056</v>
      </c>
      <c r="M723" s="8">
        <v>1.0763068132882441</v>
      </c>
      <c r="N723" s="8">
        <v>1.0550557605131305</v>
      </c>
      <c r="O723" s="8">
        <v>1.318871870374775</v>
      </c>
      <c r="P723" s="8">
        <f t="shared" si="92"/>
        <v>1.07541885264515</v>
      </c>
      <c r="Q723" s="8">
        <f t="shared" si="93"/>
        <v>1.1869638154439528</v>
      </c>
      <c r="R723" s="8">
        <f t="shared" si="94"/>
        <v>1.1037223427173901</v>
      </c>
      <c r="S723" s="22">
        <f t="shared" si="95"/>
        <v>0.14237728700227109</v>
      </c>
      <c r="T723" s="25"/>
      <c r="U723" s="1">
        <v>0</v>
      </c>
    </row>
    <row r="724" spans="1:21">
      <c r="A724" s="6" t="s">
        <v>2053</v>
      </c>
      <c r="B724" s="6" t="s">
        <v>80</v>
      </c>
      <c r="C724" s="7">
        <v>1.0936953401005356</v>
      </c>
      <c r="D724" s="7">
        <v>1.0271568315424808</v>
      </c>
      <c r="E724" s="7">
        <v>1.3352192005298953</v>
      </c>
      <c r="F724" s="8">
        <v>0.97795783789143043</v>
      </c>
      <c r="G724" s="8">
        <f t="shared" si="88"/>
        <v>1.0604260858215082</v>
      </c>
      <c r="H724" s="8">
        <f t="shared" si="89"/>
        <v>1.1565885192106629</v>
      </c>
      <c r="I724" s="8">
        <f t="shared" si="90"/>
        <v>1.090682825210451</v>
      </c>
      <c r="J724" s="22">
        <f t="shared" si="91"/>
        <v>0.12523162134667931</v>
      </c>
      <c r="K724" s="8"/>
      <c r="L724" s="8">
        <v>1.2450271818865464</v>
      </c>
      <c r="M724" s="8">
        <v>1.2401494383063225</v>
      </c>
      <c r="N724" s="8">
        <v>1.5600386266293538</v>
      </c>
      <c r="O724" s="8">
        <v>1.3555511168296956</v>
      </c>
      <c r="P724" s="8">
        <f t="shared" si="92"/>
        <v>1.2425883100964343</v>
      </c>
      <c r="Q724" s="8">
        <f t="shared" si="93"/>
        <v>1.4577948717295248</v>
      </c>
      <c r="R724" s="8">
        <f t="shared" si="94"/>
        <v>1.1731921666125997</v>
      </c>
      <c r="S724" s="22">
        <f t="shared" si="95"/>
        <v>0.23043934338540897</v>
      </c>
      <c r="T724" s="25"/>
      <c r="U724" s="1">
        <v>0</v>
      </c>
    </row>
    <row r="725" spans="1:21">
      <c r="A725" s="6" t="s">
        <v>2054</v>
      </c>
      <c r="B725" s="6" t="s">
        <v>2055</v>
      </c>
      <c r="C725" s="7">
        <v>1.0769292506937549</v>
      </c>
      <c r="D725" s="7">
        <v>1.1952354399944976</v>
      </c>
      <c r="E725" s="7">
        <v>1.129152388610565</v>
      </c>
      <c r="F725" s="8">
        <v>1.0569768626251719</v>
      </c>
      <c r="G725" s="8">
        <f t="shared" si="88"/>
        <v>1.1360823453441262</v>
      </c>
      <c r="H725" s="8">
        <f t="shared" si="89"/>
        <v>1.0930646256178684</v>
      </c>
      <c r="I725" s="8">
        <f t="shared" si="90"/>
        <v>0.9621350336949146</v>
      </c>
      <c r="J725" s="22">
        <f t="shared" si="91"/>
        <v>-5.5688707367511199E-2</v>
      </c>
      <c r="K725" s="8"/>
      <c r="L725" s="8">
        <v>1.0107014130176732</v>
      </c>
      <c r="M725" s="8">
        <v>0.8367635133927338</v>
      </c>
      <c r="N725" s="8">
        <v>0.45819612933955844</v>
      </c>
      <c r="O725" s="8">
        <v>0.61898486966967647</v>
      </c>
      <c r="P725" s="8">
        <f t="shared" si="92"/>
        <v>0.92373246320520352</v>
      </c>
      <c r="Q725" s="8">
        <f t="shared" si="93"/>
        <v>0.53859049950461746</v>
      </c>
      <c r="R725" s="8">
        <f t="shared" si="94"/>
        <v>0.5830589710312819</v>
      </c>
      <c r="S725" s="22">
        <f t="shared" si="95"/>
        <v>-0.77828628879974826</v>
      </c>
      <c r="T725" s="25"/>
      <c r="U725" s="1" t="s">
        <v>2056</v>
      </c>
    </row>
    <row r="726" spans="1:21">
      <c r="A726" s="6" t="s">
        <v>2057</v>
      </c>
      <c r="B726" s="6" t="s">
        <v>2058</v>
      </c>
      <c r="C726" s="7">
        <v>6.3120872927700855E-2</v>
      </c>
      <c r="D726" s="7">
        <v>5.3238933806077561E-2</v>
      </c>
      <c r="E726" s="7">
        <v>0.58703165055913598</v>
      </c>
      <c r="F726" s="8">
        <v>0.62969001561254523</v>
      </c>
      <c r="G726" s="8">
        <f t="shared" si="88"/>
        <v>5.8179903366889205E-2</v>
      </c>
      <c r="H726" s="8">
        <f t="shared" si="89"/>
        <v>0.60836083308584055</v>
      </c>
      <c r="I726" s="8">
        <f t="shared" si="90"/>
        <v>10.456545952808597</v>
      </c>
      <c r="J726" s="22">
        <f t="shared" si="91"/>
        <v>3.3863344684905683</v>
      </c>
      <c r="K726" s="8"/>
      <c r="L726" s="8">
        <v>1.6615692379432594E-2</v>
      </c>
      <c r="M726" s="8">
        <v>2.5350560881159494E-2</v>
      </c>
      <c r="N726" s="8">
        <v>1.3870591954641328E-2</v>
      </c>
      <c r="O726" s="8">
        <v>1.4635561393342711E-2</v>
      </c>
      <c r="P726" s="8">
        <f t="shared" si="92"/>
        <v>2.0983126630296042E-2</v>
      </c>
      <c r="Q726" s="8">
        <f t="shared" si="93"/>
        <v>1.4253076673992018E-2</v>
      </c>
      <c r="R726" s="8">
        <f t="shared" si="94"/>
        <v>0.67926372104207844</v>
      </c>
      <c r="S726" s="22">
        <f t="shared" si="95"/>
        <v>-0.55795629188666351</v>
      </c>
      <c r="T726" s="25"/>
      <c r="U726" s="1" t="s">
        <v>2059</v>
      </c>
    </row>
    <row r="727" spans="1:21">
      <c r="A727" s="6" t="s">
        <v>2060</v>
      </c>
      <c r="B727" s="6" t="s">
        <v>2061</v>
      </c>
      <c r="C727" s="7">
        <v>1.0113845161514408</v>
      </c>
      <c r="D727" s="7">
        <v>1.0511734502410184</v>
      </c>
      <c r="E727" s="7">
        <v>1.016702598400661</v>
      </c>
      <c r="F727" s="8">
        <v>0.98905075476380622</v>
      </c>
      <c r="G727" s="8">
        <f t="shared" si="88"/>
        <v>1.0312789831962297</v>
      </c>
      <c r="H727" s="8">
        <f t="shared" si="89"/>
        <v>1.0028766765822337</v>
      </c>
      <c r="I727" s="8">
        <f t="shared" si="90"/>
        <v>0.97245914337750872</v>
      </c>
      <c r="J727" s="22">
        <f t="shared" si="91"/>
        <v>-4.029045649532878E-2</v>
      </c>
      <c r="K727" s="8"/>
      <c r="L727" s="8">
        <v>0.71035793781980461</v>
      </c>
      <c r="M727" s="8">
        <v>1.0795828857713476</v>
      </c>
      <c r="N727" s="8">
        <v>0.86167340968374284</v>
      </c>
      <c r="O727" s="8">
        <v>0.89828016625929985</v>
      </c>
      <c r="P727" s="8">
        <f t="shared" si="92"/>
        <v>0.89497041179557613</v>
      </c>
      <c r="Q727" s="8">
        <f t="shared" si="93"/>
        <v>0.87997678797152135</v>
      </c>
      <c r="R727" s="8">
        <f t="shared" si="94"/>
        <v>0.98324679383090097</v>
      </c>
      <c r="S727" s="22">
        <f t="shared" si="95"/>
        <v>-2.4374518048493242E-2</v>
      </c>
      <c r="T727" s="25"/>
      <c r="U727" s="1" t="s">
        <v>2062</v>
      </c>
    </row>
    <row r="728" spans="1:21">
      <c r="A728" s="6" t="s">
        <v>2063</v>
      </c>
      <c r="B728" s="6" t="s">
        <v>2064</v>
      </c>
      <c r="C728" s="7">
        <v>1.0751333325026164</v>
      </c>
      <c r="D728" s="7">
        <v>1.0388822226086516</v>
      </c>
      <c r="E728" s="7">
        <v>1.0797692631889875</v>
      </c>
      <c r="F728" s="8">
        <v>1.0369257932844314</v>
      </c>
      <c r="G728" s="8">
        <f t="shared" si="88"/>
        <v>1.0570077775556341</v>
      </c>
      <c r="H728" s="8">
        <f t="shared" si="89"/>
        <v>1.0583475282367094</v>
      </c>
      <c r="I728" s="8">
        <f t="shared" si="90"/>
        <v>1.0012674936831341</v>
      </c>
      <c r="J728" s="22">
        <f t="shared" si="91"/>
        <v>1.8274489555128422E-3</v>
      </c>
      <c r="K728" s="8"/>
      <c r="L728" s="8">
        <v>0.86286625715959664</v>
      </c>
      <c r="M728" s="8">
        <v>1.0705736864428126</v>
      </c>
      <c r="N728" s="8">
        <v>1.0065298975280859</v>
      </c>
      <c r="O728" s="8">
        <v>0.75160835192539932</v>
      </c>
      <c r="P728" s="8">
        <f t="shared" si="92"/>
        <v>0.96671997180120461</v>
      </c>
      <c r="Q728" s="8">
        <f t="shared" si="93"/>
        <v>0.87906912472674259</v>
      </c>
      <c r="R728" s="8">
        <f t="shared" si="94"/>
        <v>0.90933170966650256</v>
      </c>
      <c r="S728" s="22">
        <f t="shared" si="95"/>
        <v>-0.13712143237612659</v>
      </c>
      <c r="T728" s="25"/>
      <c r="U728" s="1" t="s">
        <v>2065</v>
      </c>
    </row>
    <row r="729" spans="1:21">
      <c r="A729" s="6" t="s">
        <v>2066</v>
      </c>
      <c r="B729" s="6" t="s">
        <v>2067</v>
      </c>
      <c r="C729" s="7">
        <v>1.0966843507962765</v>
      </c>
      <c r="D729" s="7">
        <v>1.1267440671929614</v>
      </c>
      <c r="E729" s="7">
        <v>1.150953612844267</v>
      </c>
      <c r="F729" s="8">
        <v>1.1285111152307401</v>
      </c>
      <c r="G729" s="8">
        <f t="shared" si="88"/>
        <v>1.111714208994619</v>
      </c>
      <c r="H729" s="8">
        <f t="shared" si="89"/>
        <v>1.1397323640375037</v>
      </c>
      <c r="I729" s="8">
        <f t="shared" si="90"/>
        <v>1.0252026598348716</v>
      </c>
      <c r="J729" s="22">
        <f t="shared" si="91"/>
        <v>3.5909126744079846E-2</v>
      </c>
      <c r="K729" s="8"/>
      <c r="L729" s="8">
        <v>0.64827162299129981</v>
      </c>
      <c r="M729" s="8">
        <v>0.65104140429106994</v>
      </c>
      <c r="N729" s="8">
        <v>0.57717781262019729</v>
      </c>
      <c r="O729" s="8">
        <v>0.49937077531914714</v>
      </c>
      <c r="P729" s="8">
        <f t="shared" si="92"/>
        <v>0.64965651364118493</v>
      </c>
      <c r="Q729" s="8">
        <f t="shared" si="93"/>
        <v>0.53827429396967219</v>
      </c>
      <c r="R729" s="8">
        <f t="shared" si="94"/>
        <v>0.82855213896457469</v>
      </c>
      <c r="S729" s="22">
        <f t="shared" si="95"/>
        <v>-0.27133560895681502</v>
      </c>
      <c r="T729" s="25"/>
      <c r="U729" s="1" t="s">
        <v>2068</v>
      </c>
    </row>
    <row r="730" spans="1:21">
      <c r="A730" s="6" t="s">
        <v>2069</v>
      </c>
      <c r="B730" s="6" t="s">
        <v>2070</v>
      </c>
      <c r="C730" s="7">
        <v>0.51959178575433818</v>
      </c>
      <c r="D730" s="7">
        <v>0.72048598681021214</v>
      </c>
      <c r="E730" s="7">
        <v>0.52113974500717064</v>
      </c>
      <c r="F730" s="8">
        <v>0.5470235559921961</v>
      </c>
      <c r="G730" s="8">
        <f t="shared" si="88"/>
        <v>0.62003888628227521</v>
      </c>
      <c r="H730" s="8">
        <f t="shared" si="89"/>
        <v>0.53408165049968337</v>
      </c>
      <c r="I730" s="8">
        <f t="shared" si="90"/>
        <v>0.86136799209806425</v>
      </c>
      <c r="J730" s="22">
        <f t="shared" si="91"/>
        <v>-0.21529837996715401</v>
      </c>
      <c r="K730" s="8"/>
      <c r="L730" s="8">
        <v>0.83208271993877281</v>
      </c>
      <c r="M730" s="8">
        <v>1.3011467878726817</v>
      </c>
      <c r="N730" s="8">
        <v>0.71155712550186012</v>
      </c>
      <c r="O730" s="8">
        <v>0.79203683170021943</v>
      </c>
      <c r="P730" s="8">
        <f t="shared" si="92"/>
        <v>1.0666147539057271</v>
      </c>
      <c r="Q730" s="8">
        <f t="shared" si="93"/>
        <v>0.75179697860103978</v>
      </c>
      <c r="R730" s="8">
        <f t="shared" si="94"/>
        <v>0.70484397093525242</v>
      </c>
      <c r="S730" s="22">
        <f t="shared" si="95"/>
        <v>-0.50462416683863132</v>
      </c>
      <c r="T730" s="25"/>
      <c r="U730" s="1" t="s">
        <v>2071</v>
      </c>
    </row>
    <row r="731" spans="1:21">
      <c r="A731" s="6" t="s">
        <v>2072</v>
      </c>
      <c r="B731" s="13" t="s">
        <v>2073</v>
      </c>
      <c r="C731" s="14">
        <v>1.0328476223658141</v>
      </c>
      <c r="D731" s="14">
        <v>1.0575736905119899</v>
      </c>
      <c r="E731" s="14">
        <v>1.0288823805867633</v>
      </c>
      <c r="F731" s="8">
        <v>1.0843751885956678</v>
      </c>
      <c r="G731" s="8">
        <f t="shared" si="88"/>
        <v>1.0452106564389019</v>
      </c>
      <c r="H731" s="8">
        <f t="shared" si="89"/>
        <v>1.0566287845912155</v>
      </c>
      <c r="I731" s="8">
        <f t="shared" si="90"/>
        <v>1.0109242362599093</v>
      </c>
      <c r="J731" s="22">
        <f t="shared" si="91"/>
        <v>1.5674878479404346E-2</v>
      </c>
      <c r="K731" s="8"/>
      <c r="L731" s="8">
        <v>0.66266199942705839</v>
      </c>
      <c r="M731" s="8">
        <v>0.98715084071235071</v>
      </c>
      <c r="N731" s="8">
        <v>0.80725148467516539</v>
      </c>
      <c r="O731" s="8">
        <v>0.83201359661722041</v>
      </c>
      <c r="P731" s="8">
        <f t="shared" si="92"/>
        <v>0.82490642006970449</v>
      </c>
      <c r="Q731" s="8">
        <f t="shared" si="93"/>
        <v>0.81963254064619284</v>
      </c>
      <c r="R731" s="8">
        <f t="shared" si="94"/>
        <v>0.9936066936864596</v>
      </c>
      <c r="S731" s="22">
        <f t="shared" si="95"/>
        <v>-9.2532022108800151E-3</v>
      </c>
      <c r="T731" s="25"/>
      <c r="U731" s="1" t="s">
        <v>2074</v>
      </c>
    </row>
    <row r="732" spans="1:21">
      <c r="A732" s="6" t="s">
        <v>2075</v>
      </c>
      <c r="B732" s="6" t="s">
        <v>2076</v>
      </c>
      <c r="C732" s="7">
        <v>1.1997926609308613</v>
      </c>
      <c r="D732" s="7">
        <v>1.0856769066330536</v>
      </c>
      <c r="E732" s="7">
        <v>0.80727674446741904</v>
      </c>
      <c r="F732" s="8">
        <v>0.93539351695256245</v>
      </c>
      <c r="G732" s="8">
        <f t="shared" si="88"/>
        <v>1.1427347837819575</v>
      </c>
      <c r="H732" s="8">
        <f t="shared" si="89"/>
        <v>0.8713351307099908</v>
      </c>
      <c r="I732" s="8">
        <f t="shared" si="90"/>
        <v>0.76249987580342016</v>
      </c>
      <c r="J732" s="22">
        <f t="shared" si="91"/>
        <v>-0.39119099231176052</v>
      </c>
      <c r="K732" s="8"/>
      <c r="L732" s="8">
        <v>0.81876791287578998</v>
      </c>
      <c r="M732" s="8">
        <v>0.95041202786611645</v>
      </c>
      <c r="N732" s="8">
        <v>0.93518330527210192</v>
      </c>
      <c r="O732" s="8">
        <v>1.3649467858723354</v>
      </c>
      <c r="P732" s="8">
        <f t="shared" si="92"/>
        <v>0.88458997037095322</v>
      </c>
      <c r="Q732" s="8">
        <f t="shared" si="93"/>
        <v>1.1500650455722186</v>
      </c>
      <c r="R732" s="8">
        <f t="shared" si="94"/>
        <v>1.3001108808524453</v>
      </c>
      <c r="S732" s="22">
        <f t="shared" si="95"/>
        <v>0.37863466974165261</v>
      </c>
      <c r="T732" s="25"/>
      <c r="U732" s="1" t="s">
        <v>2077</v>
      </c>
    </row>
    <row r="733" spans="1:21">
      <c r="A733" s="6" t="s">
        <v>2078</v>
      </c>
      <c r="B733" s="6" t="s">
        <v>2079</v>
      </c>
      <c r="C733" s="7">
        <v>1.0928413370446097</v>
      </c>
      <c r="D733" s="7">
        <v>1.0181348818481348</v>
      </c>
      <c r="E733" s="7">
        <v>1.0072699397220601</v>
      </c>
      <c r="F733" s="8">
        <v>1.0087220193946307</v>
      </c>
      <c r="G733" s="8">
        <f t="shared" si="88"/>
        <v>1.0554881094463724</v>
      </c>
      <c r="H733" s="8">
        <f t="shared" si="89"/>
        <v>1.0079959795583453</v>
      </c>
      <c r="I733" s="8">
        <f t="shared" si="90"/>
        <v>0.95500458085412465</v>
      </c>
      <c r="J733" s="22">
        <f t="shared" si="91"/>
        <v>-6.6420441571773348E-2</v>
      </c>
      <c r="K733" s="8"/>
      <c r="L733" s="8">
        <v>0.85233309502620636</v>
      </c>
      <c r="M733" s="8">
        <v>1.3013027913242581</v>
      </c>
      <c r="N733" s="8">
        <v>0.8194677858462257</v>
      </c>
      <c r="O733" s="8">
        <v>0.86065231860295888</v>
      </c>
      <c r="P733" s="8">
        <f t="shared" si="92"/>
        <v>1.0768179431752323</v>
      </c>
      <c r="Q733" s="8">
        <f t="shared" si="93"/>
        <v>0.84006005222459224</v>
      </c>
      <c r="R733" s="8">
        <f t="shared" si="94"/>
        <v>0.78013192253046248</v>
      </c>
      <c r="S733" s="22">
        <f t="shared" si="95"/>
        <v>-0.3582099864414392</v>
      </c>
      <c r="T733" s="25"/>
      <c r="U733" s="1" t="s">
        <v>2080</v>
      </c>
    </row>
    <row r="734" spans="1:21">
      <c r="A734" s="6" t="s">
        <v>2081</v>
      </c>
      <c r="B734" s="6" t="s">
        <v>2082</v>
      </c>
      <c r="C734" s="7">
        <v>1.0288099461528704</v>
      </c>
      <c r="D734" s="7">
        <v>0.92711692663904366</v>
      </c>
      <c r="E734" s="7">
        <v>1.0141637875761929</v>
      </c>
      <c r="F734" s="8">
        <v>1.0066592869183626</v>
      </c>
      <c r="G734" s="8">
        <f t="shared" si="88"/>
        <v>0.97796343639595706</v>
      </c>
      <c r="H734" s="8">
        <f t="shared" si="89"/>
        <v>1.0104115372472777</v>
      </c>
      <c r="I734" s="8">
        <f t="shared" si="90"/>
        <v>1.0331792576733749</v>
      </c>
      <c r="J734" s="22">
        <f t="shared" si="91"/>
        <v>4.7090585006660211E-2</v>
      </c>
      <c r="K734" s="8"/>
      <c r="L734" s="8">
        <v>1.0240903972787785</v>
      </c>
      <c r="M734" s="8">
        <v>0.88348654713985542</v>
      </c>
      <c r="N734" s="8">
        <v>0.78383690743063328</v>
      </c>
      <c r="O734" s="8">
        <v>0.91702633285879742</v>
      </c>
      <c r="P734" s="8">
        <f t="shared" si="92"/>
        <v>0.95378847220931695</v>
      </c>
      <c r="Q734" s="8">
        <f t="shared" si="93"/>
        <v>0.85043162014471529</v>
      </c>
      <c r="R734" s="8">
        <f t="shared" si="94"/>
        <v>0.89163545683752077</v>
      </c>
      <c r="S734" s="22">
        <f t="shared" si="95"/>
        <v>-0.16547410683774719</v>
      </c>
      <c r="T734" s="25"/>
      <c r="U734" s="1" t="s">
        <v>2083</v>
      </c>
    </row>
    <row r="735" spans="1:21">
      <c r="A735" s="6" t="s">
        <v>2084</v>
      </c>
      <c r="B735" s="6" t="s">
        <v>2085</v>
      </c>
      <c r="C735" s="7">
        <v>0.96945045433178434</v>
      </c>
      <c r="D735" s="7">
        <v>0.98810153432904746</v>
      </c>
      <c r="E735" s="7">
        <v>0.98245469135572039</v>
      </c>
      <c r="F735" s="8">
        <v>0.94037026832387627</v>
      </c>
      <c r="G735" s="8">
        <f t="shared" si="88"/>
        <v>0.97877599433041595</v>
      </c>
      <c r="H735" s="8">
        <f t="shared" si="89"/>
        <v>0.96141247983979827</v>
      </c>
      <c r="I735" s="8">
        <f t="shared" si="90"/>
        <v>0.98225997103402996</v>
      </c>
      <c r="J735" s="22">
        <f t="shared" si="91"/>
        <v>-2.5823187165645606E-2</v>
      </c>
      <c r="K735" s="8"/>
      <c r="L735" s="8">
        <v>0.93667256929145126</v>
      </c>
      <c r="M735" s="8">
        <v>0.93598170859530261</v>
      </c>
      <c r="N735" s="8">
        <v>0.95189588395751079</v>
      </c>
      <c r="O735" s="8">
        <v>1.0547090215220956</v>
      </c>
      <c r="P735" s="8">
        <f t="shared" si="92"/>
        <v>0.93632713894337694</v>
      </c>
      <c r="Q735" s="8">
        <f t="shared" si="93"/>
        <v>1.0033024527398031</v>
      </c>
      <c r="R735" s="8">
        <f t="shared" si="94"/>
        <v>1.0715298222285923</v>
      </c>
      <c r="S735" s="22">
        <f t="shared" si="95"/>
        <v>9.9672002868009119E-2</v>
      </c>
      <c r="T735" s="25"/>
      <c r="U735" s="1" t="s">
        <v>2086</v>
      </c>
    </row>
    <row r="736" spans="1:21">
      <c r="A736" s="6" t="s">
        <v>2087</v>
      </c>
      <c r="B736" s="6" t="s">
        <v>2088</v>
      </c>
      <c r="C736" s="7">
        <v>0.92352895177306205</v>
      </c>
      <c r="D736" s="7">
        <v>0.89685724449347781</v>
      </c>
      <c r="E736" s="7">
        <v>0.93430191271830809</v>
      </c>
      <c r="F736" s="8">
        <v>1.1113871614991802</v>
      </c>
      <c r="G736" s="8">
        <f t="shared" si="88"/>
        <v>0.91019309813326998</v>
      </c>
      <c r="H736" s="8">
        <f t="shared" si="89"/>
        <v>1.0228445371087442</v>
      </c>
      <c r="I736" s="8">
        <f t="shared" si="90"/>
        <v>1.1237665273517377</v>
      </c>
      <c r="J736" s="22">
        <f t="shared" si="91"/>
        <v>0.16834233376246124</v>
      </c>
      <c r="K736" s="8"/>
      <c r="L736" s="8">
        <v>0.77355691062014642</v>
      </c>
      <c r="M736" s="8">
        <v>0.87330732192449756</v>
      </c>
      <c r="N736" s="8">
        <v>0.97586189146323654</v>
      </c>
      <c r="O736" s="8">
        <v>1.1330815493537301</v>
      </c>
      <c r="P736" s="8">
        <f t="shared" si="92"/>
        <v>0.82343211627232193</v>
      </c>
      <c r="Q736" s="8">
        <f t="shared" si="93"/>
        <v>1.0544717204084832</v>
      </c>
      <c r="R736" s="8">
        <f t="shared" si="94"/>
        <v>1.2805812398744876</v>
      </c>
      <c r="S736" s="22">
        <f t="shared" si="95"/>
        <v>0.35679878018743427</v>
      </c>
      <c r="T736" s="25"/>
      <c r="U736" s="1" t="s">
        <v>2089</v>
      </c>
    </row>
    <row r="737" spans="1:21">
      <c r="A737" s="6" t="s">
        <v>2090</v>
      </c>
      <c r="B737" s="6" t="s">
        <v>2091</v>
      </c>
      <c r="C737" s="7">
        <v>0.96475343752419174</v>
      </c>
      <c r="D737" s="7">
        <v>0.95921872116122509</v>
      </c>
      <c r="E737" s="7">
        <v>0.97455182894314518</v>
      </c>
      <c r="F737" s="8">
        <v>1.0058996774985305</v>
      </c>
      <c r="G737" s="8">
        <f t="shared" si="88"/>
        <v>0.96198607934270841</v>
      </c>
      <c r="H737" s="8">
        <f t="shared" si="89"/>
        <v>0.99022575322083783</v>
      </c>
      <c r="I737" s="8">
        <f t="shared" si="90"/>
        <v>1.0293555951427329</v>
      </c>
      <c r="J737" s="22">
        <f t="shared" si="91"/>
        <v>4.1741453298104608E-2</v>
      </c>
      <c r="K737" s="8"/>
      <c r="L737" s="8">
        <v>1.0448971013521304</v>
      </c>
      <c r="M737" s="8">
        <v>1.2647589827924943</v>
      </c>
      <c r="N737" s="8">
        <v>1.0148861868707901</v>
      </c>
      <c r="O737" s="8">
        <v>0.98220878684211088</v>
      </c>
      <c r="P737" s="8">
        <f t="shared" si="92"/>
        <v>1.1548280420723125</v>
      </c>
      <c r="Q737" s="8">
        <f t="shared" si="93"/>
        <v>0.99854748685645056</v>
      </c>
      <c r="R737" s="8">
        <f t="shared" si="94"/>
        <v>0.86467201217644485</v>
      </c>
      <c r="S737" s="22">
        <f t="shared" si="95"/>
        <v>-0.20977510218403814</v>
      </c>
      <c r="T737" s="25"/>
      <c r="U737" s="1" t="s">
        <v>2092</v>
      </c>
    </row>
    <row r="738" spans="1:21">
      <c r="A738" s="6" t="s">
        <v>2093</v>
      </c>
      <c r="B738" s="6" t="s">
        <v>2094</v>
      </c>
      <c r="C738" s="7">
        <v>0.97175500669593728</v>
      </c>
      <c r="D738" s="7">
        <v>1.0779752422598314</v>
      </c>
      <c r="E738" s="7">
        <v>0.84572996380109411</v>
      </c>
      <c r="F738" s="8">
        <v>0.9896401068998828</v>
      </c>
      <c r="G738" s="8">
        <f t="shared" si="88"/>
        <v>1.0248651244778844</v>
      </c>
      <c r="H738" s="8">
        <f t="shared" si="89"/>
        <v>0.9176850353504884</v>
      </c>
      <c r="I738" s="8">
        <f t="shared" si="90"/>
        <v>0.89542029817631008</v>
      </c>
      <c r="J738" s="22">
        <f t="shared" si="91"/>
        <v>-0.15936307199281097</v>
      </c>
      <c r="K738" s="8"/>
      <c r="L738" s="8">
        <v>1.031619382888209</v>
      </c>
      <c r="M738" s="8">
        <v>0.84101460744818979</v>
      </c>
      <c r="N738" s="8">
        <v>1.2374095061186445</v>
      </c>
      <c r="O738" s="8">
        <v>1.0315360493159695</v>
      </c>
      <c r="P738" s="8">
        <f t="shared" si="92"/>
        <v>0.93631699516819933</v>
      </c>
      <c r="Q738" s="8">
        <f t="shared" si="93"/>
        <v>1.1344727777173071</v>
      </c>
      <c r="R738" s="8">
        <f t="shared" si="94"/>
        <v>1.2116332220515886</v>
      </c>
      <c r="S738" s="22">
        <f t="shared" si="95"/>
        <v>0.27695304137730048</v>
      </c>
      <c r="T738" s="25"/>
      <c r="U738" s="1" t="s">
        <v>2095</v>
      </c>
    </row>
    <row r="739" spans="1:21">
      <c r="A739" s="6" t="s">
        <v>2096</v>
      </c>
      <c r="B739" s="13" t="s">
        <v>2097</v>
      </c>
      <c r="C739" s="14">
        <v>0.95240179038443973</v>
      </c>
      <c r="D739" s="14">
        <v>0.92037089735539679</v>
      </c>
      <c r="E739" s="14">
        <v>0.92205703281875795</v>
      </c>
      <c r="F739" s="8">
        <v>0.97592784720049985</v>
      </c>
      <c r="G739" s="8">
        <f t="shared" si="88"/>
        <v>0.93638634386991826</v>
      </c>
      <c r="H739" s="8">
        <f t="shared" si="89"/>
        <v>0.9489924400096289</v>
      </c>
      <c r="I739" s="8">
        <f t="shared" si="90"/>
        <v>1.0134624946446911</v>
      </c>
      <c r="J739" s="22">
        <f t="shared" si="91"/>
        <v>1.9292699765537491E-2</v>
      </c>
      <c r="K739" s="8"/>
      <c r="L739" s="8">
        <v>0.86831828122159793</v>
      </c>
      <c r="M739" s="8">
        <v>1.023928654421479</v>
      </c>
      <c r="N739" s="8">
        <v>0.85361404432783505</v>
      </c>
      <c r="O739" s="8">
        <v>1.1671408496332993</v>
      </c>
      <c r="P739" s="8">
        <f t="shared" si="92"/>
        <v>0.94612346782153844</v>
      </c>
      <c r="Q739" s="8">
        <f t="shared" si="93"/>
        <v>1.0103774469805673</v>
      </c>
      <c r="R739" s="8">
        <f t="shared" si="94"/>
        <v>1.0679128901716965</v>
      </c>
      <c r="S739" s="22">
        <f t="shared" si="95"/>
        <v>9.4793970955479173E-2</v>
      </c>
      <c r="T739" s="25"/>
      <c r="U739" s="1" t="s">
        <v>2098</v>
      </c>
    </row>
    <row r="740" spans="1:21">
      <c r="A740" s="6" t="s">
        <v>2099</v>
      </c>
      <c r="B740" s="6" t="s">
        <v>2100</v>
      </c>
      <c r="C740" s="7">
        <v>0.93247086612334518</v>
      </c>
      <c r="D740" s="7">
        <v>0.87588985617944048</v>
      </c>
      <c r="E740" s="7">
        <v>1.0024917675549843</v>
      </c>
      <c r="F740" s="8">
        <v>0.95994985595575555</v>
      </c>
      <c r="G740" s="8">
        <f t="shared" si="88"/>
        <v>0.90418036115139278</v>
      </c>
      <c r="H740" s="8">
        <f t="shared" si="89"/>
        <v>0.9812208117553699</v>
      </c>
      <c r="I740" s="8">
        <f t="shared" si="90"/>
        <v>1.0852047378090286</v>
      </c>
      <c r="J740" s="22">
        <f t="shared" si="91"/>
        <v>0.11796725129366771</v>
      </c>
      <c r="K740" s="8"/>
      <c r="L740" s="8">
        <v>1.1533070764081159</v>
      </c>
      <c r="M740" s="8">
        <v>1.2324272674532923</v>
      </c>
      <c r="N740" s="8">
        <v>0.988417534333493</v>
      </c>
      <c r="O740" s="8">
        <v>1.3276803101022498</v>
      </c>
      <c r="P740" s="8">
        <f t="shared" si="92"/>
        <v>1.192867171930704</v>
      </c>
      <c r="Q740" s="8">
        <f t="shared" si="93"/>
        <v>1.1580489222178714</v>
      </c>
      <c r="R740" s="8">
        <f t="shared" si="94"/>
        <v>0.97081129355209106</v>
      </c>
      <c r="S740" s="22">
        <f t="shared" si="95"/>
        <v>-4.2737203274268012E-2</v>
      </c>
      <c r="T740" s="25"/>
      <c r="U740" s="1" t="s">
        <v>2101</v>
      </c>
    </row>
    <row r="741" spans="1:21">
      <c r="A741" s="6" t="s">
        <v>2102</v>
      </c>
      <c r="B741" s="6" t="s">
        <v>2103</v>
      </c>
      <c r="C741" s="7">
        <v>1.0030642657903979</v>
      </c>
      <c r="D741" s="7">
        <v>0.97888468537301188</v>
      </c>
      <c r="E741" s="7">
        <v>0.98710266809590053</v>
      </c>
      <c r="F741" s="8">
        <v>0.94383434921259335</v>
      </c>
      <c r="G741" s="8">
        <f t="shared" si="88"/>
        <v>0.99097447558170493</v>
      </c>
      <c r="H741" s="8">
        <f t="shared" si="89"/>
        <v>0.96546850865424694</v>
      </c>
      <c r="I741" s="8">
        <f t="shared" si="90"/>
        <v>0.9742617317035478</v>
      </c>
      <c r="J741" s="22">
        <f t="shared" si="91"/>
        <v>-3.7618695982272035E-2</v>
      </c>
      <c r="K741" s="8"/>
      <c r="L741" s="8">
        <v>0.73298198324715702</v>
      </c>
      <c r="M741" s="8">
        <v>1.1011503629517803</v>
      </c>
      <c r="N741" s="8">
        <v>0.69921357119360128</v>
      </c>
      <c r="O741" s="8">
        <v>1.1184008164746055</v>
      </c>
      <c r="P741" s="8">
        <f t="shared" si="92"/>
        <v>0.9170661730994687</v>
      </c>
      <c r="Q741" s="8">
        <f t="shared" si="93"/>
        <v>0.90880719383410336</v>
      </c>
      <c r="R741" s="8">
        <f t="shared" si="94"/>
        <v>0.99099412942312337</v>
      </c>
      <c r="S741" s="22">
        <f t="shared" si="95"/>
        <v>-1.3051583870385174E-2</v>
      </c>
      <c r="T741" s="25"/>
      <c r="U741" s="1" t="s">
        <v>2104</v>
      </c>
    </row>
    <row r="742" spans="1:21">
      <c r="A742" s="6" t="s">
        <v>2105</v>
      </c>
      <c r="B742" s="6" t="s">
        <v>2106</v>
      </c>
      <c r="C742" s="7">
        <v>0.15641442735337252</v>
      </c>
      <c r="D742" s="7">
        <v>0.16073530723738533</v>
      </c>
      <c r="E742" s="7">
        <v>0.29016003815132868</v>
      </c>
      <c r="F742" s="8">
        <v>0.27017211589166379</v>
      </c>
      <c r="G742" s="8">
        <f t="shared" si="88"/>
        <v>0.15857486729537892</v>
      </c>
      <c r="H742" s="8">
        <f t="shared" si="89"/>
        <v>0.28016607702149621</v>
      </c>
      <c r="I742" s="8">
        <f t="shared" si="90"/>
        <v>1.7667747846802746</v>
      </c>
      <c r="J742" s="22">
        <f t="shared" si="91"/>
        <v>0.82111814756750157</v>
      </c>
      <c r="K742" s="8"/>
      <c r="L742" s="8">
        <v>0.52869797961788312</v>
      </c>
      <c r="M742" s="8">
        <v>0.64023816526940658</v>
      </c>
      <c r="N742" s="8">
        <v>0.52368907728440928</v>
      </c>
      <c r="O742" s="8">
        <v>0.81647460550823925</v>
      </c>
      <c r="P742" s="8">
        <f t="shared" si="92"/>
        <v>0.58446807244364485</v>
      </c>
      <c r="Q742" s="8">
        <f t="shared" si="93"/>
        <v>0.67008184139632432</v>
      </c>
      <c r="R742" s="8">
        <f t="shared" si="94"/>
        <v>1.1464815153969501</v>
      </c>
      <c r="S742" s="22">
        <f t="shared" si="95"/>
        <v>0.19721309468309231</v>
      </c>
      <c r="T742" s="25"/>
      <c r="U742" s="1" t="s">
        <v>2107</v>
      </c>
    </row>
    <row r="743" spans="1:21">
      <c r="A743" s="6" t="s">
        <v>2108</v>
      </c>
      <c r="B743" s="6" t="s">
        <v>2109</v>
      </c>
      <c r="C743" s="7">
        <v>0.95036097425814614</v>
      </c>
      <c r="D743" s="7">
        <v>0.97464719819950019</v>
      </c>
      <c r="E743" s="7">
        <v>0.97921933499735969</v>
      </c>
      <c r="F743" s="8">
        <v>0.91254629914399166</v>
      </c>
      <c r="G743" s="8">
        <f t="shared" si="88"/>
        <v>0.96250408622882322</v>
      </c>
      <c r="H743" s="8">
        <f t="shared" si="89"/>
        <v>0.94588281707067567</v>
      </c>
      <c r="I743" s="8">
        <f t="shared" si="90"/>
        <v>0.98273122224003107</v>
      </c>
      <c r="J743" s="22">
        <f t="shared" si="91"/>
        <v>-2.5131202597702275E-2</v>
      </c>
      <c r="K743" s="8"/>
      <c r="L743" s="8">
        <v>0.75556894007544817</v>
      </c>
      <c r="M743" s="8">
        <v>0.937424740522384</v>
      </c>
      <c r="N743" s="8">
        <v>0.83478058002245048</v>
      </c>
      <c r="O743" s="8">
        <v>1.1873325037778184</v>
      </c>
      <c r="P743" s="8">
        <f t="shared" si="92"/>
        <v>0.84649684029891614</v>
      </c>
      <c r="Q743" s="8">
        <f t="shared" si="93"/>
        <v>1.0110565419001345</v>
      </c>
      <c r="R743" s="8">
        <f t="shared" si="94"/>
        <v>1.1944008456583357</v>
      </c>
      <c r="S743" s="22">
        <f t="shared" si="95"/>
        <v>0.2562870920407645</v>
      </c>
      <c r="T743" s="25"/>
      <c r="U743" s="1" t="s">
        <v>2110</v>
      </c>
    </row>
    <row r="744" spans="1:21">
      <c r="A744" s="6" t="s">
        <v>2111</v>
      </c>
      <c r="B744" s="6" t="s">
        <v>2112</v>
      </c>
      <c r="C744" s="7">
        <v>0.9692181152650986</v>
      </c>
      <c r="D744" s="7">
        <v>0.92177920169792893</v>
      </c>
      <c r="E744" s="7">
        <v>0.93029840334126224</v>
      </c>
      <c r="F744" s="8">
        <v>0.92674313726637103</v>
      </c>
      <c r="G744" s="8">
        <f t="shared" si="88"/>
        <v>0.94549865848151371</v>
      </c>
      <c r="H744" s="8">
        <f t="shared" si="89"/>
        <v>0.92852077030381663</v>
      </c>
      <c r="I744" s="8">
        <f t="shared" si="90"/>
        <v>0.98204345609018229</v>
      </c>
      <c r="J744" s="22">
        <f t="shared" si="91"/>
        <v>-2.6141228699065645E-2</v>
      </c>
      <c r="K744" s="8"/>
      <c r="L744" s="8">
        <v>0.91423396685940495</v>
      </c>
      <c r="M744" s="8">
        <v>1.3332444980345191</v>
      </c>
      <c r="N744" s="8">
        <v>1.0914501577519142</v>
      </c>
      <c r="O744" s="8">
        <v>1.2096472177540878</v>
      </c>
      <c r="P744" s="8">
        <f t="shared" si="92"/>
        <v>1.1237392324469619</v>
      </c>
      <c r="Q744" s="8">
        <f t="shared" si="93"/>
        <v>1.1505486877530009</v>
      </c>
      <c r="R744" s="8">
        <f t="shared" si="94"/>
        <v>1.023857363462928</v>
      </c>
      <c r="S744" s="22">
        <f t="shared" si="95"/>
        <v>3.4014743308622641E-2</v>
      </c>
      <c r="T744" s="25"/>
      <c r="U744" s="1" t="s">
        <v>2113</v>
      </c>
    </row>
    <row r="745" spans="1:21">
      <c r="A745" s="6" t="s">
        <v>2114</v>
      </c>
      <c r="B745" s="6" t="s">
        <v>2115</v>
      </c>
      <c r="C745" s="7">
        <v>0.94739080186510971</v>
      </c>
      <c r="D745" s="7">
        <v>1.0159344063129285</v>
      </c>
      <c r="E745" s="7">
        <v>0.88941703929598048</v>
      </c>
      <c r="F745" s="8">
        <v>0.88358291583435888</v>
      </c>
      <c r="G745" s="8">
        <f t="shared" si="88"/>
        <v>0.98166260408901906</v>
      </c>
      <c r="H745" s="8">
        <f t="shared" si="89"/>
        <v>0.88649997756516963</v>
      </c>
      <c r="I745" s="8">
        <f t="shared" si="90"/>
        <v>0.90305974157774893</v>
      </c>
      <c r="J745" s="22">
        <f t="shared" si="91"/>
        <v>-0.1471066630760306</v>
      </c>
      <c r="K745" s="8"/>
      <c r="L745" s="8">
        <v>1.0355878629877608</v>
      </c>
      <c r="M745" s="8">
        <v>1.3878067052233529</v>
      </c>
      <c r="N745" s="8">
        <v>0.98078234610158033</v>
      </c>
      <c r="O745" s="8">
        <v>1.2097375607256518</v>
      </c>
      <c r="P745" s="8">
        <f t="shared" si="92"/>
        <v>1.2116972841055569</v>
      </c>
      <c r="Q745" s="8">
        <f t="shared" si="93"/>
        <v>1.095259953413616</v>
      </c>
      <c r="R745" s="8">
        <f t="shared" si="94"/>
        <v>0.90390559406271853</v>
      </c>
      <c r="S745" s="22">
        <f t="shared" si="95"/>
        <v>-0.14575599270017692</v>
      </c>
      <c r="T745" s="25"/>
      <c r="U745" s="1" t="s">
        <v>2116</v>
      </c>
    </row>
    <row r="746" spans="1:21">
      <c r="A746" s="6" t="s">
        <v>2117</v>
      </c>
      <c r="B746" s="6" t="s">
        <v>2118</v>
      </c>
      <c r="C746" s="7">
        <v>1.0288601816267482</v>
      </c>
      <c r="D746" s="7">
        <v>0.94278431244971272</v>
      </c>
      <c r="E746" s="7">
        <v>0.85147158212719898</v>
      </c>
      <c r="F746" s="8">
        <v>0.98839591905705437</v>
      </c>
      <c r="G746" s="8">
        <f t="shared" si="88"/>
        <v>0.98582224703823051</v>
      </c>
      <c r="H746" s="8">
        <f t="shared" si="89"/>
        <v>0.91993375059212668</v>
      </c>
      <c r="I746" s="8">
        <f t="shared" si="90"/>
        <v>0.93316391809572474</v>
      </c>
      <c r="J746" s="22">
        <f t="shared" si="91"/>
        <v>-9.9797570024250243E-2</v>
      </c>
      <c r="K746" s="8"/>
      <c r="L746" s="8">
        <v>1.1120645542520242</v>
      </c>
      <c r="M746" s="8">
        <v>1.286365460835821</v>
      </c>
      <c r="N746" s="8">
        <v>1.0483537619540073</v>
      </c>
      <c r="O746" s="8">
        <v>1.259335852114202</v>
      </c>
      <c r="P746" s="8">
        <f t="shared" si="92"/>
        <v>1.1992150075439225</v>
      </c>
      <c r="Q746" s="8">
        <f t="shared" si="93"/>
        <v>1.1538448070341047</v>
      </c>
      <c r="R746" s="8">
        <f t="shared" si="94"/>
        <v>0.96216675056232059</v>
      </c>
      <c r="S746" s="22">
        <f t="shared" si="95"/>
        <v>-5.5641149580372348E-2</v>
      </c>
      <c r="T746" s="25"/>
      <c r="U746" s="1" t="s">
        <v>2119</v>
      </c>
    </row>
    <row r="747" spans="1:21">
      <c r="A747" s="6" t="s">
        <v>2120</v>
      </c>
      <c r="B747" s="6" t="s">
        <v>80</v>
      </c>
      <c r="C747" s="7">
        <v>1.0187691308115061</v>
      </c>
      <c r="D747" s="7">
        <v>0.988252424080033</v>
      </c>
      <c r="E747" s="7">
        <v>0.9937882032669999</v>
      </c>
      <c r="F747" s="8">
        <v>0.8635580399218884</v>
      </c>
      <c r="G747" s="8">
        <f t="shared" si="88"/>
        <v>1.0035107774457694</v>
      </c>
      <c r="H747" s="8">
        <f t="shared" si="89"/>
        <v>0.92867312159444415</v>
      </c>
      <c r="I747" s="8">
        <f t="shared" si="90"/>
        <v>0.92542416331411093</v>
      </c>
      <c r="J747" s="22">
        <f t="shared" si="91"/>
        <v>-0.11181332596219017</v>
      </c>
      <c r="K747" s="8"/>
      <c r="L747" s="8">
        <v>0.966973954724479</v>
      </c>
      <c r="M747" s="8">
        <v>1.0034142005391868</v>
      </c>
      <c r="N747" s="8">
        <v>1.2399545688626155</v>
      </c>
      <c r="O747" s="8">
        <v>1.494859978981143</v>
      </c>
      <c r="P747" s="8">
        <f t="shared" si="92"/>
        <v>0.98519407763183287</v>
      </c>
      <c r="Q747" s="8">
        <f t="shared" si="93"/>
        <v>1.3674072739218792</v>
      </c>
      <c r="R747" s="8">
        <f t="shared" si="94"/>
        <v>1.3879572613842686</v>
      </c>
      <c r="S747" s="22">
        <f t="shared" si="95"/>
        <v>0.47296314447361382</v>
      </c>
      <c r="T747" s="25"/>
      <c r="U747" s="1">
        <v>0</v>
      </c>
    </row>
    <row r="748" spans="1:21">
      <c r="A748" s="6" t="s">
        <v>2121</v>
      </c>
      <c r="B748" s="6" t="s">
        <v>80</v>
      </c>
      <c r="C748" s="7">
        <v>1.1678994144525692</v>
      </c>
      <c r="D748" s="7">
        <v>0.96832868987697918</v>
      </c>
      <c r="E748" s="7">
        <v>1.0217086125648047</v>
      </c>
      <c r="F748" s="8">
        <v>0.91776533972680363</v>
      </c>
      <c r="G748" s="8">
        <f t="shared" si="88"/>
        <v>1.0681140521647743</v>
      </c>
      <c r="H748" s="8">
        <f t="shared" si="89"/>
        <v>0.96973697614580412</v>
      </c>
      <c r="I748" s="8">
        <f t="shared" si="90"/>
        <v>0.907896468715502</v>
      </c>
      <c r="J748" s="22">
        <f t="shared" si="91"/>
        <v>-0.13940030462525535</v>
      </c>
      <c r="K748" s="8"/>
      <c r="L748" s="8">
        <v>1.3238775434907286</v>
      </c>
      <c r="M748" s="8">
        <v>1.4099201944843029</v>
      </c>
      <c r="N748" s="8">
        <v>1.4565394083745378</v>
      </c>
      <c r="O748" s="8">
        <v>1.6865677646396198</v>
      </c>
      <c r="P748" s="8">
        <f t="shared" si="92"/>
        <v>1.3668988689875157</v>
      </c>
      <c r="Q748" s="8">
        <f t="shared" si="93"/>
        <v>1.5715535865070787</v>
      </c>
      <c r="R748" s="8">
        <f t="shared" si="94"/>
        <v>1.1497219159096634</v>
      </c>
      <c r="S748" s="22">
        <f t="shared" si="95"/>
        <v>0.20128495764591703</v>
      </c>
      <c r="T748" s="25"/>
      <c r="U748" s="1">
        <v>0</v>
      </c>
    </row>
    <row r="749" spans="1:21">
      <c r="A749" s="6" t="s">
        <v>2122</v>
      </c>
      <c r="B749" s="6" t="s">
        <v>2123</v>
      </c>
      <c r="C749" s="7">
        <v>1.1171804241384984</v>
      </c>
      <c r="D749" s="7">
        <v>1.0276597973790995</v>
      </c>
      <c r="E749" s="7">
        <v>1.0930296674183249</v>
      </c>
      <c r="F749" s="8">
        <v>1.1778267923062193</v>
      </c>
      <c r="G749" s="8">
        <f t="shared" si="88"/>
        <v>1.072420110758799</v>
      </c>
      <c r="H749" s="8">
        <f t="shared" si="89"/>
        <v>1.135428229862272</v>
      </c>
      <c r="I749" s="8">
        <f t="shared" si="90"/>
        <v>1.0587532054568534</v>
      </c>
      <c r="J749" s="22">
        <f t="shared" si="91"/>
        <v>8.2366337434409562E-2</v>
      </c>
      <c r="K749" s="8"/>
      <c r="L749" s="8">
        <v>1.1172940467196582</v>
      </c>
      <c r="M749" s="8">
        <v>1.2061016849997805</v>
      </c>
      <c r="N749" s="8">
        <v>1.3638142890691987</v>
      </c>
      <c r="O749" s="8">
        <v>1.5907138718103815</v>
      </c>
      <c r="P749" s="8">
        <f t="shared" si="92"/>
        <v>1.1616978658597192</v>
      </c>
      <c r="Q749" s="8">
        <f t="shared" si="93"/>
        <v>1.4772640804397901</v>
      </c>
      <c r="R749" s="8">
        <f t="shared" si="94"/>
        <v>1.2716422435247694</v>
      </c>
      <c r="S749" s="22">
        <f t="shared" si="95"/>
        <v>0.34669284822536611</v>
      </c>
      <c r="T749" s="25"/>
      <c r="U749" s="1" t="s">
        <v>2124</v>
      </c>
    </row>
    <row r="750" spans="1:21">
      <c r="A750" s="6" t="s">
        <v>2125</v>
      </c>
      <c r="B750" s="6" t="s">
        <v>2126</v>
      </c>
      <c r="C750" s="7">
        <v>0.9402259674032607</v>
      </c>
      <c r="D750" s="7">
        <v>1.051745573880172</v>
      </c>
      <c r="E750" s="7">
        <v>1.0919685746891241</v>
      </c>
      <c r="F750" s="8">
        <v>1.0074712831947348</v>
      </c>
      <c r="G750" s="8">
        <f t="shared" si="88"/>
        <v>0.99598577064171634</v>
      </c>
      <c r="H750" s="8">
        <f t="shared" si="89"/>
        <v>1.0497199289419294</v>
      </c>
      <c r="I750" s="8">
        <f t="shared" si="90"/>
        <v>1.0539507289000645</v>
      </c>
      <c r="J750" s="22">
        <f t="shared" si="91"/>
        <v>7.5807424059527576E-2</v>
      </c>
      <c r="K750" s="8"/>
      <c r="L750" s="8">
        <v>0.86093765000841249</v>
      </c>
      <c r="M750" s="8">
        <v>0.85002380677672496</v>
      </c>
      <c r="N750" s="8">
        <v>0.80975412970673677</v>
      </c>
      <c r="O750" s="8">
        <v>0.70503655008423771</v>
      </c>
      <c r="P750" s="8">
        <f t="shared" si="92"/>
        <v>0.85548072839256872</v>
      </c>
      <c r="Q750" s="8">
        <f t="shared" si="93"/>
        <v>0.75739533989548724</v>
      </c>
      <c r="R750" s="8">
        <f t="shared" si="94"/>
        <v>0.88534471292955719</v>
      </c>
      <c r="S750" s="22">
        <f t="shared" si="95"/>
        <v>-0.17568881053308325</v>
      </c>
      <c r="T750" s="25"/>
      <c r="U750" s="1" t="s">
        <v>2127</v>
      </c>
    </row>
    <row r="751" spans="1:21">
      <c r="A751" s="6" t="s">
        <v>2128</v>
      </c>
      <c r="B751" s="6" t="s">
        <v>2129</v>
      </c>
      <c r="C751" s="7">
        <v>1.0294378895763452</v>
      </c>
      <c r="D751" s="7">
        <v>0.90159769750360808</v>
      </c>
      <c r="E751" s="7">
        <v>0.97055482933744408</v>
      </c>
      <c r="F751" s="8">
        <v>0.9413459735269365</v>
      </c>
      <c r="G751" s="8">
        <f t="shared" si="88"/>
        <v>0.96551779353997658</v>
      </c>
      <c r="H751" s="8">
        <f t="shared" si="89"/>
        <v>0.95595040143219023</v>
      </c>
      <c r="I751" s="8">
        <f t="shared" si="90"/>
        <v>0.99009092098374651</v>
      </c>
      <c r="J751" s="22">
        <f t="shared" si="91"/>
        <v>-1.4367079564418591E-2</v>
      </c>
      <c r="K751" s="8"/>
      <c r="L751" s="8">
        <v>0.77077526569055388</v>
      </c>
      <c r="M751" s="8">
        <v>0.90076392940193795</v>
      </c>
      <c r="N751" s="8">
        <v>0.63724129337791025</v>
      </c>
      <c r="O751" s="8">
        <v>0.6196624419564053</v>
      </c>
      <c r="P751" s="8">
        <f t="shared" si="92"/>
        <v>0.83576959754624591</v>
      </c>
      <c r="Q751" s="8">
        <f t="shared" si="93"/>
        <v>0.62845186766715777</v>
      </c>
      <c r="R751" s="8">
        <f t="shared" si="94"/>
        <v>0.75194392032474411</v>
      </c>
      <c r="S751" s="22">
        <f t="shared" si="95"/>
        <v>-0.41130302458853873</v>
      </c>
      <c r="T751" s="25"/>
      <c r="U751" s="1" t="s">
        <v>2130</v>
      </c>
    </row>
    <row r="752" spans="1:21">
      <c r="A752" s="6" t="s">
        <v>2131</v>
      </c>
      <c r="B752" s="6" t="s">
        <v>2132</v>
      </c>
      <c r="C752" s="7">
        <v>1.0249229763615604</v>
      </c>
      <c r="D752" s="7">
        <v>1.0013986936346515</v>
      </c>
      <c r="E752" s="7">
        <v>0.9905398273659497</v>
      </c>
      <c r="F752" s="8">
        <v>1.0347124485956103</v>
      </c>
      <c r="G752" s="8">
        <f t="shared" si="88"/>
        <v>1.0131608349981058</v>
      </c>
      <c r="H752" s="8">
        <f t="shared" si="89"/>
        <v>1.0126261379807799</v>
      </c>
      <c r="I752" s="8">
        <f t="shared" si="90"/>
        <v>0.99947224863135686</v>
      </c>
      <c r="J752" s="22">
        <f t="shared" si="91"/>
        <v>-7.6158526387764723E-4</v>
      </c>
      <c r="K752" s="8"/>
      <c r="L752" s="8">
        <v>1.0759031701673216</v>
      </c>
      <c r="M752" s="8">
        <v>1.2753672174996871</v>
      </c>
      <c r="N752" s="8">
        <v>1.2450871120629567</v>
      </c>
      <c r="O752" s="8">
        <v>0.82885159261248587</v>
      </c>
      <c r="P752" s="8">
        <f t="shared" si="92"/>
        <v>1.1756351938335043</v>
      </c>
      <c r="Q752" s="8">
        <f t="shared" si="93"/>
        <v>1.0369693523377213</v>
      </c>
      <c r="R752" s="8">
        <f t="shared" si="94"/>
        <v>0.88205028037343602</v>
      </c>
      <c r="S752" s="22">
        <f t="shared" si="95"/>
        <v>-0.18106719740631455</v>
      </c>
      <c r="T752" s="25"/>
      <c r="U752" s="1" t="s">
        <v>2133</v>
      </c>
    </row>
    <row r="753" spans="1:21">
      <c r="A753" s="6" t="s">
        <v>2134</v>
      </c>
      <c r="B753" s="6" t="s">
        <v>2135</v>
      </c>
      <c r="C753" s="7">
        <v>0.89613805964108517</v>
      </c>
      <c r="D753" s="7">
        <v>0.98542952832201125</v>
      </c>
      <c r="E753" s="7">
        <v>0.95426738143277934</v>
      </c>
      <c r="F753" s="8">
        <v>0.94758655781228129</v>
      </c>
      <c r="G753" s="8">
        <f t="shared" si="88"/>
        <v>0.94078379398154821</v>
      </c>
      <c r="H753" s="8">
        <f t="shared" si="89"/>
        <v>0.95092696962253032</v>
      </c>
      <c r="I753" s="8">
        <f t="shared" si="90"/>
        <v>1.0107816224151296</v>
      </c>
      <c r="J753" s="22">
        <f t="shared" si="91"/>
        <v>1.5471339189962921E-2</v>
      </c>
      <c r="K753" s="8"/>
      <c r="L753" s="8">
        <v>0.94631560504737189</v>
      </c>
      <c r="M753" s="8">
        <v>0.99077792096150119</v>
      </c>
      <c r="N753" s="8">
        <v>0.72610640085489364</v>
      </c>
      <c r="O753" s="8">
        <v>1.0557479656950797</v>
      </c>
      <c r="P753" s="8">
        <f t="shared" si="92"/>
        <v>0.96854676300443654</v>
      </c>
      <c r="Q753" s="8">
        <f t="shared" si="93"/>
        <v>0.89092718327498666</v>
      </c>
      <c r="R753" s="8">
        <f t="shared" si="94"/>
        <v>0.91985974999423503</v>
      </c>
      <c r="S753" s="22">
        <f t="shared" si="95"/>
        <v>-0.12051418307873711</v>
      </c>
      <c r="T753" s="25"/>
      <c r="U753" s="1" t="s">
        <v>2136</v>
      </c>
    </row>
    <row r="754" spans="1:21">
      <c r="A754" s="6" t="s">
        <v>2137</v>
      </c>
      <c r="B754" s="6" t="s">
        <v>2138</v>
      </c>
      <c r="C754" s="7">
        <v>0.93513962567311371</v>
      </c>
      <c r="D754" s="7">
        <v>1.0943907897524707</v>
      </c>
      <c r="E754" s="7">
        <v>1.0202308944695373</v>
      </c>
      <c r="F754" s="8">
        <v>1.0360941519368565</v>
      </c>
      <c r="G754" s="8">
        <f t="shared" si="88"/>
        <v>1.0147652077127922</v>
      </c>
      <c r="H754" s="8">
        <f t="shared" si="89"/>
        <v>1.0281625232031968</v>
      </c>
      <c r="I754" s="8">
        <f t="shared" si="90"/>
        <v>1.0132023796131138</v>
      </c>
      <c r="J754" s="22">
        <f t="shared" si="91"/>
        <v>1.8922370489154055E-2</v>
      </c>
      <c r="K754" s="8"/>
      <c r="L754" s="8">
        <v>0.82781753104673095</v>
      </c>
      <c r="M754" s="8">
        <v>0.79284854177398667</v>
      </c>
      <c r="N754" s="8">
        <v>0.75914979881411571</v>
      </c>
      <c r="O754" s="8">
        <v>0.99910292252454969</v>
      </c>
      <c r="P754" s="8">
        <f t="shared" si="92"/>
        <v>0.81033303641035881</v>
      </c>
      <c r="Q754" s="8">
        <f t="shared" si="93"/>
        <v>0.8791263606693327</v>
      </c>
      <c r="R754" s="8">
        <f t="shared" si="94"/>
        <v>1.0848951248041385</v>
      </c>
      <c r="S754" s="22">
        <f t="shared" si="95"/>
        <v>0.11755558622933049</v>
      </c>
      <c r="T754" s="25"/>
      <c r="U754" s="1" t="s">
        <v>2139</v>
      </c>
    </row>
    <row r="755" spans="1:21">
      <c r="A755" s="6" t="s">
        <v>2140</v>
      </c>
      <c r="B755" s="13" t="s">
        <v>2141</v>
      </c>
      <c r="C755" s="14">
        <v>2.3761379144291685E-2</v>
      </c>
      <c r="D755" s="14">
        <v>1.7804990616298023E-2</v>
      </c>
      <c r="E755" s="14">
        <v>3.9175803952946765E-2</v>
      </c>
      <c r="F755" s="8">
        <v>4.0141428823886251E-2</v>
      </c>
      <c r="G755" s="8">
        <f t="shared" si="88"/>
        <v>2.0783184880294854E-2</v>
      </c>
      <c r="H755" s="8">
        <f t="shared" si="89"/>
        <v>3.9658616388416508E-2</v>
      </c>
      <c r="I755" s="8">
        <f t="shared" si="90"/>
        <v>1.9082068805545778</v>
      </c>
      <c r="J755" s="22">
        <f t="shared" si="91"/>
        <v>0.93221759134882776</v>
      </c>
      <c r="K755" s="8"/>
      <c r="L755" s="8">
        <v>2.833568968278237E-2</v>
      </c>
      <c r="M755" s="8">
        <v>3.2799725693930977E-2</v>
      </c>
      <c r="N755" s="8">
        <v>3.155877802523898E-2</v>
      </c>
      <c r="O755" s="8">
        <v>2.949698021559503E-2</v>
      </c>
      <c r="P755" s="8">
        <f t="shared" si="92"/>
        <v>3.0567707688356673E-2</v>
      </c>
      <c r="Q755" s="8">
        <f t="shared" si="93"/>
        <v>3.0527879120417004E-2</v>
      </c>
      <c r="R755" s="8">
        <f t="shared" si="94"/>
        <v>0.99869703779080432</v>
      </c>
      <c r="S755" s="22">
        <f t="shared" si="95"/>
        <v>-1.8810028217584418E-3</v>
      </c>
      <c r="T755" s="25"/>
      <c r="U755" s="1" t="s">
        <v>2142</v>
      </c>
    </row>
    <row r="756" spans="1:21">
      <c r="A756" s="6" t="s">
        <v>2143</v>
      </c>
      <c r="B756" s="6" t="s">
        <v>2144</v>
      </c>
      <c r="C756" s="7">
        <v>1.0783107262253997</v>
      </c>
      <c r="D756" s="7">
        <v>1.0395549394151291</v>
      </c>
      <c r="E756" s="7">
        <v>1.0484963216486158</v>
      </c>
      <c r="F756" s="8">
        <v>0.99662065553385715</v>
      </c>
      <c r="G756" s="8">
        <f t="shared" si="88"/>
        <v>1.0589328328202643</v>
      </c>
      <c r="H756" s="8">
        <f t="shared" si="89"/>
        <v>1.0225584885912364</v>
      </c>
      <c r="I756" s="8">
        <f t="shared" si="90"/>
        <v>0.96564999865746748</v>
      </c>
      <c r="J756" s="22">
        <f t="shared" si="91"/>
        <v>-5.042771814433529E-2</v>
      </c>
      <c r="K756" s="8"/>
      <c r="L756" s="8">
        <v>1.0998624051608785</v>
      </c>
      <c r="M756" s="8">
        <v>0.79725563928101906</v>
      </c>
      <c r="N756" s="8">
        <v>1.1934647560727474</v>
      </c>
      <c r="O756" s="8">
        <v>1.0962216169556818</v>
      </c>
      <c r="P756" s="8">
        <f t="shared" si="92"/>
        <v>0.94855902222094879</v>
      </c>
      <c r="Q756" s="8">
        <f t="shared" si="93"/>
        <v>1.1448431865142146</v>
      </c>
      <c r="R756" s="8">
        <f t="shared" si="94"/>
        <v>1.2069287832334223</v>
      </c>
      <c r="S756" s="22">
        <f t="shared" si="95"/>
        <v>0.27134055007205665</v>
      </c>
      <c r="T756" s="25"/>
      <c r="U756" s="1" t="s">
        <v>2145</v>
      </c>
    </row>
    <row r="757" spans="1:21">
      <c r="A757" s="6" t="s">
        <v>2146</v>
      </c>
      <c r="B757" s="6" t="s">
        <v>2147</v>
      </c>
      <c r="C757" s="7">
        <v>1.0446969147667862</v>
      </c>
      <c r="D757" s="7">
        <v>0.961029398173052</v>
      </c>
      <c r="E757" s="7">
        <v>0.94088329154789085</v>
      </c>
      <c r="F757" s="8">
        <v>0.96033620902273908</v>
      </c>
      <c r="G757" s="8">
        <f t="shared" si="88"/>
        <v>1.0028631564699191</v>
      </c>
      <c r="H757" s="8">
        <f t="shared" si="89"/>
        <v>0.95060975028531502</v>
      </c>
      <c r="I757" s="8">
        <f t="shared" si="90"/>
        <v>0.94789577636041977</v>
      </c>
      <c r="J757" s="22">
        <f t="shared" si="91"/>
        <v>-7.7199655166847986E-2</v>
      </c>
      <c r="K757" s="8"/>
      <c r="L757" s="8">
        <v>1.0461210251211512</v>
      </c>
      <c r="M757" s="8">
        <v>1.2472475953530471</v>
      </c>
      <c r="N757" s="8">
        <v>0.90150364162688723</v>
      </c>
      <c r="O757" s="8">
        <v>1.1469943669745621</v>
      </c>
      <c r="P757" s="8">
        <f t="shared" si="92"/>
        <v>1.1466843102370992</v>
      </c>
      <c r="Q757" s="8">
        <f t="shared" si="93"/>
        <v>1.0242490043007246</v>
      </c>
      <c r="R757" s="8">
        <f t="shared" si="94"/>
        <v>0.89322666679632279</v>
      </c>
      <c r="S757" s="22">
        <f t="shared" si="95"/>
        <v>-0.16290177220825175</v>
      </c>
      <c r="T757" s="25"/>
      <c r="U757" s="1" t="s">
        <v>2148</v>
      </c>
    </row>
    <row r="758" spans="1:21">
      <c r="A758" s="6" t="s">
        <v>2149</v>
      </c>
      <c r="B758" s="6" t="s">
        <v>2150</v>
      </c>
      <c r="C758" s="7">
        <v>1.0215509201774999</v>
      </c>
      <c r="D758" s="7">
        <v>0.93629605315733289</v>
      </c>
      <c r="E758" s="7">
        <v>1.010004043686872</v>
      </c>
      <c r="F758" s="8">
        <v>0.96367587112717334</v>
      </c>
      <c r="G758" s="8">
        <f t="shared" si="88"/>
        <v>0.97892348666741635</v>
      </c>
      <c r="H758" s="8">
        <f t="shared" si="89"/>
        <v>0.98683995740702268</v>
      </c>
      <c r="I758" s="8">
        <f t="shared" si="90"/>
        <v>1.0080869147052101</v>
      </c>
      <c r="J758" s="22">
        <f t="shared" si="91"/>
        <v>1.1620029719343474E-2</v>
      </c>
      <c r="K758" s="8"/>
      <c r="L758" s="8">
        <v>0.91712687758618117</v>
      </c>
      <c r="M758" s="8">
        <v>1.332347478187955</v>
      </c>
      <c r="N758" s="8">
        <v>1.2234964964516037</v>
      </c>
      <c r="O758" s="8">
        <v>1.0846577165955098</v>
      </c>
      <c r="P758" s="8">
        <f t="shared" si="92"/>
        <v>1.1247371778870681</v>
      </c>
      <c r="Q758" s="8">
        <f t="shared" si="93"/>
        <v>1.1540771065235567</v>
      </c>
      <c r="R758" s="8">
        <f t="shared" si="94"/>
        <v>1.0260860307753021</v>
      </c>
      <c r="S758" s="22">
        <f t="shared" si="95"/>
        <v>3.7151696802249355E-2</v>
      </c>
      <c r="T758" s="25"/>
      <c r="U758" s="1" t="s">
        <v>2151</v>
      </c>
    </row>
    <row r="759" spans="1:21">
      <c r="A759" s="6" t="s">
        <v>2152</v>
      </c>
      <c r="B759" s="6" t="s">
        <v>2153</v>
      </c>
      <c r="C759" s="7">
        <v>1.01942219197192</v>
      </c>
      <c r="D759" s="7">
        <v>1.0493879215210224</v>
      </c>
      <c r="E759" s="7">
        <v>0.91331440990270485</v>
      </c>
      <c r="F759" s="8">
        <v>1.0958151683926221</v>
      </c>
      <c r="G759" s="8">
        <f t="shared" si="88"/>
        <v>1.0344050567464711</v>
      </c>
      <c r="H759" s="8">
        <f t="shared" si="89"/>
        <v>1.0045647891476635</v>
      </c>
      <c r="I759" s="8">
        <f t="shared" si="90"/>
        <v>0.97115224118038956</v>
      </c>
      <c r="J759" s="22">
        <f t="shared" si="91"/>
        <v>-4.2230619655363087E-2</v>
      </c>
      <c r="K759" s="8"/>
      <c r="L759" s="8">
        <v>0.90444257670723938</v>
      </c>
      <c r="M759" s="8">
        <v>1.2931126101164987</v>
      </c>
      <c r="N759" s="8">
        <v>0.89662560470094299</v>
      </c>
      <c r="O759" s="8">
        <v>1.1296033449485221</v>
      </c>
      <c r="P759" s="8">
        <f t="shared" si="92"/>
        <v>1.0987775934118691</v>
      </c>
      <c r="Q759" s="8">
        <f t="shared" si="93"/>
        <v>1.0131144748247325</v>
      </c>
      <c r="R759" s="8">
        <f t="shared" si="94"/>
        <v>0.92203779991441237</v>
      </c>
      <c r="S759" s="22">
        <f t="shared" si="95"/>
        <v>-0.11710219821190403</v>
      </c>
      <c r="T759" s="25"/>
      <c r="U759" s="1" t="s">
        <v>2154</v>
      </c>
    </row>
    <row r="760" spans="1:21">
      <c r="A760" s="6" t="s">
        <v>2155</v>
      </c>
      <c r="B760" s="6" t="s">
        <v>2156</v>
      </c>
      <c r="C760" s="7">
        <v>0.97412863283667261</v>
      </c>
      <c r="D760" s="7">
        <v>0.92286057824665879</v>
      </c>
      <c r="E760" s="7">
        <v>0.93975710110524224</v>
      </c>
      <c r="F760" s="8">
        <v>0.95528742572368264</v>
      </c>
      <c r="G760" s="8">
        <f t="shared" si="88"/>
        <v>0.94849460554166565</v>
      </c>
      <c r="H760" s="8">
        <f t="shared" si="89"/>
        <v>0.94752226341446244</v>
      </c>
      <c r="I760" s="8">
        <f t="shared" si="90"/>
        <v>0.99897485750417325</v>
      </c>
      <c r="J760" s="22">
        <f t="shared" si="91"/>
        <v>-1.4797265898941721E-3</v>
      </c>
      <c r="K760" s="8"/>
      <c r="L760" s="8">
        <v>1.2444708529006279</v>
      </c>
      <c r="M760" s="8">
        <v>1.0888260902772473</v>
      </c>
      <c r="N760" s="8">
        <v>0.99015666054187301</v>
      </c>
      <c r="O760" s="8">
        <v>1.7812471988385281</v>
      </c>
      <c r="P760" s="8">
        <f t="shared" si="92"/>
        <v>1.1666484715889376</v>
      </c>
      <c r="Q760" s="8">
        <f t="shared" si="93"/>
        <v>1.3857019296902005</v>
      </c>
      <c r="R760" s="8">
        <f t="shared" si="94"/>
        <v>1.1877630352551005</v>
      </c>
      <c r="S760" s="22">
        <f t="shared" si="95"/>
        <v>0.24824703987415866</v>
      </c>
      <c r="T760" s="25"/>
      <c r="U760" s="1" t="s">
        <v>2157</v>
      </c>
    </row>
    <row r="761" spans="1:21">
      <c r="A761" s="6" t="s">
        <v>2158</v>
      </c>
      <c r="B761" s="6" t="s">
        <v>2159</v>
      </c>
      <c r="C761" s="7">
        <v>1.0626435378096999</v>
      </c>
      <c r="D761" s="7">
        <v>0.98709560265581031</v>
      </c>
      <c r="E761" s="7">
        <v>0.90878360904673094</v>
      </c>
      <c r="F761" s="8">
        <v>1.0313334963487708</v>
      </c>
      <c r="G761" s="8">
        <f t="shared" si="88"/>
        <v>1.024869570232755</v>
      </c>
      <c r="H761" s="8">
        <f t="shared" si="89"/>
        <v>0.97005855269775088</v>
      </c>
      <c r="I761" s="8">
        <f t="shared" si="90"/>
        <v>0.94651903117529756</v>
      </c>
      <c r="J761" s="22">
        <f t="shared" si="91"/>
        <v>-7.9296581133555116E-2</v>
      </c>
      <c r="K761" s="8"/>
      <c r="L761" s="8">
        <v>1.3475771582908569</v>
      </c>
      <c r="M761" s="8">
        <v>1.4953710850852575</v>
      </c>
      <c r="N761" s="8">
        <v>1.0297323862106202</v>
      </c>
      <c r="O761" s="8">
        <v>1.7729808169404364</v>
      </c>
      <c r="P761" s="8">
        <f t="shared" si="92"/>
        <v>1.4214741216880573</v>
      </c>
      <c r="Q761" s="8">
        <f t="shared" si="93"/>
        <v>1.4013566015755283</v>
      </c>
      <c r="R761" s="8">
        <f t="shared" si="94"/>
        <v>0.98584742430017747</v>
      </c>
      <c r="S761" s="22">
        <f t="shared" si="95"/>
        <v>-2.0563711203223683E-2</v>
      </c>
      <c r="T761" s="25"/>
      <c r="U761" s="1" t="s">
        <v>2160</v>
      </c>
    </row>
    <row r="762" spans="1:21">
      <c r="A762" s="6" t="s">
        <v>2161</v>
      </c>
      <c r="B762" s="6" t="s">
        <v>2162</v>
      </c>
      <c r="C762" s="7">
        <v>1.196144309640472</v>
      </c>
      <c r="D762" s="7">
        <v>0.93777980237535774</v>
      </c>
      <c r="E762" s="7">
        <v>1.0111367439008656</v>
      </c>
      <c r="F762" s="8">
        <v>0.96564037824742877</v>
      </c>
      <c r="G762" s="8">
        <f t="shared" si="88"/>
        <v>1.0669620560079149</v>
      </c>
      <c r="H762" s="8">
        <f t="shared" si="89"/>
        <v>0.98838856107414719</v>
      </c>
      <c r="I762" s="8">
        <f t="shared" si="90"/>
        <v>0.9263577420665231</v>
      </c>
      <c r="J762" s="22">
        <f t="shared" si="91"/>
        <v>-0.11035865190302417</v>
      </c>
      <c r="K762" s="8"/>
      <c r="L762" s="8">
        <v>1.446566629185289</v>
      </c>
      <c r="M762" s="8">
        <v>1.6035204778905732</v>
      </c>
      <c r="N762" s="8">
        <v>1.1628391677202976</v>
      </c>
      <c r="O762" s="8">
        <v>1.7604231438930622</v>
      </c>
      <c r="P762" s="8">
        <f t="shared" si="92"/>
        <v>1.5250435535379312</v>
      </c>
      <c r="Q762" s="8">
        <f t="shared" si="93"/>
        <v>1.4616311558066799</v>
      </c>
      <c r="R762" s="8">
        <f t="shared" si="94"/>
        <v>0.95841928738091342</v>
      </c>
      <c r="S762" s="22">
        <f t="shared" si="95"/>
        <v>-6.1271153445964052E-2</v>
      </c>
      <c r="T762" s="25"/>
      <c r="U762" s="1" t="s">
        <v>2163</v>
      </c>
    </row>
    <row r="763" spans="1:21">
      <c r="A763" s="6" t="s">
        <v>2164</v>
      </c>
      <c r="B763" s="6" t="s">
        <v>2165</v>
      </c>
      <c r="C763" s="7">
        <v>1.1641694305171282</v>
      </c>
      <c r="D763" s="7">
        <v>0.94914683028293778</v>
      </c>
      <c r="E763" s="7">
        <v>0.9491767402411535</v>
      </c>
      <c r="F763" s="8">
        <v>1.0514827910455242</v>
      </c>
      <c r="G763" s="8">
        <f t="shared" si="88"/>
        <v>1.0566581304000331</v>
      </c>
      <c r="H763" s="8">
        <f t="shared" si="89"/>
        <v>1.0003297656433388</v>
      </c>
      <c r="I763" s="8">
        <f t="shared" si="90"/>
        <v>0.94669196863571248</v>
      </c>
      <c r="J763" s="22">
        <f t="shared" si="91"/>
        <v>-7.9033011972755418E-2</v>
      </c>
      <c r="K763" s="8"/>
      <c r="L763" s="8">
        <v>1.4360334670518986</v>
      </c>
      <c r="M763" s="8">
        <v>1.5191616114506532</v>
      </c>
      <c r="N763" s="8">
        <v>1.1459145004728912</v>
      </c>
      <c r="O763" s="8">
        <v>1.6571611273955886</v>
      </c>
      <c r="P763" s="8">
        <f t="shared" si="92"/>
        <v>1.4775975392512759</v>
      </c>
      <c r="Q763" s="8">
        <f t="shared" si="93"/>
        <v>1.4015378139342398</v>
      </c>
      <c r="R763" s="8">
        <f t="shared" si="94"/>
        <v>0.94852473471526155</v>
      </c>
      <c r="S763" s="22">
        <f t="shared" si="95"/>
        <v>-7.6242699547114698E-2</v>
      </c>
      <c r="T763" s="25"/>
      <c r="U763" s="1" t="s">
        <v>2166</v>
      </c>
    </row>
    <row r="764" spans="1:21">
      <c r="A764" s="6" t="s">
        <v>2167</v>
      </c>
      <c r="B764" s="6" t="s">
        <v>2168</v>
      </c>
      <c r="C764" s="7">
        <v>1.4159998610675175</v>
      </c>
      <c r="D764" s="7">
        <v>0.96228681276459838</v>
      </c>
      <c r="E764" s="7">
        <v>1.0306465286212014</v>
      </c>
      <c r="F764" s="8">
        <v>1.0224146340228111</v>
      </c>
      <c r="G764" s="8">
        <f t="shared" si="88"/>
        <v>1.189143336916058</v>
      </c>
      <c r="H764" s="8">
        <f t="shared" si="89"/>
        <v>1.0265305813220063</v>
      </c>
      <c r="I764" s="8">
        <f t="shared" si="90"/>
        <v>0.86325218285646366</v>
      </c>
      <c r="J764" s="22">
        <f t="shared" si="91"/>
        <v>-0.21214601774358199</v>
      </c>
      <c r="K764" s="8"/>
      <c r="L764" s="8">
        <v>1.5124730697171007</v>
      </c>
      <c r="M764" s="8">
        <v>1.5157295355159732</v>
      </c>
      <c r="N764" s="8">
        <v>1.5622867653865282</v>
      </c>
      <c r="O764" s="8">
        <v>1.761055544694009</v>
      </c>
      <c r="P764" s="8">
        <f t="shared" si="92"/>
        <v>1.5141013026165369</v>
      </c>
      <c r="Q764" s="8">
        <f t="shared" si="93"/>
        <v>1.6616711550402687</v>
      </c>
      <c r="R764" s="8">
        <f t="shared" si="94"/>
        <v>1.0974636585865918</v>
      </c>
      <c r="S764" s="22">
        <f t="shared" si="95"/>
        <v>0.13417316714562674</v>
      </c>
      <c r="T764" s="25"/>
      <c r="U764" s="1" t="s">
        <v>2169</v>
      </c>
    </row>
    <row r="765" spans="1:21">
      <c r="A765" s="6" t="s">
        <v>2170</v>
      </c>
      <c r="B765" s="6" t="s">
        <v>2171</v>
      </c>
      <c r="C765" s="7">
        <v>1.6139464664495224</v>
      </c>
      <c r="D765" s="7">
        <v>1.1057389564411775</v>
      </c>
      <c r="E765" s="7">
        <v>1.1649040528361523</v>
      </c>
      <c r="F765" s="8">
        <v>1.2514827126016634</v>
      </c>
      <c r="G765" s="8">
        <f t="shared" si="88"/>
        <v>1.35984271144535</v>
      </c>
      <c r="H765" s="8">
        <f t="shared" si="89"/>
        <v>1.2081933827189077</v>
      </c>
      <c r="I765" s="8">
        <f t="shared" si="90"/>
        <v>0.88848024300894535</v>
      </c>
      <c r="J765" s="22">
        <f t="shared" si="91"/>
        <v>-0.17058839925234737</v>
      </c>
      <c r="K765" s="8"/>
      <c r="L765" s="8">
        <v>1.4496820715064325</v>
      </c>
      <c r="M765" s="8">
        <v>1.461986346447915</v>
      </c>
      <c r="N765" s="8">
        <v>1.6019473264800745</v>
      </c>
      <c r="O765" s="8">
        <v>1.5815440601966513</v>
      </c>
      <c r="P765" s="8">
        <f t="shared" si="92"/>
        <v>1.4558342089771736</v>
      </c>
      <c r="Q765" s="8">
        <f t="shared" si="93"/>
        <v>1.5917456933383629</v>
      </c>
      <c r="R765" s="8">
        <f t="shared" si="94"/>
        <v>1.0933564299582414</v>
      </c>
      <c r="S765" s="22">
        <f t="shared" si="95"/>
        <v>0.1287637906779327</v>
      </c>
      <c r="T765" s="25"/>
      <c r="U765" s="1" t="s">
        <v>2172</v>
      </c>
    </row>
    <row r="766" spans="1:21">
      <c r="A766" s="6" t="s">
        <v>2173</v>
      </c>
      <c r="B766" s="6" t="s">
        <v>2174</v>
      </c>
      <c r="C766" s="7">
        <v>1.5051489888982545</v>
      </c>
      <c r="D766" s="7">
        <v>1.1545769391768423</v>
      </c>
      <c r="E766" s="7">
        <v>1.2271049180356215</v>
      </c>
      <c r="F766" s="8">
        <v>1.0601069773034457</v>
      </c>
      <c r="G766" s="8">
        <f t="shared" si="88"/>
        <v>1.3298629640375483</v>
      </c>
      <c r="H766" s="8">
        <f t="shared" si="89"/>
        <v>1.1436059476695335</v>
      </c>
      <c r="I766" s="8">
        <f t="shared" si="90"/>
        <v>0.85994269980831206</v>
      </c>
      <c r="J766" s="22">
        <f t="shared" si="91"/>
        <v>-0.21768756234759934</v>
      </c>
      <c r="K766" s="8"/>
      <c r="L766" s="8">
        <v>1.3400110840823651</v>
      </c>
      <c r="M766" s="8">
        <v>1.3573080304401735</v>
      </c>
      <c r="N766" s="8">
        <v>1.5498583756534703</v>
      </c>
      <c r="O766" s="8">
        <v>1.5346108864692343</v>
      </c>
      <c r="P766" s="8">
        <f t="shared" si="92"/>
        <v>1.3486595572612692</v>
      </c>
      <c r="Q766" s="8">
        <f t="shared" si="93"/>
        <v>1.5422346310613522</v>
      </c>
      <c r="R766" s="8">
        <f t="shared" si="94"/>
        <v>1.14353145889032</v>
      </c>
      <c r="S766" s="22">
        <f t="shared" si="95"/>
        <v>0.19349605526490291</v>
      </c>
      <c r="T766" s="25"/>
      <c r="U766" s="1" t="s">
        <v>2175</v>
      </c>
    </row>
    <row r="767" spans="1:21">
      <c r="A767" s="6" t="s">
        <v>2176</v>
      </c>
      <c r="B767" s="6" t="s">
        <v>2177</v>
      </c>
      <c r="C767" s="7">
        <v>1.8937706148184248</v>
      </c>
      <c r="D767" s="7">
        <v>1.2703282394016528</v>
      </c>
      <c r="E767" s="7">
        <v>1.4886545111265979</v>
      </c>
      <c r="F767" s="8">
        <v>1.250009332261472</v>
      </c>
      <c r="G767" s="8">
        <f t="shared" si="88"/>
        <v>1.5820494271100389</v>
      </c>
      <c r="H767" s="8">
        <f t="shared" si="89"/>
        <v>1.3693319216940349</v>
      </c>
      <c r="I767" s="8">
        <f t="shared" si="90"/>
        <v>0.86554307231438443</v>
      </c>
      <c r="J767" s="22">
        <f t="shared" si="91"/>
        <v>-0.20832248018489488</v>
      </c>
      <c r="K767" s="8"/>
      <c r="L767" s="8">
        <v>1.3264737454250151</v>
      </c>
      <c r="M767" s="8">
        <v>1.3519259113607889</v>
      </c>
      <c r="N767" s="8">
        <v>1.5563482856505961</v>
      </c>
      <c r="O767" s="8">
        <v>1.5531763671256043</v>
      </c>
      <c r="P767" s="8">
        <f t="shared" si="92"/>
        <v>1.3391998283929021</v>
      </c>
      <c r="Q767" s="8">
        <f t="shared" si="93"/>
        <v>1.5547623263881003</v>
      </c>
      <c r="R767" s="8">
        <f t="shared" si="94"/>
        <v>1.1609636541350834</v>
      </c>
      <c r="S767" s="22">
        <f t="shared" si="95"/>
        <v>0.21532280698396114</v>
      </c>
      <c r="T767" s="25"/>
      <c r="U767" s="1" t="s">
        <v>2178</v>
      </c>
    </row>
    <row r="768" spans="1:21">
      <c r="A768" s="6" t="s">
        <v>2179</v>
      </c>
      <c r="B768" s="6" t="s">
        <v>2180</v>
      </c>
      <c r="C768" s="7">
        <v>1.8419652823817423</v>
      </c>
      <c r="D768" s="7">
        <v>1.275137850214318</v>
      </c>
      <c r="E768" s="7">
        <v>1.4126919893042422</v>
      </c>
      <c r="F768" s="8">
        <v>1.1436705618420446</v>
      </c>
      <c r="G768" s="8">
        <f t="shared" si="88"/>
        <v>1.5585515662980303</v>
      </c>
      <c r="H768" s="8">
        <f t="shared" si="89"/>
        <v>1.2781812755731434</v>
      </c>
      <c r="I768" s="8">
        <f t="shared" si="90"/>
        <v>0.82010842837183762</v>
      </c>
      <c r="J768" s="22">
        <f t="shared" si="91"/>
        <v>-0.28611343060424232</v>
      </c>
      <c r="K768" s="8"/>
      <c r="L768" s="8">
        <v>1.3612999399435133</v>
      </c>
      <c r="M768" s="8">
        <v>1.4629613680202673</v>
      </c>
      <c r="N768" s="8">
        <v>1.3071018075910474</v>
      </c>
      <c r="O768" s="8">
        <v>1.5822668039691621</v>
      </c>
      <c r="P768" s="8">
        <f t="shared" si="92"/>
        <v>1.4121306539818903</v>
      </c>
      <c r="Q768" s="8">
        <f t="shared" si="93"/>
        <v>1.4446843057801049</v>
      </c>
      <c r="R768" s="8">
        <f t="shared" si="94"/>
        <v>1.0230528610836545</v>
      </c>
      <c r="S768" s="22">
        <f t="shared" si="95"/>
        <v>3.2880690980575722E-2</v>
      </c>
      <c r="T768" s="25"/>
      <c r="U768" s="1" t="s">
        <v>2181</v>
      </c>
    </row>
    <row r="769" spans="1:21">
      <c r="A769" s="6" t="s">
        <v>2182</v>
      </c>
      <c r="B769" s="6" t="s">
        <v>2183</v>
      </c>
      <c r="C769" s="7">
        <v>1.6724833523858562</v>
      </c>
      <c r="D769" s="7">
        <v>1.0717573271046341</v>
      </c>
      <c r="E769" s="7">
        <v>1.3055671920543765</v>
      </c>
      <c r="F769" s="8">
        <v>1.2128801476886439</v>
      </c>
      <c r="G769" s="8">
        <f t="shared" si="88"/>
        <v>1.3721203397452451</v>
      </c>
      <c r="H769" s="8">
        <f t="shared" si="89"/>
        <v>1.2592236698715102</v>
      </c>
      <c r="I769" s="8">
        <f t="shared" si="90"/>
        <v>0.91772101425542907</v>
      </c>
      <c r="J769" s="22">
        <f t="shared" si="91"/>
        <v>-0.12387245162119999</v>
      </c>
      <c r="K769" s="8"/>
      <c r="L769" s="8">
        <v>1.2874194506135361</v>
      </c>
      <c r="M769" s="8">
        <v>1.224159084519745</v>
      </c>
      <c r="N769" s="8">
        <v>1.3121070976541902</v>
      </c>
      <c r="O769" s="8">
        <v>1.4532570405759928</v>
      </c>
      <c r="P769" s="8">
        <f t="shared" si="92"/>
        <v>1.2557892675666404</v>
      </c>
      <c r="Q769" s="8">
        <f t="shared" si="93"/>
        <v>1.3826820691150914</v>
      </c>
      <c r="R769" s="8">
        <f t="shared" si="94"/>
        <v>1.1010462541970381</v>
      </c>
      <c r="S769" s="22">
        <f t="shared" si="95"/>
        <v>0.13887507680329192</v>
      </c>
      <c r="T769" s="25"/>
      <c r="U769" s="1" t="s">
        <v>2184</v>
      </c>
    </row>
    <row r="770" spans="1:21">
      <c r="A770" s="6" t="s">
        <v>2185</v>
      </c>
      <c r="B770" s="6" t="s">
        <v>2186</v>
      </c>
      <c r="C770" s="7">
        <v>1.6868632567834325</v>
      </c>
      <c r="D770" s="7">
        <v>1.124028051675221</v>
      </c>
      <c r="E770" s="7">
        <v>1.7619867903516442</v>
      </c>
      <c r="F770" s="8">
        <v>1.0683055203519782</v>
      </c>
      <c r="G770" s="8">
        <f t="shared" si="88"/>
        <v>1.4054456542293268</v>
      </c>
      <c r="H770" s="8">
        <f t="shared" si="89"/>
        <v>1.4151461553518112</v>
      </c>
      <c r="I770" s="8">
        <f t="shared" si="90"/>
        <v>1.0069020819789747</v>
      </c>
      <c r="J770" s="22">
        <f t="shared" si="91"/>
        <v>9.9233926674871607E-3</v>
      </c>
      <c r="K770" s="8"/>
      <c r="L770" s="8">
        <v>1.3049994465685608</v>
      </c>
      <c r="M770" s="8">
        <v>1.2925275971730874</v>
      </c>
      <c r="N770" s="8">
        <v>1.5659771063652859</v>
      </c>
      <c r="O770" s="8">
        <v>1.46071033573001</v>
      </c>
      <c r="P770" s="8">
        <f t="shared" si="92"/>
        <v>1.298763521870824</v>
      </c>
      <c r="Q770" s="8">
        <f t="shared" si="93"/>
        <v>1.5133437210476479</v>
      </c>
      <c r="R770" s="8">
        <f t="shared" si="94"/>
        <v>1.1652188374275623</v>
      </c>
      <c r="S770" s="22">
        <f t="shared" si="95"/>
        <v>0.22060093000632236</v>
      </c>
      <c r="T770" s="25"/>
      <c r="U770" s="1" t="s">
        <v>2187</v>
      </c>
    </row>
    <row r="771" spans="1:21">
      <c r="A771" s="6" t="s">
        <v>2188</v>
      </c>
      <c r="B771" s="6" t="s">
        <v>80</v>
      </c>
      <c r="C771" s="7">
        <v>1.7957298081112825</v>
      </c>
      <c r="D771" s="7">
        <v>1.1324464423656246</v>
      </c>
      <c r="E771" s="7">
        <v>1.7107093214687326</v>
      </c>
      <c r="F771" s="8">
        <v>1.0259180050539334</v>
      </c>
      <c r="G771" s="8">
        <f t="shared" si="88"/>
        <v>1.4640881252384537</v>
      </c>
      <c r="H771" s="8">
        <f t="shared" si="89"/>
        <v>1.3683136632613331</v>
      </c>
      <c r="I771" s="8">
        <f t="shared" si="90"/>
        <v>0.93458422322664358</v>
      </c>
      <c r="J771" s="22">
        <f t="shared" si="91"/>
        <v>-9.7603411702194151E-2</v>
      </c>
      <c r="K771" s="8"/>
      <c r="L771" s="8">
        <v>1.2729919855787164</v>
      </c>
      <c r="M771" s="8">
        <v>1.2532147273758432</v>
      </c>
      <c r="N771" s="8">
        <v>1.4439413477918819</v>
      </c>
      <c r="O771" s="8">
        <v>1.5317650828649731</v>
      </c>
      <c r="P771" s="8">
        <f t="shared" si="92"/>
        <v>1.2631033564772798</v>
      </c>
      <c r="Q771" s="8">
        <f t="shared" si="93"/>
        <v>1.4878532153284274</v>
      </c>
      <c r="R771" s="8">
        <f t="shared" si="94"/>
        <v>1.1779346541188533</v>
      </c>
      <c r="S771" s="22">
        <f t="shared" si="95"/>
        <v>0.23625950793445794</v>
      </c>
      <c r="T771" s="25"/>
      <c r="U771" s="1">
        <v>0</v>
      </c>
    </row>
    <row r="772" spans="1:21">
      <c r="A772" s="6" t="s">
        <v>2189</v>
      </c>
      <c r="B772" s="6" t="s">
        <v>80</v>
      </c>
      <c r="C772" s="7">
        <v>1.7959935443491419</v>
      </c>
      <c r="D772" s="7">
        <v>1.2455948943859336</v>
      </c>
      <c r="E772" s="7">
        <v>1.959753643806367</v>
      </c>
      <c r="F772" s="8">
        <v>1.1706235995319494</v>
      </c>
      <c r="G772" s="8">
        <f t="shared" si="88"/>
        <v>1.5207942193675379</v>
      </c>
      <c r="H772" s="8">
        <f t="shared" si="89"/>
        <v>1.5651886216691582</v>
      </c>
      <c r="I772" s="8">
        <f t="shared" si="90"/>
        <v>1.0291915906414235</v>
      </c>
      <c r="J772" s="22">
        <f t="shared" si="91"/>
        <v>4.1511574203899643E-2</v>
      </c>
      <c r="K772" s="8"/>
      <c r="L772" s="8">
        <v>1.1996307366355965</v>
      </c>
      <c r="M772" s="8">
        <v>1.1919833726321194</v>
      </c>
      <c r="N772" s="8">
        <v>1.3871864486013312</v>
      </c>
      <c r="O772" s="8">
        <v>1.4242569467039989</v>
      </c>
      <c r="P772" s="8">
        <f t="shared" si="92"/>
        <v>1.1958070546338579</v>
      </c>
      <c r="Q772" s="8">
        <f t="shared" si="93"/>
        <v>1.4057216976526652</v>
      </c>
      <c r="R772" s="8">
        <f t="shared" si="94"/>
        <v>1.1755422350164013</v>
      </c>
      <c r="S772" s="22">
        <f t="shared" si="95"/>
        <v>0.2333263732351798</v>
      </c>
      <c r="T772" s="25"/>
      <c r="U772" s="1">
        <v>0</v>
      </c>
    </row>
    <row r="773" spans="1:21">
      <c r="A773" s="6" t="s">
        <v>2190</v>
      </c>
      <c r="B773" s="6" t="s">
        <v>2191</v>
      </c>
      <c r="C773" s="7">
        <v>1.0353997592090101</v>
      </c>
      <c r="D773" s="7">
        <v>0.99524196538571341</v>
      </c>
      <c r="E773" s="7">
        <v>1.0996851371625789</v>
      </c>
      <c r="F773" s="8">
        <v>1.0782464009914909</v>
      </c>
      <c r="G773" s="8">
        <f t="shared" si="88"/>
        <v>1.0153208622973617</v>
      </c>
      <c r="H773" s="8">
        <f t="shared" si="89"/>
        <v>1.0889657690770349</v>
      </c>
      <c r="I773" s="8">
        <f t="shared" si="90"/>
        <v>1.0725336290372653</v>
      </c>
      <c r="J773" s="22">
        <f t="shared" si="91"/>
        <v>0.10102288379444684</v>
      </c>
      <c r="K773" s="8"/>
      <c r="L773" s="8">
        <v>1.4225944367655079</v>
      </c>
      <c r="M773" s="8">
        <v>1.4078442777115845</v>
      </c>
      <c r="N773" s="8">
        <v>1.2086502396284964</v>
      </c>
      <c r="O773" s="8">
        <v>1.787672952695083</v>
      </c>
      <c r="P773" s="8">
        <f t="shared" si="92"/>
        <v>1.4152193572385463</v>
      </c>
      <c r="Q773" s="8">
        <f t="shared" si="93"/>
        <v>1.4981615961617898</v>
      </c>
      <c r="R773" s="8">
        <f t="shared" si="94"/>
        <v>1.0586073377946759</v>
      </c>
      <c r="S773" s="22">
        <f t="shared" si="95"/>
        <v>8.2167559239686716E-2</v>
      </c>
      <c r="T773" s="25"/>
      <c r="U773" s="1" t="s">
        <v>2192</v>
      </c>
    </row>
    <row r="774" spans="1:21">
      <c r="A774" s="6" t="s">
        <v>2193</v>
      </c>
      <c r="B774" s="6" t="s">
        <v>2194</v>
      </c>
      <c r="C774" s="7">
        <v>1.1177546459634542</v>
      </c>
      <c r="D774" s="7">
        <v>0.87067746670739743</v>
      </c>
      <c r="E774" s="7">
        <v>1.2292418373500811</v>
      </c>
      <c r="F774" s="8">
        <v>1.2789638870116025</v>
      </c>
      <c r="G774" s="8">
        <f t="shared" ref="G774:G837" si="96">AVERAGE(C774:D774)</f>
        <v>0.99421605633542587</v>
      </c>
      <c r="H774" s="8">
        <f t="shared" ref="H774:H837" si="97">AVERAGE(E774:F774)</f>
        <v>1.2541028621808419</v>
      </c>
      <c r="I774" s="8">
        <f t="shared" ref="I774:I837" si="98">H774/G774</f>
        <v>1.2613987213235431</v>
      </c>
      <c r="J774" s="22">
        <f t="shared" ref="J774:J837" si="99">LOG(I774,2)</f>
        <v>0.33502437586639106</v>
      </c>
      <c r="K774" s="8"/>
      <c r="L774" s="8">
        <v>0.33207670916974213</v>
      </c>
      <c r="M774" s="8">
        <v>0.34820223189560301</v>
      </c>
      <c r="N774" s="8">
        <v>0.28382132059408716</v>
      </c>
      <c r="O774" s="8">
        <v>0.33586764792156915</v>
      </c>
      <c r="P774" s="8">
        <f t="shared" ref="P774:P837" si="100">AVERAGE(L774:M774)</f>
        <v>0.34013947053267257</v>
      </c>
      <c r="Q774" s="8">
        <f t="shared" ref="Q774:Q837" si="101">AVERAGE(N774:O774)</f>
        <v>0.30984448425782818</v>
      </c>
      <c r="R774" s="8">
        <f t="shared" ref="R774:R837" si="102">Q774/P774</f>
        <v>0.91093363487806578</v>
      </c>
      <c r="S774" s="22">
        <f t="shared" ref="S774:S837" si="103">LOG(R774,2)</f>
        <v>-0.13458214307727623</v>
      </c>
      <c r="T774" s="25"/>
      <c r="U774" s="1" t="s">
        <v>2195</v>
      </c>
    </row>
    <row r="775" spans="1:21">
      <c r="A775" s="6" t="s">
        <v>2196</v>
      </c>
      <c r="B775" s="6" t="s">
        <v>2197</v>
      </c>
      <c r="C775" s="7">
        <v>0.76627668741571608</v>
      </c>
      <c r="D775" s="7">
        <v>0.71341975851612993</v>
      </c>
      <c r="E775" s="7">
        <v>0.89083721039644814</v>
      </c>
      <c r="F775" s="8">
        <v>0.8654943345889603</v>
      </c>
      <c r="G775" s="8">
        <f t="shared" si="96"/>
        <v>0.73984822296592301</v>
      </c>
      <c r="H775" s="8">
        <f t="shared" si="97"/>
        <v>0.87816577249270422</v>
      </c>
      <c r="I775" s="8">
        <f t="shared" si="98"/>
        <v>1.1869539524908097</v>
      </c>
      <c r="J775" s="22">
        <f t="shared" si="99"/>
        <v>0.24726396716031521</v>
      </c>
      <c r="K775" s="8"/>
      <c r="L775" s="8">
        <v>0.16795222882026478</v>
      </c>
      <c r="M775" s="8">
        <v>0.17519272355991949</v>
      </c>
      <c r="N775" s="8">
        <v>0.26716448080979849</v>
      </c>
      <c r="O775" s="8">
        <v>0.22347789243134364</v>
      </c>
      <c r="P775" s="8">
        <f t="shared" si="100"/>
        <v>0.17157247619009214</v>
      </c>
      <c r="Q775" s="8">
        <f t="shared" si="101"/>
        <v>0.24532118662057106</v>
      </c>
      <c r="R775" s="8">
        <f t="shared" si="102"/>
        <v>1.4298399840588052</v>
      </c>
      <c r="S775" s="22">
        <f t="shared" si="103"/>
        <v>0.51585370146380749</v>
      </c>
      <c r="T775" s="25"/>
      <c r="U775" s="1" t="s">
        <v>2198</v>
      </c>
    </row>
    <row r="776" spans="1:21">
      <c r="A776" s="6" t="s">
        <v>2199</v>
      </c>
      <c r="B776" s="6" t="s">
        <v>2200</v>
      </c>
      <c r="C776" s="7">
        <v>1.0718676631390593</v>
      </c>
      <c r="D776" s="7">
        <v>1.0424213001034759</v>
      </c>
      <c r="E776" s="7">
        <v>1.1013158872605766</v>
      </c>
      <c r="F776" s="8">
        <v>1.1432925650831336</v>
      </c>
      <c r="G776" s="8">
        <f t="shared" si="96"/>
        <v>1.0571444816212676</v>
      </c>
      <c r="H776" s="8">
        <f t="shared" si="97"/>
        <v>1.1223042261718552</v>
      </c>
      <c r="I776" s="8">
        <f t="shared" si="98"/>
        <v>1.0616375014800783</v>
      </c>
      <c r="J776" s="22">
        <f t="shared" si="99"/>
        <v>8.6291238748162927E-2</v>
      </c>
      <c r="K776" s="8"/>
      <c r="L776" s="8">
        <v>1.0011124597423735</v>
      </c>
      <c r="M776" s="8">
        <v>1.001931016964007</v>
      </c>
      <c r="N776" s="8">
        <v>0.91519041061990514</v>
      </c>
      <c r="O776" s="8">
        <v>1.1293042781062388</v>
      </c>
      <c r="P776" s="8">
        <f t="shared" si="100"/>
        <v>1.0015217383531902</v>
      </c>
      <c r="Q776" s="8">
        <f t="shared" si="101"/>
        <v>1.022247344363072</v>
      </c>
      <c r="R776" s="8">
        <f t="shared" si="102"/>
        <v>1.020694114981429</v>
      </c>
      <c r="S776" s="22">
        <f t="shared" si="103"/>
        <v>2.9550579322748263E-2</v>
      </c>
      <c r="T776" s="25"/>
      <c r="U776" s="1" t="s">
        <v>2201</v>
      </c>
    </row>
    <row r="777" spans="1:21">
      <c r="A777" s="6" t="s">
        <v>2202</v>
      </c>
      <c r="B777" s="6" t="s">
        <v>2203</v>
      </c>
      <c r="C777" s="7">
        <v>0.17422683172599046</v>
      </c>
      <c r="D777" s="7">
        <v>0.21472360738671331</v>
      </c>
      <c r="E777" s="7">
        <v>0.65186037618250503</v>
      </c>
      <c r="F777" s="8">
        <v>0.64309974637384937</v>
      </c>
      <c r="G777" s="8">
        <f t="shared" si="96"/>
        <v>0.19447521955635189</v>
      </c>
      <c r="H777" s="8">
        <f t="shared" si="97"/>
        <v>0.64748006127817725</v>
      </c>
      <c r="I777" s="8">
        <f t="shared" si="98"/>
        <v>3.3293705118587664</v>
      </c>
      <c r="J777" s="22">
        <f t="shared" si="99"/>
        <v>1.735249430969916</v>
      </c>
      <c r="K777" s="8"/>
      <c r="L777" s="8">
        <v>0.52201896236810208</v>
      </c>
      <c r="M777" s="8">
        <v>0.52009953624912852</v>
      </c>
      <c r="N777" s="8">
        <v>0.57522243906754156</v>
      </c>
      <c r="O777" s="8">
        <v>1.1355119973404428</v>
      </c>
      <c r="P777" s="8">
        <f t="shared" si="100"/>
        <v>0.52105924930861525</v>
      </c>
      <c r="Q777" s="8">
        <f t="shared" si="101"/>
        <v>0.8553672182039922</v>
      </c>
      <c r="R777" s="8">
        <f t="shared" si="102"/>
        <v>1.6415930037495057</v>
      </c>
      <c r="S777" s="22">
        <f t="shared" si="103"/>
        <v>0.71509648749680943</v>
      </c>
      <c r="T777" s="25"/>
      <c r="U777" s="1" t="s">
        <v>2204</v>
      </c>
    </row>
    <row r="778" spans="1:21">
      <c r="A778" s="6" t="s">
        <v>2205</v>
      </c>
      <c r="B778" s="6" t="s">
        <v>2206</v>
      </c>
      <c r="C778" s="7">
        <v>1.0704241011171105</v>
      </c>
      <c r="D778" s="7">
        <v>1.0158690212846067</v>
      </c>
      <c r="E778" s="7">
        <v>1.1852195785771695</v>
      </c>
      <c r="F778" s="8">
        <v>1.1870702084125138</v>
      </c>
      <c r="G778" s="8">
        <f t="shared" si="96"/>
        <v>1.0431465612008586</v>
      </c>
      <c r="H778" s="8">
        <f t="shared" si="97"/>
        <v>1.1861448934948418</v>
      </c>
      <c r="I778" s="8">
        <f t="shared" si="98"/>
        <v>1.137083644439536</v>
      </c>
      <c r="J778" s="22">
        <f t="shared" si="99"/>
        <v>0.18533838349982604</v>
      </c>
      <c r="K778" s="8"/>
      <c r="L778" s="8">
        <v>1.0837215211272249</v>
      </c>
      <c r="M778" s="8">
        <v>1.1016998334375845</v>
      </c>
      <c r="N778" s="8">
        <v>1.0440937634449479</v>
      </c>
      <c r="O778" s="8">
        <v>1.1393167284839871</v>
      </c>
      <c r="P778" s="8">
        <f t="shared" si="100"/>
        <v>1.0927106772824047</v>
      </c>
      <c r="Q778" s="8">
        <f t="shared" si="101"/>
        <v>1.0917052459644676</v>
      </c>
      <c r="R778" s="8">
        <f t="shared" si="102"/>
        <v>0.99907987417086686</v>
      </c>
      <c r="S778" s="22">
        <f t="shared" si="103"/>
        <v>-1.328072061129539E-3</v>
      </c>
      <c r="T778" s="25"/>
      <c r="U778" s="1" t="s">
        <v>2207</v>
      </c>
    </row>
    <row r="779" spans="1:21">
      <c r="A779" s="6" t="s">
        <v>2208</v>
      </c>
      <c r="B779" s="6" t="s">
        <v>2209</v>
      </c>
      <c r="C779" s="7">
        <v>1.2071052563627278</v>
      </c>
      <c r="D779" s="7">
        <v>1.0246995582870739</v>
      </c>
      <c r="E779" s="7">
        <v>1.3276464143420075</v>
      </c>
      <c r="F779" s="8">
        <v>1.155594580585162</v>
      </c>
      <c r="G779" s="8">
        <f t="shared" si="96"/>
        <v>1.1159024073249009</v>
      </c>
      <c r="H779" s="8">
        <f t="shared" si="97"/>
        <v>1.2416204974635847</v>
      </c>
      <c r="I779" s="8">
        <f t="shared" si="98"/>
        <v>1.1126604704080367</v>
      </c>
      <c r="J779" s="22">
        <f t="shared" si="99"/>
        <v>0.15401341982433303</v>
      </c>
      <c r="K779" s="8"/>
      <c r="L779" s="8">
        <v>0.84015173067997562</v>
      </c>
      <c r="M779" s="8">
        <v>1.3114532659245608</v>
      </c>
      <c r="N779" s="8">
        <v>0.70548266929074277</v>
      </c>
      <c r="O779" s="8">
        <v>1.097064187889889</v>
      </c>
      <c r="P779" s="8">
        <f t="shared" si="100"/>
        <v>1.0758024983022683</v>
      </c>
      <c r="Q779" s="8">
        <f t="shared" si="101"/>
        <v>0.90127342859031589</v>
      </c>
      <c r="R779" s="8">
        <f t="shared" si="102"/>
        <v>0.83776848446868457</v>
      </c>
      <c r="S779" s="22">
        <f t="shared" si="103"/>
        <v>-0.25537648157804804</v>
      </c>
      <c r="T779" s="25"/>
      <c r="U779" s="1" t="s">
        <v>2210</v>
      </c>
    </row>
    <row r="780" spans="1:21">
      <c r="A780" s="6" t="s">
        <v>2211</v>
      </c>
      <c r="B780" s="6" t="s">
        <v>2212</v>
      </c>
      <c r="C780" s="7">
        <v>1.0958530013499033</v>
      </c>
      <c r="D780" s="7">
        <v>1.1154046772986772</v>
      </c>
      <c r="E780" s="7">
        <v>1.0211773101408317</v>
      </c>
      <c r="F780" s="8">
        <v>1.1432777075764886</v>
      </c>
      <c r="G780" s="8">
        <f t="shared" si="96"/>
        <v>1.1056288393242903</v>
      </c>
      <c r="H780" s="8">
        <f t="shared" si="97"/>
        <v>1.0822275088586601</v>
      </c>
      <c r="I780" s="8">
        <f t="shared" si="98"/>
        <v>0.97883437042042787</v>
      </c>
      <c r="J780" s="22">
        <f t="shared" si="99"/>
        <v>-3.0863334331807057E-2</v>
      </c>
      <c r="K780" s="8"/>
      <c r="L780" s="8">
        <v>1.0311095089828302</v>
      </c>
      <c r="M780" s="8">
        <v>1.2185636370443307</v>
      </c>
      <c r="N780" s="8">
        <v>1.0094699953540109</v>
      </c>
      <c r="O780" s="8">
        <v>1.1347610635621117</v>
      </c>
      <c r="P780" s="8">
        <f t="shared" si="100"/>
        <v>1.1248365730135803</v>
      </c>
      <c r="Q780" s="8">
        <f t="shared" si="101"/>
        <v>1.0721155294580613</v>
      </c>
      <c r="R780" s="8">
        <f t="shared" si="102"/>
        <v>0.95313004144746771</v>
      </c>
      <c r="S780" s="22">
        <f t="shared" si="103"/>
        <v>-6.9255031484169394E-2</v>
      </c>
      <c r="T780" s="25"/>
      <c r="U780" s="1" t="s">
        <v>2213</v>
      </c>
    </row>
    <row r="781" spans="1:21">
      <c r="A781" s="6" t="s">
        <v>2214</v>
      </c>
      <c r="B781" s="6" t="s">
        <v>2215</v>
      </c>
      <c r="C781" s="7">
        <v>1.1806377753087138</v>
      </c>
      <c r="D781" s="7">
        <v>1.1106254019286397</v>
      </c>
      <c r="E781" s="7">
        <v>1.2763177556202234</v>
      </c>
      <c r="F781" s="8">
        <v>1.2502740416801812</v>
      </c>
      <c r="G781" s="8">
        <f t="shared" si="96"/>
        <v>1.1456315886186768</v>
      </c>
      <c r="H781" s="8">
        <f t="shared" si="97"/>
        <v>1.2632958986502023</v>
      </c>
      <c r="I781" s="8">
        <f t="shared" si="98"/>
        <v>1.1027069358076946</v>
      </c>
      <c r="J781" s="22">
        <f t="shared" si="99"/>
        <v>0.14104941972750512</v>
      </c>
      <c r="K781" s="8"/>
      <c r="L781" s="8">
        <v>0.56084326828608877</v>
      </c>
      <c r="M781" s="8">
        <v>0.2992240639405726</v>
      </c>
      <c r="N781" s="8">
        <v>0.38876876901026541</v>
      </c>
      <c r="O781" s="8">
        <v>0.45491568291299728</v>
      </c>
      <c r="P781" s="8">
        <f t="shared" si="100"/>
        <v>0.43003366611333071</v>
      </c>
      <c r="Q781" s="8">
        <f t="shared" si="101"/>
        <v>0.42184222596163135</v>
      </c>
      <c r="R781" s="8">
        <f t="shared" si="102"/>
        <v>0.98095163054154788</v>
      </c>
      <c r="S781" s="22">
        <f t="shared" si="103"/>
        <v>-2.7746094118944718E-2</v>
      </c>
      <c r="T781" s="25"/>
      <c r="U781" s="1" t="s">
        <v>2216</v>
      </c>
    </row>
    <row r="782" spans="1:21">
      <c r="A782" s="6" t="s">
        <v>2217</v>
      </c>
      <c r="B782" s="17" t="s">
        <v>2218</v>
      </c>
      <c r="C782" s="18">
        <v>1.1503621645768889</v>
      </c>
      <c r="D782" s="18">
        <v>1.0822665705016319</v>
      </c>
      <c r="E782" s="18">
        <v>1.1291985163871274</v>
      </c>
      <c r="F782" s="8">
        <v>1.1273207454397998</v>
      </c>
      <c r="G782" s="8">
        <f t="shared" si="96"/>
        <v>1.1163143675392604</v>
      </c>
      <c r="H782" s="8">
        <f t="shared" si="97"/>
        <v>1.1282596309134636</v>
      </c>
      <c r="I782" s="8">
        <f t="shared" si="98"/>
        <v>1.0107006267423886</v>
      </c>
      <c r="J782" s="22">
        <f t="shared" si="99"/>
        <v>1.535572891882832E-2</v>
      </c>
      <c r="K782" s="8"/>
      <c r="L782" s="8">
        <v>1.0056823227125995</v>
      </c>
      <c r="M782" s="8">
        <v>0.90809395506193868</v>
      </c>
      <c r="N782" s="8">
        <v>0.98078841448949128</v>
      </c>
      <c r="O782" s="8">
        <v>1.2870504338076645</v>
      </c>
      <c r="P782" s="8">
        <f t="shared" si="100"/>
        <v>0.95688813888726909</v>
      </c>
      <c r="Q782" s="8">
        <f t="shared" si="101"/>
        <v>1.1339194241485779</v>
      </c>
      <c r="R782" s="8">
        <f t="shared" si="102"/>
        <v>1.1850072940262089</v>
      </c>
      <c r="S782" s="22">
        <f t="shared" si="103"/>
        <v>0.2448959393117652</v>
      </c>
      <c r="T782" s="25"/>
      <c r="U782" s="1" t="s">
        <v>2219</v>
      </c>
    </row>
    <row r="783" spans="1:21">
      <c r="A783" s="6" t="s">
        <v>2220</v>
      </c>
      <c r="B783" s="6" t="s">
        <v>2221</v>
      </c>
      <c r="C783" s="7">
        <v>1.0922147024982038</v>
      </c>
      <c r="D783" s="7">
        <v>1.1481113685475104</v>
      </c>
      <c r="E783" s="7">
        <v>1.0773582497914618</v>
      </c>
      <c r="F783" s="8">
        <v>1.0244919419500191</v>
      </c>
      <c r="G783" s="8">
        <f t="shared" si="96"/>
        <v>1.1201630355228571</v>
      </c>
      <c r="H783" s="8">
        <f t="shared" si="97"/>
        <v>1.0509250958707406</v>
      </c>
      <c r="I783" s="8">
        <f t="shared" si="98"/>
        <v>0.93818940863389721</v>
      </c>
      <c r="J783" s="22">
        <f t="shared" si="99"/>
        <v>-9.2048880770161962E-2</v>
      </c>
      <c r="K783" s="8"/>
      <c r="L783" s="8">
        <v>1.4055648619362904</v>
      </c>
      <c r="M783" s="8">
        <v>0.98133464692404471</v>
      </c>
      <c r="N783" s="8">
        <v>1.0766588210007482</v>
      </c>
      <c r="O783" s="8">
        <v>1.4336827695897894</v>
      </c>
      <c r="P783" s="8">
        <f t="shared" si="100"/>
        <v>1.1934497544301674</v>
      </c>
      <c r="Q783" s="8">
        <f t="shared" si="101"/>
        <v>1.2551707952952689</v>
      </c>
      <c r="R783" s="8">
        <f t="shared" si="102"/>
        <v>1.0517164971847275</v>
      </c>
      <c r="S783" s="22">
        <f t="shared" si="103"/>
        <v>7.2745861258311284E-2</v>
      </c>
      <c r="T783" s="25"/>
      <c r="U783" s="1" t="s">
        <v>2222</v>
      </c>
    </row>
    <row r="784" spans="1:21">
      <c r="A784" s="6" t="s">
        <v>2223</v>
      </c>
      <c r="B784" s="6" t="s">
        <v>2224</v>
      </c>
      <c r="C784" s="7">
        <v>1.2056812902053302</v>
      </c>
      <c r="D784" s="7">
        <v>1.239247903107326</v>
      </c>
      <c r="E784" s="7">
        <v>1.1514614527740092</v>
      </c>
      <c r="F784" s="8">
        <v>1.0780383958984614</v>
      </c>
      <c r="G784" s="8">
        <f t="shared" si="96"/>
        <v>1.2224645966563281</v>
      </c>
      <c r="H784" s="8">
        <f t="shared" si="97"/>
        <v>1.1147499243362353</v>
      </c>
      <c r="I784" s="8">
        <f t="shared" si="98"/>
        <v>0.91188728686727383</v>
      </c>
      <c r="J784" s="22">
        <f t="shared" si="99"/>
        <v>-0.13307258269789085</v>
      </c>
      <c r="K784" s="8"/>
      <c r="L784" s="8">
        <v>1.3223699206834614</v>
      </c>
      <c r="M784" s="8">
        <v>0.99262145770594412</v>
      </c>
      <c r="N784" s="8">
        <v>1.2870683954668891</v>
      </c>
      <c r="O784" s="8">
        <v>1.3766618646885123</v>
      </c>
      <c r="P784" s="8">
        <f t="shared" si="100"/>
        <v>1.1574956891947028</v>
      </c>
      <c r="Q784" s="8">
        <f t="shared" si="101"/>
        <v>1.3318651300777007</v>
      </c>
      <c r="R784" s="8">
        <f t="shared" si="102"/>
        <v>1.1506437065042643</v>
      </c>
      <c r="S784" s="22">
        <f t="shared" si="103"/>
        <v>0.20244117627289593</v>
      </c>
      <c r="T784" s="25"/>
      <c r="U784" s="1" t="s">
        <v>2225</v>
      </c>
    </row>
    <row r="785" spans="1:21">
      <c r="A785" s="6" t="s">
        <v>2226</v>
      </c>
      <c r="B785" s="6" t="s">
        <v>2227</v>
      </c>
      <c r="C785" s="7">
        <v>1.1949362244763437</v>
      </c>
      <c r="D785" s="7">
        <v>2.0017748845722916</v>
      </c>
      <c r="E785" s="7">
        <v>1.1004045857352249</v>
      </c>
      <c r="F785" s="8">
        <v>1.0984600387819614</v>
      </c>
      <c r="G785" s="8">
        <f t="shared" si="96"/>
        <v>1.5983555545243178</v>
      </c>
      <c r="H785" s="8">
        <f t="shared" si="97"/>
        <v>1.0994323122585932</v>
      </c>
      <c r="I785" s="8">
        <f t="shared" si="98"/>
        <v>0.68785215476402073</v>
      </c>
      <c r="J785" s="22">
        <f t="shared" si="99"/>
        <v>-0.53982958593344355</v>
      </c>
      <c r="K785" s="8"/>
      <c r="L785" s="8">
        <v>1.5294589246846344</v>
      </c>
      <c r="M785" s="8">
        <v>0.94483787921323148</v>
      </c>
      <c r="N785" s="8">
        <v>1.0175644708671623</v>
      </c>
      <c r="O785" s="8">
        <v>1.3021191716261757</v>
      </c>
      <c r="P785" s="8">
        <f t="shared" si="100"/>
        <v>1.2371484019489329</v>
      </c>
      <c r="Q785" s="8">
        <f t="shared" si="101"/>
        <v>1.159841821246669</v>
      </c>
      <c r="R785" s="8">
        <f t="shared" si="102"/>
        <v>0.93751228180832669</v>
      </c>
      <c r="S785" s="22">
        <f t="shared" si="103"/>
        <v>-9.3090504351051637E-2</v>
      </c>
      <c r="T785" s="25"/>
      <c r="U785" s="1" t="s">
        <v>2228</v>
      </c>
    </row>
    <row r="786" spans="1:21">
      <c r="A786" s="6" t="s">
        <v>2229</v>
      </c>
      <c r="B786" s="6" t="s">
        <v>2230</v>
      </c>
      <c r="C786" s="7">
        <v>1.1446728319021491</v>
      </c>
      <c r="D786" s="7">
        <v>2.0479565708348133</v>
      </c>
      <c r="E786" s="7">
        <v>1.0975267914446405</v>
      </c>
      <c r="F786" s="8">
        <v>1.1021298429232671</v>
      </c>
      <c r="G786" s="8">
        <f t="shared" si="96"/>
        <v>1.5963147013684811</v>
      </c>
      <c r="H786" s="8">
        <f t="shared" si="97"/>
        <v>1.0998283171839538</v>
      </c>
      <c r="I786" s="8">
        <f t="shared" si="98"/>
        <v>0.68897963305173981</v>
      </c>
      <c r="J786" s="22">
        <f t="shared" si="99"/>
        <v>-0.53746675888021811</v>
      </c>
      <c r="K786" s="8"/>
      <c r="L786" s="8">
        <v>1.3328766996491943</v>
      </c>
      <c r="M786" s="8">
        <v>1.3616672160819889</v>
      </c>
      <c r="N786" s="8">
        <v>1.5155384759912753</v>
      </c>
      <c r="O786" s="8">
        <v>1.7077235364287622</v>
      </c>
      <c r="P786" s="8">
        <f t="shared" si="100"/>
        <v>1.3472719578655916</v>
      </c>
      <c r="Q786" s="8">
        <f t="shared" si="101"/>
        <v>1.6116310062100188</v>
      </c>
      <c r="R786" s="8">
        <f t="shared" si="102"/>
        <v>1.1962180291819007</v>
      </c>
      <c r="S786" s="22">
        <f t="shared" si="103"/>
        <v>0.25848036692063014</v>
      </c>
      <c r="T786" s="25"/>
      <c r="U786" s="1" t="s">
        <v>2231</v>
      </c>
    </row>
    <row r="787" spans="1:21">
      <c r="A787" s="6" t="s">
        <v>2232</v>
      </c>
      <c r="B787" s="6" t="s">
        <v>2233</v>
      </c>
      <c r="C787" s="7">
        <v>1.3771059133004786</v>
      </c>
      <c r="D787" s="7">
        <v>2.1842501797301472</v>
      </c>
      <c r="E787" s="7">
        <v>1.1552425547169158</v>
      </c>
      <c r="F787" s="8">
        <v>1.1358563830073303</v>
      </c>
      <c r="G787" s="8">
        <f t="shared" si="96"/>
        <v>1.7806780465153129</v>
      </c>
      <c r="H787" s="8">
        <f t="shared" si="97"/>
        <v>1.1455494688621231</v>
      </c>
      <c r="I787" s="8">
        <f t="shared" si="98"/>
        <v>0.64332205987707836</v>
      </c>
      <c r="J787" s="22">
        <f t="shared" si="99"/>
        <v>-0.63638693452614803</v>
      </c>
      <c r="K787" s="8"/>
      <c r="L787" s="8">
        <v>1.5802742385672308</v>
      </c>
      <c r="M787" s="8">
        <v>1.1601935243510775</v>
      </c>
      <c r="N787" s="8">
        <v>1.1740732604133577</v>
      </c>
      <c r="O787" s="8">
        <v>1.6551081096936946</v>
      </c>
      <c r="P787" s="8">
        <f t="shared" si="100"/>
        <v>1.3702338814591541</v>
      </c>
      <c r="Q787" s="8">
        <f t="shared" si="101"/>
        <v>1.4145906850535261</v>
      </c>
      <c r="R787" s="8">
        <f t="shared" si="102"/>
        <v>1.0323717025206942</v>
      </c>
      <c r="S787" s="22">
        <f t="shared" si="103"/>
        <v>4.596250257651973E-2</v>
      </c>
      <c r="T787" s="25"/>
      <c r="U787" s="1" t="s">
        <v>2234</v>
      </c>
    </row>
    <row r="788" spans="1:21">
      <c r="A788" s="6" t="s">
        <v>2235</v>
      </c>
      <c r="B788" s="6" t="s">
        <v>2236</v>
      </c>
      <c r="C788" s="7">
        <v>1.4935967961033623</v>
      </c>
      <c r="D788" s="7">
        <v>1.8158347832928572</v>
      </c>
      <c r="E788" s="7">
        <v>1.1599749275503213</v>
      </c>
      <c r="F788" s="8">
        <v>0.99525979762605665</v>
      </c>
      <c r="G788" s="8">
        <f t="shared" si="96"/>
        <v>1.6547157896981097</v>
      </c>
      <c r="H788" s="8">
        <f t="shared" si="97"/>
        <v>1.0776173625881889</v>
      </c>
      <c r="I788" s="8">
        <f t="shared" si="98"/>
        <v>0.65124015211385144</v>
      </c>
      <c r="J788" s="22">
        <f t="shared" si="99"/>
        <v>-0.6187384433947658</v>
      </c>
      <c r="K788" s="8"/>
      <c r="L788" s="8">
        <v>1.3096758568772786</v>
      </c>
      <c r="M788" s="8">
        <v>1.347496913494495</v>
      </c>
      <c r="N788" s="8">
        <v>1.3845764126310958</v>
      </c>
      <c r="O788" s="8">
        <v>1.6664221786205502</v>
      </c>
      <c r="P788" s="8">
        <f t="shared" si="100"/>
        <v>1.3285863851858868</v>
      </c>
      <c r="Q788" s="8">
        <f t="shared" si="101"/>
        <v>1.5254992956258229</v>
      </c>
      <c r="R788" s="8">
        <f t="shared" si="102"/>
        <v>1.1482123500854522</v>
      </c>
      <c r="S788" s="22">
        <f t="shared" si="103"/>
        <v>0.19938947832434192</v>
      </c>
      <c r="T788" s="25"/>
      <c r="U788" s="1" t="s">
        <v>2237</v>
      </c>
    </row>
    <row r="789" spans="1:21">
      <c r="A789" s="6" t="s">
        <v>2238</v>
      </c>
      <c r="B789" s="6" t="s">
        <v>2239</v>
      </c>
      <c r="C789" s="7">
        <v>1.8660553936307385</v>
      </c>
      <c r="D789" s="7">
        <v>1.7189415475115859</v>
      </c>
      <c r="E789" s="7">
        <v>1.0993733761144322</v>
      </c>
      <c r="F789" s="8">
        <v>0.94803521275504554</v>
      </c>
      <c r="G789" s="8">
        <f t="shared" si="96"/>
        <v>1.7924984705711622</v>
      </c>
      <c r="H789" s="8">
        <f t="shared" si="97"/>
        <v>1.0237042944347388</v>
      </c>
      <c r="I789" s="8">
        <f t="shared" si="98"/>
        <v>0.57110469617781334</v>
      </c>
      <c r="J789" s="22">
        <f t="shared" si="99"/>
        <v>-0.80817284700368419</v>
      </c>
      <c r="K789" s="8"/>
      <c r="L789" s="8">
        <v>1.5793368307784665</v>
      </c>
      <c r="M789" s="8">
        <v>1.4071028083901458</v>
      </c>
      <c r="N789" s="8">
        <v>1.3192123531405022</v>
      </c>
      <c r="O789" s="8">
        <v>2.0544046307582997</v>
      </c>
      <c r="P789" s="8">
        <f t="shared" si="100"/>
        <v>1.4932198195843061</v>
      </c>
      <c r="Q789" s="8">
        <f t="shared" si="101"/>
        <v>1.6868084919494009</v>
      </c>
      <c r="R789" s="8">
        <f t="shared" si="102"/>
        <v>1.1296451264750742</v>
      </c>
      <c r="S789" s="22">
        <f t="shared" si="103"/>
        <v>0.17586962690287455</v>
      </c>
      <c r="T789" s="25"/>
      <c r="U789" s="1" t="s">
        <v>2240</v>
      </c>
    </row>
    <row r="790" spans="1:21">
      <c r="A790" s="6" t="s">
        <v>2241</v>
      </c>
      <c r="B790" s="6" t="s">
        <v>2242</v>
      </c>
      <c r="C790" s="7">
        <v>2.0264802047577328</v>
      </c>
      <c r="D790" s="7">
        <v>1.7917496621403262</v>
      </c>
      <c r="E790" s="7">
        <v>0.9989463492460674</v>
      </c>
      <c r="F790" s="8">
        <v>1.0505965811252169</v>
      </c>
      <c r="G790" s="8">
        <f t="shared" si="96"/>
        <v>1.9091149334490294</v>
      </c>
      <c r="H790" s="8">
        <f t="shared" si="97"/>
        <v>1.0247714651856421</v>
      </c>
      <c r="I790" s="8">
        <f t="shared" si="98"/>
        <v>0.53677829827368118</v>
      </c>
      <c r="J790" s="22">
        <f t="shared" si="99"/>
        <v>-0.89760174973867513</v>
      </c>
      <c r="K790" s="8"/>
      <c r="L790" s="8">
        <v>1.5484023737492456</v>
      </c>
      <c r="M790" s="8">
        <v>1.6189158778811183</v>
      </c>
      <c r="N790" s="8">
        <v>1.4582688920138334</v>
      </c>
      <c r="O790" s="8">
        <v>1.8609140272083122</v>
      </c>
      <c r="P790" s="8">
        <f t="shared" si="100"/>
        <v>1.583659125815182</v>
      </c>
      <c r="Q790" s="8">
        <f t="shared" si="101"/>
        <v>1.6595914596110728</v>
      </c>
      <c r="R790" s="8">
        <f t="shared" si="102"/>
        <v>1.0479473976174039</v>
      </c>
      <c r="S790" s="22">
        <f t="shared" si="103"/>
        <v>6.7566301702527698E-2</v>
      </c>
      <c r="T790" s="25"/>
      <c r="U790" s="1" t="s">
        <v>2243</v>
      </c>
    </row>
    <row r="791" spans="1:21">
      <c r="A791" s="6" t="s">
        <v>2244</v>
      </c>
      <c r="B791" s="6" t="s">
        <v>2245</v>
      </c>
      <c r="C791" s="7">
        <v>2.3864954282950062</v>
      </c>
      <c r="D791" s="7">
        <v>1.7274350411170125</v>
      </c>
      <c r="E791" s="7">
        <v>1.2049404633407019</v>
      </c>
      <c r="F791" s="8">
        <v>1.1291407900038075</v>
      </c>
      <c r="G791" s="8">
        <f t="shared" si="96"/>
        <v>2.0569652347060092</v>
      </c>
      <c r="H791" s="8">
        <f t="shared" si="97"/>
        <v>1.1670406266722546</v>
      </c>
      <c r="I791" s="8">
        <f t="shared" si="98"/>
        <v>0.56736040404642685</v>
      </c>
      <c r="J791" s="22">
        <f t="shared" si="99"/>
        <v>-0.81766262612066565</v>
      </c>
      <c r="K791" s="8"/>
      <c r="L791" s="8">
        <v>1.3685372542801018</v>
      </c>
      <c r="M791" s="8">
        <v>1.4725168796370662</v>
      </c>
      <c r="N791" s="8">
        <v>1.6753692757191687</v>
      </c>
      <c r="O791" s="8">
        <v>1.7895252560149664</v>
      </c>
      <c r="P791" s="8">
        <f t="shared" si="100"/>
        <v>1.4205270669585839</v>
      </c>
      <c r="Q791" s="8">
        <f t="shared" si="101"/>
        <v>1.7324472658670675</v>
      </c>
      <c r="R791" s="8">
        <f t="shared" si="102"/>
        <v>1.2195806093130768</v>
      </c>
      <c r="S791" s="22">
        <f t="shared" si="103"/>
        <v>0.28638511755421908</v>
      </c>
      <c r="T791" s="25"/>
      <c r="U791" s="1" t="s">
        <v>2246</v>
      </c>
    </row>
    <row r="792" spans="1:21">
      <c r="A792" s="6" t="s">
        <v>2247</v>
      </c>
      <c r="B792" s="6" t="s">
        <v>2248</v>
      </c>
      <c r="C792" s="7">
        <v>2.1696018674858917</v>
      </c>
      <c r="D792" s="7">
        <v>1.7898757008527795</v>
      </c>
      <c r="E792" s="7">
        <v>1.2593867325439523</v>
      </c>
      <c r="F792" s="8">
        <v>1.0612716996496221</v>
      </c>
      <c r="G792" s="8">
        <f t="shared" si="96"/>
        <v>1.9797387841693355</v>
      </c>
      <c r="H792" s="8">
        <f t="shared" si="97"/>
        <v>1.1603292160967871</v>
      </c>
      <c r="I792" s="8">
        <f t="shared" si="98"/>
        <v>0.58610217942648501</v>
      </c>
      <c r="J792" s="22">
        <f t="shared" si="99"/>
        <v>-0.77077589286565507</v>
      </c>
      <c r="K792" s="8"/>
      <c r="L792" s="8">
        <v>1.447006097931244</v>
      </c>
      <c r="M792" s="8">
        <v>1.5343059897569531</v>
      </c>
      <c r="N792" s="8">
        <v>1.2640014796981971</v>
      </c>
      <c r="O792" s="8">
        <v>1.8495999582814566</v>
      </c>
      <c r="P792" s="8">
        <f t="shared" si="100"/>
        <v>1.4906560438440986</v>
      </c>
      <c r="Q792" s="8">
        <f t="shared" si="101"/>
        <v>1.5568007189898267</v>
      </c>
      <c r="R792" s="8">
        <f t="shared" si="102"/>
        <v>1.044372862149443</v>
      </c>
      <c r="S792" s="22">
        <f t="shared" si="103"/>
        <v>6.263687506606494E-2</v>
      </c>
      <c r="T792" s="25"/>
      <c r="U792" s="1" t="s">
        <v>2249</v>
      </c>
    </row>
    <row r="793" spans="1:21">
      <c r="A793" s="6" t="s">
        <v>2250</v>
      </c>
      <c r="B793" s="6" t="s">
        <v>2251</v>
      </c>
      <c r="C793" s="7">
        <v>2.0422156839924615</v>
      </c>
      <c r="D793" s="7">
        <v>1.7138926374239156</v>
      </c>
      <c r="E793" s="7">
        <v>1.1690959366768678</v>
      </c>
      <c r="F793" s="8">
        <v>1.0215278693743493</v>
      </c>
      <c r="G793" s="8">
        <f t="shared" si="96"/>
        <v>1.8780541607081886</v>
      </c>
      <c r="H793" s="8">
        <f t="shared" si="97"/>
        <v>1.0953119030256087</v>
      </c>
      <c r="I793" s="8">
        <f t="shared" si="98"/>
        <v>0.58321635549242168</v>
      </c>
      <c r="J793" s="22">
        <f t="shared" si="99"/>
        <v>-0.77789691627713053</v>
      </c>
      <c r="K793" s="8"/>
      <c r="L793" s="8">
        <v>1.1680101048002787</v>
      </c>
      <c r="M793" s="8">
        <v>1.6577194390364074</v>
      </c>
      <c r="N793" s="8">
        <v>1.8432945509602137</v>
      </c>
      <c r="O793" s="8">
        <v>1.9648432621293404</v>
      </c>
      <c r="P793" s="8">
        <f t="shared" si="100"/>
        <v>1.4128647719183429</v>
      </c>
      <c r="Q793" s="8">
        <f t="shared" si="101"/>
        <v>1.9040689065447771</v>
      </c>
      <c r="R793" s="8">
        <f t="shared" si="102"/>
        <v>1.3476653565078933</v>
      </c>
      <c r="S793" s="22">
        <f t="shared" si="103"/>
        <v>0.4304623003454261</v>
      </c>
      <c r="T793" s="25"/>
      <c r="U793" s="1" t="s">
        <v>2252</v>
      </c>
    </row>
    <row r="794" spans="1:21">
      <c r="A794" s="6" t="s">
        <v>2253</v>
      </c>
      <c r="B794" s="6" t="s">
        <v>2254</v>
      </c>
      <c r="C794" s="7">
        <v>2.0446390392419773</v>
      </c>
      <c r="D794" s="7">
        <v>1.7153149605594276</v>
      </c>
      <c r="E794" s="7">
        <v>1.0899565936857978</v>
      </c>
      <c r="F794" s="8">
        <v>1.0815967687399297</v>
      </c>
      <c r="G794" s="8">
        <f t="shared" si="96"/>
        <v>1.8799769999007023</v>
      </c>
      <c r="H794" s="8">
        <f t="shared" si="97"/>
        <v>1.0857766812128637</v>
      </c>
      <c r="I794" s="8">
        <f t="shared" si="98"/>
        <v>0.57754785365470585</v>
      </c>
      <c r="J794" s="22">
        <f t="shared" si="99"/>
        <v>-0.79198760659223111</v>
      </c>
      <c r="K794" s="8"/>
      <c r="L794" s="8">
        <v>1.5025865680733921</v>
      </c>
      <c r="M794" s="8">
        <v>1.5129269576554722</v>
      </c>
      <c r="N794" s="8">
        <v>1.8246725783923854</v>
      </c>
      <c r="O794" s="8">
        <v>1.9201877334445827</v>
      </c>
      <c r="P794" s="8">
        <f t="shared" si="100"/>
        <v>1.5077567628644322</v>
      </c>
      <c r="Q794" s="8">
        <f t="shared" si="101"/>
        <v>1.8724301559184839</v>
      </c>
      <c r="R794" s="8">
        <f t="shared" si="102"/>
        <v>1.2418648697428134</v>
      </c>
      <c r="S794" s="22">
        <f t="shared" si="103"/>
        <v>0.31250819903495369</v>
      </c>
      <c r="T794" s="25"/>
      <c r="U794" s="1" t="s">
        <v>2255</v>
      </c>
    </row>
    <row r="795" spans="1:21">
      <c r="A795" s="6" t="s">
        <v>2256</v>
      </c>
      <c r="B795" s="6" t="s">
        <v>80</v>
      </c>
      <c r="C795" s="7">
        <v>2.1545195837362079</v>
      </c>
      <c r="D795" s="7">
        <v>1.8388009203672131</v>
      </c>
      <c r="E795" s="7">
        <v>1.1359533390969712</v>
      </c>
      <c r="F795" s="8">
        <v>0.99741413608957619</v>
      </c>
      <c r="G795" s="8">
        <f t="shared" si="96"/>
        <v>1.9966602520517105</v>
      </c>
      <c r="H795" s="8">
        <f t="shared" si="97"/>
        <v>1.0666837375932736</v>
      </c>
      <c r="I795" s="8">
        <f t="shared" si="98"/>
        <v>0.53423397220292246</v>
      </c>
      <c r="J795" s="22">
        <f t="shared" si="99"/>
        <v>-0.90445637430498427</v>
      </c>
      <c r="K795" s="8"/>
      <c r="L795" s="8">
        <v>1.496220006841368</v>
      </c>
      <c r="M795" s="8">
        <v>1.7341319718846675</v>
      </c>
      <c r="N795" s="8">
        <v>1.8414697848040698</v>
      </c>
      <c r="O795" s="8">
        <v>1.8542557477071098</v>
      </c>
      <c r="P795" s="8">
        <f t="shared" si="100"/>
        <v>1.6151759893630178</v>
      </c>
      <c r="Q795" s="8">
        <f t="shared" si="101"/>
        <v>1.8478627662555898</v>
      </c>
      <c r="R795" s="8">
        <f t="shared" si="102"/>
        <v>1.1440628008495455</v>
      </c>
      <c r="S795" s="22">
        <f t="shared" si="103"/>
        <v>0.19416624790952272</v>
      </c>
      <c r="T795" s="25"/>
      <c r="U795" s="1">
        <v>0</v>
      </c>
    </row>
    <row r="796" spans="1:21">
      <c r="A796" s="6" t="s">
        <v>2257</v>
      </c>
      <c r="B796" s="6" t="s">
        <v>80</v>
      </c>
      <c r="C796" s="7">
        <v>1.9949961823785751</v>
      </c>
      <c r="D796" s="7">
        <v>1.7596361672702845</v>
      </c>
      <c r="E796" s="7">
        <v>1.0960639126802603</v>
      </c>
      <c r="F796" s="8">
        <v>0.97558845882812728</v>
      </c>
      <c r="G796" s="8">
        <f t="shared" si="96"/>
        <v>1.8773161748244298</v>
      </c>
      <c r="H796" s="8">
        <f t="shared" si="97"/>
        <v>1.0358261857541937</v>
      </c>
      <c r="I796" s="8">
        <f t="shared" si="98"/>
        <v>0.5517590481800787</v>
      </c>
      <c r="J796" s="22">
        <f t="shared" si="99"/>
        <v>-0.85788971173726225</v>
      </c>
      <c r="K796" s="8"/>
      <c r="L796" s="8">
        <v>1.2223797565486061</v>
      </c>
      <c r="M796" s="8">
        <v>1.576404970118636</v>
      </c>
      <c r="N796" s="8">
        <v>1.7938854981169305</v>
      </c>
      <c r="O796" s="8">
        <v>1.8028918772692606</v>
      </c>
      <c r="P796" s="8">
        <f t="shared" si="100"/>
        <v>1.3993923633336212</v>
      </c>
      <c r="Q796" s="8">
        <f t="shared" si="101"/>
        <v>1.7983886876930955</v>
      </c>
      <c r="R796" s="8">
        <f t="shared" si="102"/>
        <v>1.2851211245779479</v>
      </c>
      <c r="S796" s="22">
        <f t="shared" si="103"/>
        <v>0.36190434198152643</v>
      </c>
      <c r="T796" s="25"/>
      <c r="U796" s="1">
        <v>0</v>
      </c>
    </row>
    <row r="797" spans="1:21">
      <c r="A797" s="6" t="s">
        <v>2258</v>
      </c>
      <c r="B797" s="9" t="s">
        <v>2259</v>
      </c>
      <c r="C797" s="10">
        <v>0.93456597218264958</v>
      </c>
      <c r="D797" s="10">
        <v>1.0563007471936134</v>
      </c>
      <c r="E797" s="10">
        <v>1.0746803023266125</v>
      </c>
      <c r="F797" s="8">
        <v>1.0925690373972341</v>
      </c>
      <c r="G797" s="8">
        <f t="shared" si="96"/>
        <v>0.99543335968813151</v>
      </c>
      <c r="H797" s="8">
        <f t="shared" si="97"/>
        <v>1.0836246698619232</v>
      </c>
      <c r="I797" s="8">
        <f t="shared" si="98"/>
        <v>1.0885958957628483</v>
      </c>
      <c r="J797" s="22">
        <f t="shared" si="99"/>
        <v>0.12246850191995157</v>
      </c>
      <c r="K797" s="8"/>
      <c r="L797" s="8">
        <v>1.1130545731839734</v>
      </c>
      <c r="M797" s="8">
        <v>1.2514766363681906</v>
      </c>
      <c r="N797" s="8">
        <v>1.2102410614056476</v>
      </c>
      <c r="O797" s="8">
        <v>1.3487771903864831</v>
      </c>
      <c r="P797" s="8">
        <f t="shared" si="100"/>
        <v>1.182265604776082</v>
      </c>
      <c r="Q797" s="8">
        <f t="shared" si="101"/>
        <v>1.2795091258960654</v>
      </c>
      <c r="R797" s="8">
        <f t="shared" si="102"/>
        <v>1.0822518397956786</v>
      </c>
      <c r="S797" s="22">
        <f t="shared" si="103"/>
        <v>0.11403625309066524</v>
      </c>
      <c r="T797" s="25"/>
      <c r="U797" s="1" t="s">
        <v>2260</v>
      </c>
    </row>
    <row r="798" spans="1:21">
      <c r="A798" s="6" t="s">
        <v>2261</v>
      </c>
      <c r="B798" s="6" t="s">
        <v>2262</v>
      </c>
      <c r="C798" s="7">
        <v>1.0221856145465544</v>
      </c>
      <c r="D798" s="7">
        <v>1.0122626569362707</v>
      </c>
      <c r="E798" s="7">
        <v>0.96864957046463751</v>
      </c>
      <c r="F798" s="8">
        <v>0.94582887301826879</v>
      </c>
      <c r="G798" s="8">
        <f t="shared" si="96"/>
        <v>1.0172241357414125</v>
      </c>
      <c r="H798" s="8">
        <f t="shared" si="97"/>
        <v>0.95723922174145315</v>
      </c>
      <c r="I798" s="8">
        <f t="shared" si="98"/>
        <v>0.94103077985242767</v>
      </c>
      <c r="J798" s="22">
        <f t="shared" si="99"/>
        <v>-8.7686182545431854E-2</v>
      </c>
      <c r="K798" s="8"/>
      <c r="L798" s="8">
        <v>0.68106581719510628</v>
      </c>
      <c r="M798" s="8">
        <v>0.81124982313403593</v>
      </c>
      <c r="N798" s="8">
        <v>0.98158382537806688</v>
      </c>
      <c r="O798" s="8">
        <v>0.92740321623894295</v>
      </c>
      <c r="P798" s="8">
        <f t="shared" si="100"/>
        <v>0.74615782016457111</v>
      </c>
      <c r="Q798" s="8">
        <f t="shared" si="101"/>
        <v>0.95449352080850491</v>
      </c>
      <c r="R798" s="8">
        <f t="shared" si="102"/>
        <v>1.2792113075997564</v>
      </c>
      <c r="S798" s="22">
        <f t="shared" si="103"/>
        <v>0.35525459670292098</v>
      </c>
      <c r="T798" s="25"/>
      <c r="U798" s="1" t="s">
        <v>2263</v>
      </c>
    </row>
    <row r="799" spans="1:21">
      <c r="A799" s="6" t="s">
        <v>2264</v>
      </c>
      <c r="B799" s="11" t="s">
        <v>2265</v>
      </c>
      <c r="C799" s="12">
        <v>0.98913392300328939</v>
      </c>
      <c r="D799" s="12">
        <v>0.97710228975698088</v>
      </c>
      <c r="E799" s="12">
        <v>1.1650270553049027</v>
      </c>
      <c r="F799" s="8">
        <v>1.0803784531950429</v>
      </c>
      <c r="G799" s="8">
        <f t="shared" si="96"/>
        <v>0.98311810638013508</v>
      </c>
      <c r="H799" s="8">
        <f t="shared" si="97"/>
        <v>1.1227027542499728</v>
      </c>
      <c r="I799" s="8">
        <f t="shared" si="98"/>
        <v>1.1419815655555281</v>
      </c>
      <c r="J799" s="22">
        <f t="shared" si="99"/>
        <v>0.19153936217511891</v>
      </c>
      <c r="K799" s="8"/>
      <c r="L799" s="8">
        <v>1.2834284387918791</v>
      </c>
      <c r="M799" s="8">
        <v>0.95760762863800819</v>
      </c>
      <c r="N799" s="8">
        <v>0.99594801024822599</v>
      </c>
      <c r="O799" s="8">
        <v>1.0070522589939312</v>
      </c>
      <c r="P799" s="8">
        <f t="shared" si="100"/>
        <v>1.1205180337149436</v>
      </c>
      <c r="Q799" s="8">
        <f t="shared" si="101"/>
        <v>1.0015001346210786</v>
      </c>
      <c r="R799" s="8">
        <f t="shared" si="102"/>
        <v>0.89378314715803775</v>
      </c>
      <c r="S799" s="22">
        <f t="shared" si="103"/>
        <v>-0.16200325281806166</v>
      </c>
      <c r="T799" s="25"/>
      <c r="U799" s="1" t="s">
        <v>2266</v>
      </c>
    </row>
    <row r="800" spans="1:21">
      <c r="A800" s="6" t="s">
        <v>2267</v>
      </c>
      <c r="B800" s="6" t="s">
        <v>2268</v>
      </c>
      <c r="C800" s="7">
        <v>1.0180182273519689</v>
      </c>
      <c r="D800" s="7">
        <v>1.0267622638769631</v>
      </c>
      <c r="E800" s="7">
        <v>0.98554062417576194</v>
      </c>
      <c r="F800" s="8">
        <v>0.98500811804103305</v>
      </c>
      <c r="G800" s="8">
        <f t="shared" si="96"/>
        <v>1.022390245614466</v>
      </c>
      <c r="H800" s="8">
        <f t="shared" si="97"/>
        <v>0.98527437110839755</v>
      </c>
      <c r="I800" s="8">
        <f t="shared" si="98"/>
        <v>0.96369695948755707</v>
      </c>
      <c r="J800" s="22">
        <f t="shared" si="99"/>
        <v>-5.3348541561418474E-2</v>
      </c>
      <c r="K800" s="8"/>
      <c r="L800" s="8">
        <v>0.94693810128337197</v>
      </c>
      <c r="M800" s="8">
        <v>0.89573613303796129</v>
      </c>
      <c r="N800" s="8">
        <v>0.83976674283262043</v>
      </c>
      <c r="O800" s="8">
        <v>0.96690233297916028</v>
      </c>
      <c r="P800" s="8">
        <f t="shared" si="100"/>
        <v>0.92133711716066657</v>
      </c>
      <c r="Q800" s="8">
        <f t="shared" si="101"/>
        <v>0.90333453790589036</v>
      </c>
      <c r="R800" s="8">
        <f t="shared" si="102"/>
        <v>0.98046037772769246</v>
      </c>
      <c r="S800" s="22">
        <f t="shared" si="103"/>
        <v>-2.8468765347838397E-2</v>
      </c>
      <c r="T800" s="25"/>
      <c r="U800" s="1" t="s">
        <v>2269</v>
      </c>
    </row>
    <row r="801" spans="1:21">
      <c r="A801" s="6" t="s">
        <v>2270</v>
      </c>
      <c r="B801" s="6" t="s">
        <v>2271</v>
      </c>
      <c r="C801" s="7">
        <v>1.0131519209883855</v>
      </c>
      <c r="D801" s="7">
        <v>0.99311185111641598</v>
      </c>
      <c r="E801" s="7">
        <v>1.0473332626930316</v>
      </c>
      <c r="F801" s="8">
        <v>1.0384505694429607</v>
      </c>
      <c r="G801" s="8">
        <f t="shared" si="96"/>
        <v>1.0031318860524008</v>
      </c>
      <c r="H801" s="8">
        <f t="shared" si="97"/>
        <v>1.0428919160679961</v>
      </c>
      <c r="I801" s="8">
        <f t="shared" si="98"/>
        <v>1.0396358949091549</v>
      </c>
      <c r="J801" s="22">
        <f t="shared" si="99"/>
        <v>5.6078350882580112E-2</v>
      </c>
      <c r="K801" s="8"/>
      <c r="L801" s="8">
        <v>0.9378764926586507</v>
      </c>
      <c r="M801" s="8">
        <v>0.72532176732731313</v>
      </c>
      <c r="N801" s="8">
        <v>0.92450139690381927</v>
      </c>
      <c r="O801" s="8">
        <v>1.2814935238480141</v>
      </c>
      <c r="P801" s="8">
        <f t="shared" si="100"/>
        <v>0.83159912999298191</v>
      </c>
      <c r="Q801" s="8">
        <f t="shared" si="101"/>
        <v>1.1029974603759167</v>
      </c>
      <c r="R801" s="8">
        <f t="shared" si="102"/>
        <v>1.3263571600720954</v>
      </c>
      <c r="S801" s="22">
        <f t="shared" si="103"/>
        <v>0.40746931518088603</v>
      </c>
      <c r="T801" s="25"/>
      <c r="U801" s="1" t="s">
        <v>2272</v>
      </c>
    </row>
    <row r="802" spans="1:21">
      <c r="A802" s="6" t="s">
        <v>2273</v>
      </c>
      <c r="B802" s="6" t="s">
        <v>2274</v>
      </c>
      <c r="C802" s="7">
        <v>1.0353213757508049</v>
      </c>
      <c r="D802" s="7">
        <v>1.0336851352521799</v>
      </c>
      <c r="E802" s="7">
        <v>0.96495640112505432</v>
      </c>
      <c r="F802" s="8">
        <v>1.0767606503269946</v>
      </c>
      <c r="G802" s="8">
        <f t="shared" si="96"/>
        <v>1.0345032555014924</v>
      </c>
      <c r="H802" s="8">
        <f t="shared" si="97"/>
        <v>1.0208585257260245</v>
      </c>
      <c r="I802" s="8">
        <f t="shared" si="98"/>
        <v>0.98681035588539223</v>
      </c>
      <c r="J802" s="22">
        <f t="shared" si="99"/>
        <v>-1.9155239093160262E-2</v>
      </c>
      <c r="K802" s="8"/>
      <c r="L802" s="8">
        <v>1.0489983742850817</v>
      </c>
      <c r="M802" s="8">
        <v>1.3289601804585287</v>
      </c>
      <c r="N802" s="8">
        <v>0.97606273803383636</v>
      </c>
      <c r="O802" s="8">
        <v>1.2092536943725596</v>
      </c>
      <c r="P802" s="8">
        <f t="shared" si="100"/>
        <v>1.1889792773718053</v>
      </c>
      <c r="Q802" s="8">
        <f t="shared" si="101"/>
        <v>1.0926582162031979</v>
      </c>
      <c r="R802" s="8">
        <f t="shared" si="102"/>
        <v>0.91898844412030334</v>
      </c>
      <c r="S802" s="22">
        <f t="shared" si="103"/>
        <v>-0.12188137452120289</v>
      </c>
      <c r="T802" s="25"/>
      <c r="U802" s="1" t="s">
        <v>2275</v>
      </c>
    </row>
    <row r="803" spans="1:21">
      <c r="A803" s="6" t="s">
        <v>2276</v>
      </c>
      <c r="B803" s="6" t="s">
        <v>2277</v>
      </c>
      <c r="C803" s="7">
        <v>1.1136591102722235</v>
      </c>
      <c r="D803" s="7">
        <v>0.99834276463848814</v>
      </c>
      <c r="E803" s="7">
        <v>1.0577732608694295</v>
      </c>
      <c r="F803" s="8">
        <v>1.0904146989337147</v>
      </c>
      <c r="G803" s="8">
        <f t="shared" si="96"/>
        <v>1.0560009374553558</v>
      </c>
      <c r="H803" s="8">
        <f t="shared" si="97"/>
        <v>1.0740939799015721</v>
      </c>
      <c r="I803" s="8">
        <f t="shared" si="98"/>
        <v>1.0171335477123866</v>
      </c>
      <c r="J803" s="22">
        <f t="shared" si="99"/>
        <v>2.4509114764061653E-2</v>
      </c>
      <c r="K803" s="8"/>
      <c r="L803" s="8">
        <v>1.4205243278986535</v>
      </c>
      <c r="M803" s="8">
        <v>1.4483779339502303</v>
      </c>
      <c r="N803" s="8">
        <v>1.0370286431993649</v>
      </c>
      <c r="O803" s="8">
        <v>1.1505306729070655</v>
      </c>
      <c r="P803" s="8">
        <f t="shared" si="100"/>
        <v>1.4344511309244419</v>
      </c>
      <c r="Q803" s="8">
        <f t="shared" si="101"/>
        <v>1.0937796580532151</v>
      </c>
      <c r="R803" s="8">
        <f t="shared" si="102"/>
        <v>0.76250743888941086</v>
      </c>
      <c r="S803" s="22">
        <f t="shared" si="103"/>
        <v>-0.39117668257495131</v>
      </c>
      <c r="T803" s="25"/>
      <c r="U803" s="1" t="s">
        <v>2278</v>
      </c>
    </row>
    <row r="804" spans="1:21">
      <c r="A804" s="6" t="s">
        <v>2279</v>
      </c>
      <c r="B804" s="6" t="s">
        <v>2280</v>
      </c>
      <c r="C804" s="7">
        <v>0.96365276713169301</v>
      </c>
      <c r="D804" s="7">
        <v>1.0081372457564921</v>
      </c>
      <c r="E804" s="7">
        <v>0.99119229240754836</v>
      </c>
      <c r="F804" s="8">
        <v>1.0225158935662391</v>
      </c>
      <c r="G804" s="8">
        <f t="shared" si="96"/>
        <v>0.98589500644409256</v>
      </c>
      <c r="H804" s="8">
        <f t="shared" si="97"/>
        <v>1.0068540929868937</v>
      </c>
      <c r="I804" s="8">
        <f t="shared" si="98"/>
        <v>1.0212589438082214</v>
      </c>
      <c r="J804" s="22">
        <f t="shared" si="99"/>
        <v>3.0348713016018002E-2</v>
      </c>
      <c r="K804" s="8"/>
      <c r="L804" s="8">
        <v>0.85679071893054148</v>
      </c>
      <c r="M804" s="8">
        <v>0.97721537291605232</v>
      </c>
      <c r="N804" s="8">
        <v>0.98794711248667155</v>
      </c>
      <c r="O804" s="8">
        <v>1.1156873455925009</v>
      </c>
      <c r="P804" s="8">
        <f t="shared" si="100"/>
        <v>0.91700304592329696</v>
      </c>
      <c r="Q804" s="8">
        <f t="shared" si="101"/>
        <v>1.0518172290395862</v>
      </c>
      <c r="R804" s="8">
        <f t="shared" si="102"/>
        <v>1.1470160690475677</v>
      </c>
      <c r="S804" s="22">
        <f t="shared" si="103"/>
        <v>0.19788560283834866</v>
      </c>
      <c r="T804" s="25"/>
      <c r="U804" s="1" t="s">
        <v>2281</v>
      </c>
    </row>
    <row r="805" spans="1:21">
      <c r="A805" s="6" t="s">
        <v>2282</v>
      </c>
      <c r="B805" s="6" t="s">
        <v>2283</v>
      </c>
      <c r="C805" s="7">
        <v>1.07566926086202</v>
      </c>
      <c r="D805" s="7">
        <v>1.1190177825149541</v>
      </c>
      <c r="E805" s="7">
        <v>1.113242745820443</v>
      </c>
      <c r="F805" s="8">
        <v>1.1005549472189011</v>
      </c>
      <c r="G805" s="8">
        <f t="shared" si="96"/>
        <v>1.097343521688487</v>
      </c>
      <c r="H805" s="8">
        <f t="shared" si="97"/>
        <v>1.1068988465196721</v>
      </c>
      <c r="I805" s="8">
        <f t="shared" si="98"/>
        <v>1.008707687831867</v>
      </c>
      <c r="J805" s="22">
        <f t="shared" si="99"/>
        <v>1.2508158176749842E-2</v>
      </c>
      <c r="K805" s="8"/>
      <c r="L805" s="8">
        <v>1.3876759966340388</v>
      </c>
      <c r="M805" s="8">
        <v>1.4835977267185658</v>
      </c>
      <c r="N805" s="8">
        <v>1.0142424606854643</v>
      </c>
      <c r="O805" s="8">
        <v>1.1064258289930837</v>
      </c>
      <c r="P805" s="8">
        <f t="shared" si="100"/>
        <v>1.4356368616763024</v>
      </c>
      <c r="Q805" s="8">
        <f t="shared" si="101"/>
        <v>1.060334144839274</v>
      </c>
      <c r="R805" s="8">
        <f t="shared" si="102"/>
        <v>0.73858102501017486</v>
      </c>
      <c r="S805" s="22">
        <f t="shared" si="103"/>
        <v>-0.43717189635056181</v>
      </c>
      <c r="T805" s="25"/>
      <c r="U805" s="1" t="s">
        <v>2284</v>
      </c>
    </row>
    <row r="806" spans="1:21">
      <c r="A806" s="6" t="s">
        <v>2285</v>
      </c>
      <c r="B806" s="6" t="s">
        <v>2286</v>
      </c>
      <c r="C806" s="7">
        <v>1.0873092044055177</v>
      </c>
      <c r="D806" s="7">
        <v>1.1317378003192715</v>
      </c>
      <c r="E806" s="7">
        <v>1.0315453634599647</v>
      </c>
      <c r="F806" s="8">
        <v>1.0017822430431949</v>
      </c>
      <c r="G806" s="8">
        <f t="shared" si="96"/>
        <v>1.1095235023623946</v>
      </c>
      <c r="H806" s="8">
        <f t="shared" si="97"/>
        <v>1.0166638032515798</v>
      </c>
      <c r="I806" s="8">
        <f t="shared" si="98"/>
        <v>0.91630668578619723</v>
      </c>
      <c r="J806" s="22">
        <f t="shared" si="99"/>
        <v>-0.1260975489555296</v>
      </c>
      <c r="K806" s="8"/>
      <c r="L806" s="8">
        <v>1.2171458963946724</v>
      </c>
      <c r="M806" s="8">
        <v>1.2864904654361264</v>
      </c>
      <c r="N806" s="8">
        <v>1.3772305591307212</v>
      </c>
      <c r="O806" s="8">
        <v>1.5928306683440996</v>
      </c>
      <c r="P806" s="8">
        <f t="shared" si="100"/>
        <v>1.2518181809153994</v>
      </c>
      <c r="Q806" s="8">
        <f t="shared" si="101"/>
        <v>1.4850306137374103</v>
      </c>
      <c r="R806" s="8">
        <f t="shared" si="102"/>
        <v>1.1862989660778636</v>
      </c>
      <c r="S806" s="22">
        <f t="shared" si="103"/>
        <v>0.24646763764448026</v>
      </c>
      <c r="T806" s="25"/>
      <c r="U806" s="1" t="s">
        <v>2287</v>
      </c>
    </row>
    <row r="807" spans="1:21">
      <c r="A807" s="6" t="s">
        <v>2288</v>
      </c>
      <c r="B807" s="6" t="s">
        <v>2289</v>
      </c>
      <c r="C807" s="7">
        <v>1.0598488662142358</v>
      </c>
      <c r="D807" s="7">
        <v>1.1148451852595898</v>
      </c>
      <c r="E807" s="7">
        <v>1.1641477292716687</v>
      </c>
      <c r="F807" s="8">
        <v>1.132223722632637</v>
      </c>
      <c r="G807" s="8">
        <f t="shared" si="96"/>
        <v>1.0873470257369129</v>
      </c>
      <c r="H807" s="8">
        <f t="shared" si="97"/>
        <v>1.1481857259521528</v>
      </c>
      <c r="I807" s="8">
        <f t="shared" si="98"/>
        <v>1.0559515028553175</v>
      </c>
      <c r="J807" s="22">
        <f t="shared" si="99"/>
        <v>7.8543576934245948E-2</v>
      </c>
      <c r="K807" s="8"/>
      <c r="L807" s="8">
        <v>1.4871193395587816</v>
      </c>
      <c r="M807" s="8">
        <v>1.4313241395571414</v>
      </c>
      <c r="N807" s="8">
        <v>1.1143706548943906</v>
      </c>
      <c r="O807" s="8">
        <v>1.3115308749812591</v>
      </c>
      <c r="P807" s="8">
        <f t="shared" si="100"/>
        <v>1.4592217395579614</v>
      </c>
      <c r="Q807" s="8">
        <f t="shared" si="101"/>
        <v>1.2129507649378248</v>
      </c>
      <c r="R807" s="8">
        <f t="shared" si="102"/>
        <v>0.83123128723757989</v>
      </c>
      <c r="S807" s="22">
        <f t="shared" si="103"/>
        <v>-0.26667813711660282</v>
      </c>
      <c r="T807" s="25"/>
      <c r="U807" s="1" t="s">
        <v>2290</v>
      </c>
    </row>
    <row r="808" spans="1:21">
      <c r="A808" s="6" t="s">
        <v>2291</v>
      </c>
      <c r="B808" s="6" t="s">
        <v>2292</v>
      </c>
      <c r="C808" s="7">
        <v>1.087838292748404</v>
      </c>
      <c r="D808" s="7">
        <v>1.1283404028771007</v>
      </c>
      <c r="E808" s="7">
        <v>1.1199496052921105</v>
      </c>
      <c r="F808" s="8">
        <v>1.1501121606331712</v>
      </c>
      <c r="G808" s="8">
        <f t="shared" si="96"/>
        <v>1.1080893478127525</v>
      </c>
      <c r="H808" s="8">
        <f t="shared" si="97"/>
        <v>1.1350308829626408</v>
      </c>
      <c r="I808" s="8">
        <f t="shared" si="98"/>
        <v>1.0243135043244194</v>
      </c>
      <c r="J808" s="22">
        <f t="shared" si="99"/>
        <v>3.4657338299157847E-2</v>
      </c>
      <c r="K808" s="8"/>
      <c r="L808" s="8">
        <v>0.80656128491592272</v>
      </c>
      <c r="M808" s="8">
        <v>0.78216774863760907</v>
      </c>
      <c r="N808" s="8">
        <v>0.71685236610979375</v>
      </c>
      <c r="O808" s="8">
        <v>0.86577658416390169</v>
      </c>
      <c r="P808" s="8">
        <f t="shared" si="100"/>
        <v>0.79436451677676589</v>
      </c>
      <c r="Q808" s="8">
        <f t="shared" si="101"/>
        <v>0.79131447513684772</v>
      </c>
      <c r="R808" s="8">
        <f t="shared" si="102"/>
        <v>0.9961604004515533</v>
      </c>
      <c r="S808" s="22">
        <f t="shared" si="103"/>
        <v>-5.5500330112457042E-3</v>
      </c>
      <c r="T808" s="25"/>
      <c r="U808" s="1" t="s">
        <v>2293</v>
      </c>
    </row>
    <row r="809" spans="1:21">
      <c r="A809" s="6" t="s">
        <v>2294</v>
      </c>
      <c r="B809" s="6" t="s">
        <v>2295</v>
      </c>
      <c r="C809" s="7">
        <v>1.0945727381992154</v>
      </c>
      <c r="D809" s="7">
        <v>1.1067831072023753</v>
      </c>
      <c r="E809" s="7">
        <v>1.1469768900045152</v>
      </c>
      <c r="F809" s="8">
        <v>1.2206630309367723</v>
      </c>
      <c r="G809" s="8">
        <f t="shared" si="96"/>
        <v>1.1006779227007955</v>
      </c>
      <c r="H809" s="8">
        <f t="shared" si="97"/>
        <v>1.1838199604706436</v>
      </c>
      <c r="I809" s="8">
        <f t="shared" si="98"/>
        <v>1.0755371176754758</v>
      </c>
      <c r="J809" s="22">
        <f t="shared" si="99"/>
        <v>0.10505731421918781</v>
      </c>
      <c r="K809" s="8"/>
      <c r="L809" s="8">
        <v>0.58252082340126254</v>
      </c>
      <c r="M809" s="8">
        <v>0.56001530138657551</v>
      </c>
      <c r="N809" s="8">
        <v>0.59618385542529806</v>
      </c>
      <c r="O809" s="8">
        <v>0.70297414102171318</v>
      </c>
      <c r="P809" s="8">
        <f t="shared" si="100"/>
        <v>0.57126806239391903</v>
      </c>
      <c r="Q809" s="8">
        <f t="shared" si="101"/>
        <v>0.64957899822350562</v>
      </c>
      <c r="R809" s="8">
        <f t="shared" si="102"/>
        <v>1.1370826429564815</v>
      </c>
      <c r="S809" s="22">
        <f t="shared" si="103"/>
        <v>0.18533711284987908</v>
      </c>
      <c r="T809" s="25"/>
      <c r="U809" s="1" t="s">
        <v>2296</v>
      </c>
    </row>
    <row r="810" spans="1:21">
      <c r="A810" s="6" t="s">
        <v>2297</v>
      </c>
      <c r="B810" s="6" t="s">
        <v>2298</v>
      </c>
      <c r="C810" s="7">
        <v>1.0411740072968059</v>
      </c>
      <c r="D810" s="7">
        <v>1.2399961394487564</v>
      </c>
      <c r="E810" s="7">
        <v>1.1865705431191385</v>
      </c>
      <c r="F810" s="8">
        <v>1.054660109192614</v>
      </c>
      <c r="G810" s="8">
        <f t="shared" si="96"/>
        <v>1.1405850733727811</v>
      </c>
      <c r="H810" s="8">
        <f t="shared" si="97"/>
        <v>1.1206153261558762</v>
      </c>
      <c r="I810" s="8">
        <f t="shared" si="98"/>
        <v>0.98249166354785522</v>
      </c>
      <c r="J810" s="22">
        <f t="shared" si="99"/>
        <v>-2.5482928746848182E-2</v>
      </c>
      <c r="K810" s="8"/>
      <c r="L810" s="8">
        <v>1.1648463535131992</v>
      </c>
      <c r="M810" s="8">
        <v>1.0813094270980219</v>
      </c>
      <c r="N810" s="8">
        <v>1.0432983525563724</v>
      </c>
      <c r="O810" s="8">
        <v>1.2491533091278868</v>
      </c>
      <c r="P810" s="8">
        <f t="shared" si="100"/>
        <v>1.1230778903056104</v>
      </c>
      <c r="Q810" s="8">
        <f t="shared" si="101"/>
        <v>1.1462258308421296</v>
      </c>
      <c r="R810" s="8">
        <f t="shared" si="102"/>
        <v>1.020611162178805</v>
      </c>
      <c r="S810" s="22">
        <f t="shared" si="103"/>
        <v>2.9433325330042264E-2</v>
      </c>
      <c r="T810" s="25"/>
      <c r="U810" s="1" t="s">
        <v>2299</v>
      </c>
    </row>
    <row r="811" spans="1:21">
      <c r="A811" s="6" t="s">
        <v>2300</v>
      </c>
      <c r="B811" s="6" t="s">
        <v>2301</v>
      </c>
      <c r="C811" s="7">
        <v>1.0679158304545386</v>
      </c>
      <c r="D811" s="7">
        <v>1.441426755256183</v>
      </c>
      <c r="E811" s="7">
        <v>1.1985533587902104</v>
      </c>
      <c r="F811" s="8">
        <v>1.2098690523592075</v>
      </c>
      <c r="G811" s="8">
        <f t="shared" si="96"/>
        <v>1.2546712928553609</v>
      </c>
      <c r="H811" s="8">
        <f t="shared" si="97"/>
        <v>1.204211205574709</v>
      </c>
      <c r="I811" s="8">
        <f t="shared" si="98"/>
        <v>0.95978222537807834</v>
      </c>
      <c r="J811" s="22">
        <f t="shared" si="99"/>
        <v>-5.9220999478961804E-2</v>
      </c>
      <c r="K811" s="8"/>
      <c r="L811" s="8">
        <v>0.94912538612382191</v>
      </c>
      <c r="M811" s="8">
        <v>1.2403134038065309</v>
      </c>
      <c r="N811" s="8">
        <v>0.99903607605093114</v>
      </c>
      <c r="O811" s="8">
        <v>1.6759840687312999</v>
      </c>
      <c r="P811" s="8">
        <f t="shared" si="100"/>
        <v>1.0947193949651763</v>
      </c>
      <c r="Q811" s="8">
        <f t="shared" si="101"/>
        <v>1.3375100723911155</v>
      </c>
      <c r="R811" s="8">
        <f t="shared" si="102"/>
        <v>1.2217834803535772</v>
      </c>
      <c r="S811" s="22">
        <f t="shared" si="103"/>
        <v>0.28898863908694944</v>
      </c>
      <c r="T811" s="25"/>
      <c r="U811" s="1" t="s">
        <v>2302</v>
      </c>
    </row>
    <row r="812" spans="1:21">
      <c r="A812" s="6" t="s">
        <v>2303</v>
      </c>
      <c r="B812" s="6" t="s">
        <v>2304</v>
      </c>
      <c r="C812" s="7">
        <v>0.1653760329036339</v>
      </c>
      <c r="D812" s="7">
        <v>0.16123482027634822</v>
      </c>
      <c r="E812" s="7">
        <v>0.33671791974442922</v>
      </c>
      <c r="F812" s="8">
        <v>0.32005297939244481</v>
      </c>
      <c r="G812" s="8">
        <f t="shared" si="96"/>
        <v>0.16330542658999106</v>
      </c>
      <c r="H812" s="8">
        <f t="shared" si="97"/>
        <v>0.32838544956843702</v>
      </c>
      <c r="I812" s="8">
        <f t="shared" si="98"/>
        <v>2.0108667325116536</v>
      </c>
      <c r="J812" s="22">
        <f t="shared" si="99"/>
        <v>1.0078174721378255</v>
      </c>
      <c r="K812" s="8"/>
      <c r="L812" s="8">
        <v>1.179727702159832</v>
      </c>
      <c r="M812" s="8">
        <v>1.2062882005005131</v>
      </c>
      <c r="N812" s="8">
        <v>0.50255931495237216</v>
      </c>
      <c r="O812" s="8">
        <v>1.0600181214922202</v>
      </c>
      <c r="P812" s="8">
        <f t="shared" si="100"/>
        <v>1.1930079513301726</v>
      </c>
      <c r="Q812" s="8">
        <f t="shared" si="101"/>
        <v>0.78128871822229617</v>
      </c>
      <c r="R812" s="8">
        <f t="shared" si="102"/>
        <v>0.6548897828813125</v>
      </c>
      <c r="S812" s="22">
        <f t="shared" si="103"/>
        <v>-0.61067597155080944</v>
      </c>
      <c r="T812" s="25"/>
      <c r="U812" s="1" t="s">
        <v>2305</v>
      </c>
    </row>
    <row r="813" spans="1:21">
      <c r="A813" s="6" t="s">
        <v>2306</v>
      </c>
      <c r="B813" s="6" t="s">
        <v>2307</v>
      </c>
      <c r="C813" s="7">
        <v>1.0719395146424144</v>
      </c>
      <c r="D813" s="7">
        <v>1.979705282934064</v>
      </c>
      <c r="E813" s="7">
        <v>1.1676330579124874</v>
      </c>
      <c r="F813" s="8">
        <v>1.1204120048498925</v>
      </c>
      <c r="G813" s="8">
        <f t="shared" si="96"/>
        <v>1.5258223987882391</v>
      </c>
      <c r="H813" s="8">
        <f t="shared" si="97"/>
        <v>1.1440225313811898</v>
      </c>
      <c r="I813" s="8">
        <f t="shared" si="98"/>
        <v>0.74977437235797373</v>
      </c>
      <c r="J813" s="22">
        <f t="shared" si="99"/>
        <v>-0.41547158041623883</v>
      </c>
      <c r="K813" s="8"/>
      <c r="L813" s="8">
        <v>1.0465376788395755</v>
      </c>
      <c r="M813" s="8">
        <v>0.9381646553202837</v>
      </c>
      <c r="N813" s="8">
        <v>1.1241495299362905</v>
      </c>
      <c r="O813" s="8">
        <v>1.2628703661454022</v>
      </c>
      <c r="P813" s="8">
        <f t="shared" si="100"/>
        <v>0.99235116707992965</v>
      </c>
      <c r="Q813" s="8">
        <f t="shared" si="101"/>
        <v>1.1935099480408464</v>
      </c>
      <c r="R813" s="8">
        <f t="shared" si="102"/>
        <v>1.2027092703007969</v>
      </c>
      <c r="S813" s="22">
        <f t="shared" si="103"/>
        <v>0.26628794344008272</v>
      </c>
      <c r="T813" s="25"/>
      <c r="U813" s="1" t="s">
        <v>2308</v>
      </c>
    </row>
    <row r="814" spans="1:21">
      <c r="A814" s="6" t="s">
        <v>2309</v>
      </c>
      <c r="B814" s="6" t="s">
        <v>2310</v>
      </c>
      <c r="C814" s="7">
        <v>1.1555420047732941</v>
      </c>
      <c r="D814" s="7">
        <v>2.2281332300248513</v>
      </c>
      <c r="E814" s="7">
        <v>1.1181110144953481</v>
      </c>
      <c r="F814" s="8">
        <v>1.1888308229499416</v>
      </c>
      <c r="G814" s="8">
        <f t="shared" si="96"/>
        <v>1.6918376173990728</v>
      </c>
      <c r="H814" s="8">
        <f t="shared" si="97"/>
        <v>1.1534709187226448</v>
      </c>
      <c r="I814" s="8">
        <f t="shared" si="98"/>
        <v>0.68178583267105752</v>
      </c>
      <c r="J814" s="22">
        <f t="shared" si="99"/>
        <v>-0.55260947391869408</v>
      </c>
      <c r="K814" s="8"/>
      <c r="L814" s="8">
        <v>0.98384853296596497</v>
      </c>
      <c r="M814" s="8">
        <v>0.83765436952526762</v>
      </c>
      <c r="N814" s="8">
        <v>0.93839769301599263</v>
      </c>
      <c r="O814" s="8">
        <v>1.1440225801615289</v>
      </c>
      <c r="P814" s="8">
        <f t="shared" si="100"/>
        <v>0.91075145124561629</v>
      </c>
      <c r="Q814" s="8">
        <f t="shared" si="101"/>
        <v>1.0412101365887607</v>
      </c>
      <c r="R814" s="8">
        <f t="shared" si="102"/>
        <v>1.1432429069036549</v>
      </c>
      <c r="S814" s="22">
        <f t="shared" si="103"/>
        <v>0.19313196816594216</v>
      </c>
      <c r="T814" s="25"/>
      <c r="U814" s="1" t="s">
        <v>2311</v>
      </c>
    </row>
    <row r="815" spans="1:21">
      <c r="A815" s="6" t="s">
        <v>2312</v>
      </c>
      <c r="B815" s="6" t="s">
        <v>2313</v>
      </c>
      <c r="C815" s="7">
        <v>1.309101731352468</v>
      </c>
      <c r="D815" s="7">
        <v>2.222538309633975</v>
      </c>
      <c r="E815" s="7">
        <v>1.1485436891182779</v>
      </c>
      <c r="F815" s="8">
        <v>1.1367552621593504</v>
      </c>
      <c r="G815" s="8">
        <f t="shared" si="96"/>
        <v>1.7658200204932215</v>
      </c>
      <c r="H815" s="8">
        <f t="shared" si="97"/>
        <v>1.1426494756388141</v>
      </c>
      <c r="I815" s="8">
        <f t="shared" si="98"/>
        <v>0.64709283074027779</v>
      </c>
      <c r="J815" s="22">
        <f t="shared" si="99"/>
        <v>-0.62795540146129336</v>
      </c>
      <c r="K815" s="8"/>
      <c r="L815" s="8">
        <v>1.057825630962612</v>
      </c>
      <c r="M815" s="8">
        <v>0.92646591713758508</v>
      </c>
      <c r="N815" s="8">
        <v>1.1371100485324925</v>
      </c>
      <c r="O815" s="8">
        <v>1.3558359679027958</v>
      </c>
      <c r="P815" s="8">
        <f t="shared" si="100"/>
        <v>0.99214577405009852</v>
      </c>
      <c r="Q815" s="8">
        <f t="shared" si="101"/>
        <v>1.2464730082176443</v>
      </c>
      <c r="R815" s="8">
        <f t="shared" si="102"/>
        <v>1.2563405910900987</v>
      </c>
      <c r="S815" s="22">
        <f t="shared" si="103"/>
        <v>0.32922762861338911</v>
      </c>
      <c r="T815" s="25"/>
      <c r="U815" s="1" t="s">
        <v>2314</v>
      </c>
    </row>
    <row r="816" spans="1:21">
      <c r="A816" s="6" t="s">
        <v>2315</v>
      </c>
      <c r="B816" s="6" t="s">
        <v>2316</v>
      </c>
      <c r="C816" s="7">
        <v>1.3749242403804292</v>
      </c>
      <c r="D816" s="7">
        <v>2.1214118087858718</v>
      </c>
      <c r="E816" s="7">
        <v>1.153907577921006</v>
      </c>
      <c r="F816" s="8">
        <v>1.1581872154947079</v>
      </c>
      <c r="G816" s="8">
        <f t="shared" si="96"/>
        <v>1.7481680245831503</v>
      </c>
      <c r="H816" s="8">
        <f t="shared" si="97"/>
        <v>1.1560473967078568</v>
      </c>
      <c r="I816" s="8">
        <f t="shared" si="98"/>
        <v>0.66129078009164233</v>
      </c>
      <c r="J816" s="22">
        <f t="shared" si="99"/>
        <v>-0.59664330764649043</v>
      </c>
      <c r="K816" s="8"/>
      <c r="L816" s="8">
        <v>1.3035045889345807</v>
      </c>
      <c r="M816" s="8">
        <v>1.3718418228817304</v>
      </c>
      <c r="N816" s="8">
        <v>1.1467953458227951</v>
      </c>
      <c r="O816" s="8">
        <v>1.4576625882444967</v>
      </c>
      <c r="P816" s="8">
        <f t="shared" si="100"/>
        <v>1.3376732059081555</v>
      </c>
      <c r="Q816" s="8">
        <f t="shared" si="101"/>
        <v>1.302228967033646</v>
      </c>
      <c r="R816" s="8">
        <f t="shared" si="102"/>
        <v>0.97350306583255053</v>
      </c>
      <c r="S816" s="22">
        <f t="shared" si="103"/>
        <v>-3.8742572485755258E-2</v>
      </c>
      <c r="T816" s="25"/>
      <c r="U816" s="1" t="s">
        <v>2317</v>
      </c>
    </row>
    <row r="817" spans="1:21">
      <c r="A817" s="6" t="s">
        <v>2318</v>
      </c>
      <c r="B817" s="6" t="s">
        <v>2319</v>
      </c>
      <c r="C817" s="7">
        <v>1.2653311018996183</v>
      </c>
      <c r="D817" s="7">
        <v>2.0621798021899327</v>
      </c>
      <c r="E817" s="7">
        <v>1.1714061659823647</v>
      </c>
      <c r="F817" s="8">
        <v>1.063203175513467</v>
      </c>
      <c r="G817" s="8">
        <f t="shared" si="96"/>
        <v>1.6637554520447755</v>
      </c>
      <c r="H817" s="8">
        <f t="shared" si="97"/>
        <v>1.1173046707479157</v>
      </c>
      <c r="I817" s="8">
        <f t="shared" si="98"/>
        <v>0.67155582833687177</v>
      </c>
      <c r="J817" s="22">
        <f t="shared" si="99"/>
        <v>-0.57442075492673939</v>
      </c>
      <c r="K817" s="8"/>
      <c r="L817" s="8">
        <v>0.88631906427661589</v>
      </c>
      <c r="M817" s="8">
        <v>1.3945390226657688</v>
      </c>
      <c r="N817" s="8">
        <v>1.0425497305435953</v>
      </c>
      <c r="O817" s="8">
        <v>1.259215821757524</v>
      </c>
      <c r="P817" s="8">
        <f t="shared" si="100"/>
        <v>1.1404290434711923</v>
      </c>
      <c r="Q817" s="8">
        <f t="shared" si="101"/>
        <v>1.1508827761505596</v>
      </c>
      <c r="R817" s="8">
        <f t="shared" si="102"/>
        <v>1.0091664911019353</v>
      </c>
      <c r="S817" s="22">
        <f t="shared" si="103"/>
        <v>1.3164208212760735E-2</v>
      </c>
      <c r="T817" s="25"/>
      <c r="U817" s="1" t="s">
        <v>2320</v>
      </c>
    </row>
    <row r="818" spans="1:21">
      <c r="A818" s="6" t="s">
        <v>2321</v>
      </c>
      <c r="B818" s="6" t="s">
        <v>2322</v>
      </c>
      <c r="C818" s="7">
        <v>0.8348948731196687</v>
      </c>
      <c r="D818" s="7">
        <v>1.0711373975313467</v>
      </c>
      <c r="E818" s="7">
        <v>1.0003932402643889</v>
      </c>
      <c r="F818" s="8">
        <v>0.98183604037233374</v>
      </c>
      <c r="G818" s="8">
        <f t="shared" si="96"/>
        <v>0.95301613532550777</v>
      </c>
      <c r="H818" s="8">
        <f t="shared" si="97"/>
        <v>0.99111464031836127</v>
      </c>
      <c r="I818" s="8">
        <f t="shared" si="98"/>
        <v>1.0399767680531879</v>
      </c>
      <c r="J818" s="22">
        <f t="shared" si="99"/>
        <v>5.6551300492506444E-2</v>
      </c>
      <c r="K818" s="8"/>
      <c r="L818" s="8">
        <v>0.94670374933618084</v>
      </c>
      <c r="M818" s="8">
        <v>1.0506208357384781</v>
      </c>
      <c r="N818" s="8">
        <v>1.1605512753075728</v>
      </c>
      <c r="O818" s="8">
        <v>1.3350100711170791</v>
      </c>
      <c r="P818" s="8">
        <f t="shared" si="100"/>
        <v>0.99866229253732941</v>
      </c>
      <c r="Q818" s="8">
        <f t="shared" si="101"/>
        <v>1.247780673212326</v>
      </c>
      <c r="R818" s="8">
        <f t="shared" si="102"/>
        <v>1.2494520745767366</v>
      </c>
      <c r="S818" s="22">
        <f t="shared" si="103"/>
        <v>0.32129556481277333</v>
      </c>
      <c r="T818" s="25"/>
      <c r="U818" s="1" t="s">
        <v>2323</v>
      </c>
    </row>
    <row r="819" spans="1:21">
      <c r="A819" s="6" t="s">
        <v>2324</v>
      </c>
      <c r="B819" s="6" t="s">
        <v>80</v>
      </c>
      <c r="C819" s="7">
        <v>1.33101643987572</v>
      </c>
      <c r="D819" s="7">
        <v>1.9313125919869549</v>
      </c>
      <c r="E819" s="7">
        <v>1.0189869889307757</v>
      </c>
      <c r="F819" s="8">
        <v>0.9939894808079125</v>
      </c>
      <c r="G819" s="8">
        <f t="shared" si="96"/>
        <v>1.6311645159313375</v>
      </c>
      <c r="H819" s="8">
        <f t="shared" si="97"/>
        <v>1.006488234869344</v>
      </c>
      <c r="I819" s="8">
        <f t="shared" si="98"/>
        <v>0.61703661711564062</v>
      </c>
      <c r="J819" s="22">
        <f t="shared" si="99"/>
        <v>-0.69657198839170342</v>
      </c>
      <c r="K819" s="8"/>
      <c r="L819" s="8">
        <v>1.0572788097524994</v>
      </c>
      <c r="M819" s="8">
        <v>1.3817692732409921</v>
      </c>
      <c r="N819" s="8">
        <v>1.3870094341726209</v>
      </c>
      <c r="O819" s="8">
        <v>1.3544342248499111</v>
      </c>
      <c r="P819" s="8">
        <f t="shared" si="100"/>
        <v>1.2195240414967459</v>
      </c>
      <c r="Q819" s="8">
        <f t="shared" si="101"/>
        <v>1.370721829511266</v>
      </c>
      <c r="R819" s="8">
        <f t="shared" si="102"/>
        <v>1.1239809818172606</v>
      </c>
      <c r="S819" s="22">
        <f t="shared" si="103"/>
        <v>0.16861762482036088</v>
      </c>
      <c r="T819" s="25"/>
      <c r="U819" s="1">
        <v>0</v>
      </c>
    </row>
    <row r="820" spans="1:21">
      <c r="A820" s="6" t="s">
        <v>2325</v>
      </c>
      <c r="B820" s="6" t="s">
        <v>80</v>
      </c>
      <c r="C820" s="7">
        <v>1.4920552547586565</v>
      </c>
      <c r="D820" s="7">
        <v>1.9702478452131009</v>
      </c>
      <c r="E820" s="7">
        <v>1.1681926290245455</v>
      </c>
      <c r="F820" s="8">
        <v>1.1240372364712632</v>
      </c>
      <c r="G820" s="8">
        <f t="shared" si="96"/>
        <v>1.7311515499858787</v>
      </c>
      <c r="H820" s="8">
        <f t="shared" si="97"/>
        <v>1.1461149327479043</v>
      </c>
      <c r="I820" s="8">
        <f t="shared" si="98"/>
        <v>0.66205349425199278</v>
      </c>
      <c r="J820" s="22">
        <f t="shared" si="99"/>
        <v>-0.59498030266747237</v>
      </c>
      <c r="K820" s="8"/>
      <c r="L820" s="8">
        <v>1.2215985833913026</v>
      </c>
      <c r="M820" s="8">
        <v>1.6049927317341037</v>
      </c>
      <c r="N820" s="8">
        <v>1.4221946687731408</v>
      </c>
      <c r="O820" s="8">
        <v>1.4766862439622186</v>
      </c>
      <c r="P820" s="8">
        <f t="shared" si="100"/>
        <v>1.4132956575627031</v>
      </c>
      <c r="Q820" s="8">
        <f t="shared" si="101"/>
        <v>1.4494404563676797</v>
      </c>
      <c r="R820" s="8">
        <f t="shared" si="102"/>
        <v>1.0255748318559967</v>
      </c>
      <c r="S820" s="22">
        <f t="shared" si="103"/>
        <v>3.6432763011110161E-2</v>
      </c>
      <c r="T820" s="25"/>
      <c r="U820" s="1">
        <v>0</v>
      </c>
    </row>
    <row r="821" spans="1:21">
      <c r="A821" s="6" t="s">
        <v>2326</v>
      </c>
      <c r="B821" s="6" t="s">
        <v>2327</v>
      </c>
      <c r="C821" s="7">
        <v>1.0842783773549101</v>
      </c>
      <c r="D821" s="7">
        <v>1.0378981777151892</v>
      </c>
      <c r="E821" s="7">
        <v>1.1204772009120509</v>
      </c>
      <c r="F821" s="8">
        <v>1.1446965994610825</v>
      </c>
      <c r="G821" s="8">
        <f t="shared" si="96"/>
        <v>1.0610882775350496</v>
      </c>
      <c r="H821" s="8">
        <f t="shared" si="97"/>
        <v>1.1325869001865667</v>
      </c>
      <c r="I821" s="8">
        <f t="shared" si="98"/>
        <v>1.0673823508988445</v>
      </c>
      <c r="J821" s="22">
        <f t="shared" si="99"/>
        <v>9.4077061762812095E-2</v>
      </c>
      <c r="K821" s="8"/>
      <c r="L821" s="8">
        <v>1.0112677107873198</v>
      </c>
      <c r="M821" s="8">
        <v>0.68614747151130473</v>
      </c>
      <c r="N821" s="8">
        <v>0.69551663874564873</v>
      </c>
      <c r="O821" s="8">
        <v>0.85125853111616656</v>
      </c>
      <c r="P821" s="8">
        <f t="shared" si="100"/>
        <v>0.84870759114931227</v>
      </c>
      <c r="Q821" s="8">
        <f t="shared" si="101"/>
        <v>0.77338758493090765</v>
      </c>
      <c r="R821" s="8">
        <f t="shared" si="102"/>
        <v>0.91125329029235269</v>
      </c>
      <c r="S821" s="22">
        <f t="shared" si="103"/>
        <v>-0.13407597625174875</v>
      </c>
      <c r="T821" s="25"/>
      <c r="U821" s="1" t="s">
        <v>2328</v>
      </c>
    </row>
    <row r="822" spans="1:21">
      <c r="A822" s="6" t="s">
        <v>2329</v>
      </c>
      <c r="B822" s="6" t="s">
        <v>2330</v>
      </c>
      <c r="C822" s="7">
        <v>0.94413528603855545</v>
      </c>
      <c r="D822" s="7">
        <v>0.92269000373872412</v>
      </c>
      <c r="E822" s="7">
        <v>1.0902283853687975</v>
      </c>
      <c r="F822" s="8">
        <v>0.99197628865752019</v>
      </c>
      <c r="G822" s="8">
        <f t="shared" si="96"/>
        <v>0.93341264488863973</v>
      </c>
      <c r="H822" s="8">
        <f t="shared" si="97"/>
        <v>1.0411023370131589</v>
      </c>
      <c r="I822" s="8">
        <f t="shared" si="98"/>
        <v>1.1153720090618304</v>
      </c>
      <c r="J822" s="22">
        <f t="shared" si="99"/>
        <v>0.15752497123697184</v>
      </c>
      <c r="K822" s="8"/>
      <c r="L822" s="8">
        <v>1.0957125290918344</v>
      </c>
      <c r="M822" s="8">
        <v>1.2593032569833762</v>
      </c>
      <c r="N822" s="8">
        <v>0.89493082739912699</v>
      </c>
      <c r="O822" s="8">
        <v>0.98036907873723178</v>
      </c>
      <c r="P822" s="8">
        <f t="shared" si="100"/>
        <v>1.1775078930376053</v>
      </c>
      <c r="Q822" s="8">
        <f t="shared" si="101"/>
        <v>0.93764995306817944</v>
      </c>
      <c r="R822" s="8">
        <f t="shared" si="102"/>
        <v>0.79630035485310702</v>
      </c>
      <c r="S822" s="22">
        <f t="shared" si="103"/>
        <v>-0.32861539436317116</v>
      </c>
      <c r="T822" s="25"/>
      <c r="U822" s="1" t="s">
        <v>2331</v>
      </c>
    </row>
    <row r="823" spans="1:21">
      <c r="A823" s="6" t="s">
        <v>2332</v>
      </c>
      <c r="B823" s="6" t="s">
        <v>2333</v>
      </c>
      <c r="C823" s="7">
        <v>0.96354172389923542</v>
      </c>
      <c r="D823" s="7">
        <v>1.0250366016841146</v>
      </c>
      <c r="E823" s="7">
        <v>0.96773027506625642</v>
      </c>
      <c r="F823" s="8">
        <v>1.0457827489722493</v>
      </c>
      <c r="G823" s="8">
        <f t="shared" si="96"/>
        <v>0.99428916279167501</v>
      </c>
      <c r="H823" s="8">
        <f t="shared" si="97"/>
        <v>1.006756512019253</v>
      </c>
      <c r="I823" s="8">
        <f t="shared" si="98"/>
        <v>1.0125389571707422</v>
      </c>
      <c r="J823" s="22">
        <f t="shared" si="99"/>
        <v>1.7977416378318154E-2</v>
      </c>
      <c r="K823" s="8"/>
      <c r="L823" s="8">
        <v>1.2414403815868129</v>
      </c>
      <c r="M823" s="8">
        <v>0.87715820726191529</v>
      </c>
      <c r="N823" s="8">
        <v>0.78376045850173981</v>
      </c>
      <c r="O823" s="8">
        <v>0.85336114569549371</v>
      </c>
      <c r="P823" s="8">
        <f t="shared" si="100"/>
        <v>1.0592992944243642</v>
      </c>
      <c r="Q823" s="8">
        <f t="shared" si="101"/>
        <v>0.81856080209861681</v>
      </c>
      <c r="R823" s="8">
        <f t="shared" si="102"/>
        <v>0.77273798482366818</v>
      </c>
      <c r="S823" s="22">
        <f t="shared" si="103"/>
        <v>-0.37194877785830849</v>
      </c>
      <c r="T823" s="25"/>
      <c r="U823" s="1" t="s">
        <v>2334</v>
      </c>
    </row>
    <row r="824" spans="1:21">
      <c r="A824" s="6" t="s">
        <v>2335</v>
      </c>
      <c r="B824" s="9" t="s">
        <v>2336</v>
      </c>
      <c r="C824" s="10">
        <v>1.0229629171737578</v>
      </c>
      <c r="D824" s="10">
        <v>0.97673154202023604</v>
      </c>
      <c r="E824" s="10">
        <v>0.93346853526224371</v>
      </c>
      <c r="F824" s="8">
        <v>1.1173959310009653</v>
      </c>
      <c r="G824" s="8">
        <f t="shared" si="96"/>
        <v>0.9998472295969969</v>
      </c>
      <c r="H824" s="8">
        <f t="shared" si="97"/>
        <v>1.0254322331316046</v>
      </c>
      <c r="I824" s="8">
        <f t="shared" si="98"/>
        <v>1.025588912763123</v>
      </c>
      <c r="J824" s="22">
        <f t="shared" si="99"/>
        <v>3.6452570747021962E-2</v>
      </c>
      <c r="K824" s="8"/>
      <c r="L824" s="8">
        <v>0.8710471290513313</v>
      </c>
      <c r="M824" s="8">
        <v>0.86949635760704935</v>
      </c>
      <c r="N824" s="8">
        <v>0.796814554849539</v>
      </c>
      <c r="O824" s="8">
        <v>0.8616714795090249</v>
      </c>
      <c r="P824" s="8">
        <f t="shared" si="100"/>
        <v>0.87027174332919033</v>
      </c>
      <c r="Q824" s="8">
        <f t="shared" si="101"/>
        <v>0.82924301717928195</v>
      </c>
      <c r="R824" s="8">
        <f t="shared" si="102"/>
        <v>0.95285527024817029</v>
      </c>
      <c r="S824" s="22">
        <f t="shared" si="103"/>
        <v>-6.9670995916758863E-2</v>
      </c>
      <c r="T824" s="25"/>
      <c r="U824" s="1" t="s">
        <v>2337</v>
      </c>
    </row>
    <row r="825" spans="1:21">
      <c r="A825" s="6" t="s">
        <v>2338</v>
      </c>
      <c r="B825" s="13" t="s">
        <v>2339</v>
      </c>
      <c r="C825" s="14">
        <v>1.1616428506036121</v>
      </c>
      <c r="D825" s="14">
        <v>1.099145703825432</v>
      </c>
      <c r="E825" s="14">
        <v>1.0810514191310452</v>
      </c>
      <c r="F825" s="8">
        <v>1.1782671357253738</v>
      </c>
      <c r="G825" s="8">
        <f t="shared" si="96"/>
        <v>1.1303942772145219</v>
      </c>
      <c r="H825" s="8">
        <f t="shared" si="97"/>
        <v>1.1296592774282095</v>
      </c>
      <c r="I825" s="8">
        <f t="shared" si="98"/>
        <v>0.9993497845830186</v>
      </c>
      <c r="J825" s="22">
        <f t="shared" si="99"/>
        <v>-9.3836766121969733E-4</v>
      </c>
      <c r="K825" s="8"/>
      <c r="L825" s="8">
        <v>0.94478987510078716</v>
      </c>
      <c r="M825" s="8">
        <v>1.0656973786077304</v>
      </c>
      <c r="N825" s="8">
        <v>0.63670302186685424</v>
      </c>
      <c r="O825" s="8">
        <v>0.92044456322640777</v>
      </c>
      <c r="P825" s="8">
        <f t="shared" si="100"/>
        <v>1.0052436268542588</v>
      </c>
      <c r="Q825" s="8">
        <f t="shared" si="101"/>
        <v>0.77857379254663095</v>
      </c>
      <c r="R825" s="8">
        <f t="shared" si="102"/>
        <v>0.7745125378044394</v>
      </c>
      <c r="S825" s="22">
        <f t="shared" si="103"/>
        <v>-0.36863950134458895</v>
      </c>
      <c r="T825" s="25"/>
      <c r="U825" s="1" t="s">
        <v>2340</v>
      </c>
    </row>
    <row r="826" spans="1:21">
      <c r="A826" s="6" t="s">
        <v>2341</v>
      </c>
      <c r="B826" s="6" t="s">
        <v>2342</v>
      </c>
      <c r="C826" s="7">
        <v>0.96750662049345715</v>
      </c>
      <c r="D826" s="7">
        <v>0.9876584889522968</v>
      </c>
      <c r="E826" s="7">
        <v>0.97920148286344688</v>
      </c>
      <c r="F826" s="8">
        <v>1.0864031721395748</v>
      </c>
      <c r="G826" s="8">
        <f t="shared" si="96"/>
        <v>0.97758255472287692</v>
      </c>
      <c r="H826" s="8">
        <f t="shared" si="97"/>
        <v>1.0328023275015108</v>
      </c>
      <c r="I826" s="8">
        <f t="shared" si="98"/>
        <v>1.0564860456151322</v>
      </c>
      <c r="J826" s="22">
        <f t="shared" si="99"/>
        <v>7.9273711849473377E-2</v>
      </c>
      <c r="K826" s="8"/>
      <c r="L826" s="8">
        <v>1.1118828134480181</v>
      </c>
      <c r="M826" s="8">
        <v>0.92139921010775439</v>
      </c>
      <c r="N826" s="8">
        <v>0.75152292307652946</v>
      </c>
      <c r="O826" s="8">
        <v>0.77045805656773714</v>
      </c>
      <c r="P826" s="8">
        <f t="shared" si="100"/>
        <v>1.0166410117778861</v>
      </c>
      <c r="Q826" s="8">
        <f t="shared" si="101"/>
        <v>0.76099048982213335</v>
      </c>
      <c r="R826" s="8">
        <f t="shared" si="102"/>
        <v>0.7485341246378846</v>
      </c>
      <c r="S826" s="22">
        <f t="shared" si="103"/>
        <v>-0.41786000662820694</v>
      </c>
      <c r="T826" s="25"/>
      <c r="U826" s="1" t="s">
        <v>2343</v>
      </c>
    </row>
    <row r="827" spans="1:21">
      <c r="A827" s="6" t="s">
        <v>2344</v>
      </c>
      <c r="B827" s="6" t="s">
        <v>2345</v>
      </c>
      <c r="C827" s="7">
        <v>1.0419121181949065</v>
      </c>
      <c r="D827" s="7">
        <v>0.92295289758841592</v>
      </c>
      <c r="E827" s="7">
        <v>0.9914800718366068</v>
      </c>
      <c r="F827" s="8">
        <v>1.0572601728554822</v>
      </c>
      <c r="G827" s="8">
        <f t="shared" si="96"/>
        <v>0.98243250789166114</v>
      </c>
      <c r="H827" s="8">
        <f t="shared" si="97"/>
        <v>1.0243701223460446</v>
      </c>
      <c r="I827" s="8">
        <f t="shared" si="98"/>
        <v>1.0426875272525167</v>
      </c>
      <c r="J827" s="22">
        <f t="shared" si="99"/>
        <v>6.0306875571200382E-2</v>
      </c>
      <c r="K827" s="8"/>
      <c r="L827" s="8">
        <v>0.57759943251025014</v>
      </c>
      <c r="M827" s="8">
        <v>0.59177490398819743</v>
      </c>
      <c r="N827" s="8">
        <v>0.60905079626990311</v>
      </c>
      <c r="O827" s="8">
        <v>0.71213553311735289</v>
      </c>
      <c r="P827" s="8">
        <f t="shared" si="100"/>
        <v>0.58468716824922384</v>
      </c>
      <c r="Q827" s="8">
        <f t="shared" si="101"/>
        <v>0.66059316469362805</v>
      </c>
      <c r="R827" s="8">
        <f t="shared" si="102"/>
        <v>1.1298232637321179</v>
      </c>
      <c r="S827" s="22">
        <f t="shared" si="103"/>
        <v>0.176097112039627</v>
      </c>
      <c r="T827" s="25"/>
      <c r="U827" s="1" t="s">
        <v>2346</v>
      </c>
    </row>
    <row r="828" spans="1:21">
      <c r="A828" s="6" t="s">
        <v>2347</v>
      </c>
      <c r="B828" s="6" t="s">
        <v>2348</v>
      </c>
      <c r="C828" s="7">
        <v>1.0109179924295324</v>
      </c>
      <c r="D828" s="7">
        <v>0.90885100185623147</v>
      </c>
      <c r="E828" s="7">
        <v>0.91459500103982794</v>
      </c>
      <c r="F828" s="8">
        <v>1.022359889746467</v>
      </c>
      <c r="G828" s="8">
        <f t="shared" si="96"/>
        <v>0.95988449714288193</v>
      </c>
      <c r="H828" s="8">
        <f t="shared" si="97"/>
        <v>0.96847744539314751</v>
      </c>
      <c r="I828" s="8">
        <f t="shared" si="98"/>
        <v>1.0089520648326362</v>
      </c>
      <c r="J828" s="22">
        <f t="shared" si="99"/>
        <v>1.2857633838714582E-2</v>
      </c>
      <c r="K828" s="8"/>
      <c r="L828" s="8">
        <v>1.2042955979570289</v>
      </c>
      <c r="M828" s="8">
        <v>0.84090859599158163</v>
      </c>
      <c r="N828" s="8">
        <v>0.81258240599365494</v>
      </c>
      <c r="O828" s="8">
        <v>0.98692723373465696</v>
      </c>
      <c r="P828" s="8">
        <f t="shared" si="100"/>
        <v>1.0226020969743053</v>
      </c>
      <c r="Q828" s="8">
        <f t="shared" si="101"/>
        <v>0.89975481986415595</v>
      </c>
      <c r="R828" s="8">
        <f t="shared" si="102"/>
        <v>0.87986795893179548</v>
      </c>
      <c r="S828" s="22">
        <f t="shared" si="103"/>
        <v>-0.18464105896389532</v>
      </c>
      <c r="T828" s="25"/>
      <c r="U828" s="1" t="s">
        <v>2349</v>
      </c>
    </row>
    <row r="829" spans="1:21">
      <c r="A829" s="6" t="s">
        <v>2350</v>
      </c>
      <c r="B829" s="6" t="s">
        <v>2351</v>
      </c>
      <c r="C829" s="7">
        <v>0.95920450587853823</v>
      </c>
      <c r="D829" s="7">
        <v>0.99545767315981948</v>
      </c>
      <c r="E829" s="7">
        <v>1.003902550524296</v>
      </c>
      <c r="F829" s="8">
        <v>1.1106506229841526</v>
      </c>
      <c r="G829" s="8">
        <f t="shared" si="96"/>
        <v>0.97733108951917891</v>
      </c>
      <c r="H829" s="8">
        <f t="shared" si="97"/>
        <v>1.0572765867542242</v>
      </c>
      <c r="I829" s="8">
        <f t="shared" si="98"/>
        <v>1.0817998098007671</v>
      </c>
      <c r="J829" s="22">
        <f t="shared" si="99"/>
        <v>0.11343354895317555</v>
      </c>
      <c r="K829" s="8"/>
      <c r="L829" s="8">
        <v>0.8258953205591858</v>
      </c>
      <c r="M829" s="8">
        <v>1.0288710689762777</v>
      </c>
      <c r="N829" s="8">
        <v>0.86269329197391664</v>
      </c>
      <c r="O829" s="8">
        <v>0.96880469855093243</v>
      </c>
      <c r="P829" s="8">
        <f t="shared" si="100"/>
        <v>0.92738319476773179</v>
      </c>
      <c r="Q829" s="8">
        <f t="shared" si="101"/>
        <v>0.91574899526242448</v>
      </c>
      <c r="R829" s="8">
        <f t="shared" si="102"/>
        <v>0.98745480878783753</v>
      </c>
      <c r="S829" s="22">
        <f t="shared" si="103"/>
        <v>-1.8213370638908145E-2</v>
      </c>
      <c r="T829" s="25"/>
      <c r="U829" s="1" t="s">
        <v>2352</v>
      </c>
    </row>
    <row r="830" spans="1:21">
      <c r="A830" s="6" t="s">
        <v>2353</v>
      </c>
      <c r="B830" s="6" t="s">
        <v>2354</v>
      </c>
      <c r="C830" s="7">
        <v>1.0067702010994981</v>
      </c>
      <c r="D830" s="7">
        <v>1.0347097471791837</v>
      </c>
      <c r="E830" s="7">
        <v>0.97678733320856781</v>
      </c>
      <c r="F830" s="8">
        <v>1.068641022945523</v>
      </c>
      <c r="G830" s="8">
        <f t="shared" si="96"/>
        <v>1.020739974139341</v>
      </c>
      <c r="H830" s="8">
        <f t="shared" si="97"/>
        <v>1.0227141780770455</v>
      </c>
      <c r="I830" s="8">
        <f t="shared" si="98"/>
        <v>1.0019340909415926</v>
      </c>
      <c r="J830" s="22">
        <f t="shared" si="99"/>
        <v>2.7876085339865082E-3</v>
      </c>
      <c r="K830" s="8"/>
      <c r="L830" s="8">
        <v>0.74508295743613273</v>
      </c>
      <c r="M830" s="8">
        <v>0.96807058461830897</v>
      </c>
      <c r="N830" s="8">
        <v>0.95032885634462638</v>
      </c>
      <c r="O830" s="8">
        <v>1.0425463955830492</v>
      </c>
      <c r="P830" s="8">
        <f t="shared" si="100"/>
        <v>0.85657677102722085</v>
      </c>
      <c r="Q830" s="8">
        <f t="shared" si="101"/>
        <v>0.99643762596383778</v>
      </c>
      <c r="R830" s="8">
        <f t="shared" si="102"/>
        <v>1.1632788322859766</v>
      </c>
      <c r="S830" s="22">
        <f t="shared" si="103"/>
        <v>0.21819694525591932</v>
      </c>
      <c r="T830" s="25"/>
      <c r="U830" s="1" t="s">
        <v>2355</v>
      </c>
    </row>
    <row r="831" spans="1:21">
      <c r="A831" s="6" t="s">
        <v>2356</v>
      </c>
      <c r="B831" s="6" t="s">
        <v>2357</v>
      </c>
      <c r="C831" s="7">
        <v>0.83687405543935434</v>
      </c>
      <c r="D831" s="7">
        <v>0.81940642514956041</v>
      </c>
      <c r="E831" s="7">
        <v>0.19015025775036173</v>
      </c>
      <c r="F831" s="8">
        <v>0.19480419837541676</v>
      </c>
      <c r="G831" s="8">
        <f t="shared" si="96"/>
        <v>0.82814024029445732</v>
      </c>
      <c r="H831" s="8">
        <f t="shared" si="97"/>
        <v>0.19247722806288925</v>
      </c>
      <c r="I831" s="8">
        <f t="shared" si="98"/>
        <v>0.23242105466877344</v>
      </c>
      <c r="J831" s="22">
        <f t="shared" si="99"/>
        <v>-2.105187328682133</v>
      </c>
      <c r="K831" s="8"/>
      <c r="L831" s="8">
        <v>0.90393451897381105</v>
      </c>
      <c r="M831" s="8">
        <v>0.79048868213375389</v>
      </c>
      <c r="N831" s="8">
        <v>0.49432447281182501</v>
      </c>
      <c r="O831" s="8">
        <v>0.52655476536578683</v>
      </c>
      <c r="P831" s="8">
        <f t="shared" si="100"/>
        <v>0.84721160055378242</v>
      </c>
      <c r="Q831" s="8">
        <f t="shared" si="101"/>
        <v>0.51043961908880586</v>
      </c>
      <c r="R831" s="8">
        <f t="shared" si="102"/>
        <v>0.60249366127087434</v>
      </c>
      <c r="S831" s="22">
        <f t="shared" si="103"/>
        <v>-0.73098203180398413</v>
      </c>
      <c r="T831" s="25"/>
      <c r="U831" s="1" t="s">
        <v>2358</v>
      </c>
    </row>
    <row r="832" spans="1:21">
      <c r="A832" s="6" t="s">
        <v>2359</v>
      </c>
      <c r="B832" s="6" t="s">
        <v>2360</v>
      </c>
      <c r="C832" s="7">
        <v>1.1218697775192363</v>
      </c>
      <c r="D832" s="7">
        <v>1.1220579139562614</v>
      </c>
      <c r="E832" s="7">
        <v>1.2695949084024973</v>
      </c>
      <c r="F832" s="8">
        <v>1.2640692366000281</v>
      </c>
      <c r="G832" s="8">
        <f t="shared" si="96"/>
        <v>1.1219638457377488</v>
      </c>
      <c r="H832" s="8">
        <f t="shared" si="97"/>
        <v>1.2668320725012627</v>
      </c>
      <c r="I832" s="8">
        <f t="shared" si="98"/>
        <v>1.1291202272817051</v>
      </c>
      <c r="J832" s="22">
        <f t="shared" si="99"/>
        <v>0.17519911061785004</v>
      </c>
      <c r="K832" s="8"/>
      <c r="L832" s="8">
        <v>1.2558920849969288</v>
      </c>
      <c r="M832" s="8">
        <v>1.2769337497375839</v>
      </c>
      <c r="N832" s="8">
        <v>1.5375760364923987</v>
      </c>
      <c r="O832" s="8">
        <v>1.5007161248688146</v>
      </c>
      <c r="P832" s="8">
        <f t="shared" si="100"/>
        <v>1.2664129173672563</v>
      </c>
      <c r="Q832" s="8">
        <f t="shared" si="101"/>
        <v>1.5191460806806067</v>
      </c>
      <c r="R832" s="8">
        <f t="shared" si="102"/>
        <v>1.1995661603316217</v>
      </c>
      <c r="S832" s="22">
        <f t="shared" si="103"/>
        <v>0.26251272957807964</v>
      </c>
      <c r="T832" s="25"/>
      <c r="U832" s="1" t="s">
        <v>2361</v>
      </c>
    </row>
    <row r="833" spans="1:21">
      <c r="A833" s="6" t="s">
        <v>2362</v>
      </c>
      <c r="B833" s="6" t="s">
        <v>2363</v>
      </c>
      <c r="C833" s="7">
        <v>1.1866275779065745</v>
      </c>
      <c r="D833" s="7">
        <v>1.0832035511454052</v>
      </c>
      <c r="E833" s="7">
        <v>1.084656655867305</v>
      </c>
      <c r="F833" s="8">
        <v>1.0419197972445593</v>
      </c>
      <c r="G833" s="8">
        <f t="shared" si="96"/>
        <v>1.1349155645259899</v>
      </c>
      <c r="H833" s="8">
        <f t="shared" si="97"/>
        <v>1.0632882265559322</v>
      </c>
      <c r="I833" s="8">
        <f t="shared" si="98"/>
        <v>0.9368875181476839</v>
      </c>
      <c r="J833" s="22">
        <f t="shared" si="99"/>
        <v>-9.4052245243616134E-2</v>
      </c>
      <c r="K833" s="8"/>
      <c r="L833" s="8">
        <v>1.3945503204183101</v>
      </c>
      <c r="M833" s="8">
        <v>0.94117172534611826</v>
      </c>
      <c r="N833" s="8">
        <v>0.90873354575970333</v>
      </c>
      <c r="O833" s="8">
        <v>1.0838477533912612</v>
      </c>
      <c r="P833" s="8">
        <f t="shared" si="100"/>
        <v>1.1678610228822142</v>
      </c>
      <c r="Q833" s="8">
        <f t="shared" si="101"/>
        <v>0.99629064957548219</v>
      </c>
      <c r="R833" s="8">
        <f t="shared" si="102"/>
        <v>0.85309007669139769</v>
      </c>
      <c r="S833" s="22">
        <f t="shared" si="103"/>
        <v>-0.22923001297458037</v>
      </c>
      <c r="T833" s="25"/>
      <c r="U833" s="1" t="s">
        <v>2364</v>
      </c>
    </row>
    <row r="834" spans="1:21">
      <c r="A834" s="6" t="s">
        <v>2365</v>
      </c>
      <c r="B834" s="6" t="s">
        <v>2366</v>
      </c>
      <c r="C834" s="7">
        <v>1.050952343707926</v>
      </c>
      <c r="D834" s="7">
        <v>1.1018959779452846</v>
      </c>
      <c r="E834" s="7">
        <v>1.166010301687519</v>
      </c>
      <c r="F834" s="8">
        <v>1.1225440570534446</v>
      </c>
      <c r="G834" s="8">
        <f t="shared" si="96"/>
        <v>1.0764241608266052</v>
      </c>
      <c r="H834" s="8">
        <f t="shared" si="97"/>
        <v>1.1442771793704818</v>
      </c>
      <c r="I834" s="8">
        <f t="shared" si="98"/>
        <v>1.063035577436102</v>
      </c>
      <c r="J834" s="22">
        <f t="shared" si="99"/>
        <v>8.8189881470819631E-2</v>
      </c>
      <c r="K834" s="8"/>
      <c r="L834" s="8">
        <v>0.85757189208784501</v>
      </c>
      <c r="M834" s="8">
        <v>1.1555799374621261</v>
      </c>
      <c r="N834" s="8">
        <v>0.99417003296788053</v>
      </c>
      <c r="O834" s="8">
        <v>1.0541107757693486</v>
      </c>
      <c r="P834" s="8">
        <f t="shared" si="100"/>
        <v>1.0065759147749855</v>
      </c>
      <c r="Q834" s="8">
        <f t="shared" si="101"/>
        <v>1.0241404043686146</v>
      </c>
      <c r="R834" s="8">
        <f t="shared" si="102"/>
        <v>1.0174497415801524</v>
      </c>
      <c r="S834" s="22">
        <f t="shared" si="103"/>
        <v>2.4957532217462025E-2</v>
      </c>
      <c r="T834" s="25"/>
      <c r="U834" s="1" t="s">
        <v>2367</v>
      </c>
    </row>
    <row r="835" spans="1:21">
      <c r="A835" s="6" t="s">
        <v>2368</v>
      </c>
      <c r="B835" s="6" t="s">
        <v>2369</v>
      </c>
      <c r="C835" s="7">
        <v>0.1357209578826015</v>
      </c>
      <c r="D835" s="7">
        <v>0.13299732447227519</v>
      </c>
      <c r="E835" s="7">
        <v>0.27617232541974596</v>
      </c>
      <c r="F835" s="8">
        <v>0.26870543642745681</v>
      </c>
      <c r="G835" s="8">
        <f t="shared" si="96"/>
        <v>0.13435914117743836</v>
      </c>
      <c r="H835" s="8">
        <f t="shared" si="97"/>
        <v>0.27243888092360136</v>
      </c>
      <c r="I835" s="8">
        <f t="shared" si="98"/>
        <v>2.0276914435156379</v>
      </c>
      <c r="J835" s="22">
        <f t="shared" si="99"/>
        <v>1.0198381322338281</v>
      </c>
      <c r="K835" s="8"/>
      <c r="L835" s="8">
        <v>0.50862184272034605</v>
      </c>
      <c r="M835" s="8">
        <v>0.61636696981591244</v>
      </c>
      <c r="N835" s="8">
        <v>0.64208374258368905</v>
      </c>
      <c r="O835" s="8">
        <v>0.72359978879987485</v>
      </c>
      <c r="P835" s="8">
        <f t="shared" si="100"/>
        <v>0.56249440626812919</v>
      </c>
      <c r="Q835" s="8">
        <f t="shared" si="101"/>
        <v>0.68284176569178201</v>
      </c>
      <c r="R835" s="8">
        <f t="shared" si="102"/>
        <v>1.2139529888343206</v>
      </c>
      <c r="S835" s="22">
        <f t="shared" si="103"/>
        <v>0.27971255331615102</v>
      </c>
      <c r="T835" s="25"/>
      <c r="U835" s="1" t="s">
        <v>2370</v>
      </c>
    </row>
    <row r="836" spans="1:21">
      <c r="A836" s="6" t="s">
        <v>2371</v>
      </c>
      <c r="B836" s="6" t="s">
        <v>2372</v>
      </c>
      <c r="C836" s="7">
        <v>1.0955851912010348</v>
      </c>
      <c r="D836" s="7">
        <v>1.1762342695965897</v>
      </c>
      <c r="E836" s="7">
        <v>1.1967147679934482</v>
      </c>
      <c r="F836" s="8">
        <v>1.1193719793847452</v>
      </c>
      <c r="G836" s="8">
        <f t="shared" si="96"/>
        <v>1.1359097303988124</v>
      </c>
      <c r="H836" s="8">
        <f t="shared" si="97"/>
        <v>1.1580433736890967</v>
      </c>
      <c r="I836" s="8">
        <f t="shared" si="98"/>
        <v>1.0194853892857432</v>
      </c>
      <c r="J836" s="22">
        <f t="shared" si="99"/>
        <v>2.7841099576141181E-2</v>
      </c>
      <c r="K836" s="8"/>
      <c r="L836" s="8">
        <v>0.78808653974569354</v>
      </c>
      <c r="M836" s="8">
        <v>1.0600539732167806</v>
      </c>
      <c r="N836" s="8">
        <v>0.86769970168436295</v>
      </c>
      <c r="O836" s="8">
        <v>1.0909565931594625</v>
      </c>
      <c r="P836" s="8">
        <f t="shared" si="100"/>
        <v>0.92407025648123708</v>
      </c>
      <c r="Q836" s="8">
        <f t="shared" si="101"/>
        <v>0.97932814742191265</v>
      </c>
      <c r="R836" s="8">
        <f t="shared" si="102"/>
        <v>1.0597983654955976</v>
      </c>
      <c r="S836" s="22">
        <f t="shared" si="103"/>
        <v>8.3789807457828533E-2</v>
      </c>
      <c r="T836" s="25"/>
      <c r="U836" s="1" t="s">
        <v>2373</v>
      </c>
    </row>
    <row r="837" spans="1:21">
      <c r="A837" s="6" t="s">
        <v>2374</v>
      </c>
      <c r="B837" s="6" t="s">
        <v>2375</v>
      </c>
      <c r="C837" s="7">
        <v>1.1121894204308729</v>
      </c>
      <c r="D837" s="7">
        <v>1.2072422621243375</v>
      </c>
      <c r="E837" s="7">
        <v>1.2062834340096413</v>
      </c>
      <c r="F837" s="8">
        <v>1.0376928366040676</v>
      </c>
      <c r="G837" s="8">
        <f t="shared" si="96"/>
        <v>1.1597158412776052</v>
      </c>
      <c r="H837" s="8">
        <f t="shared" si="97"/>
        <v>1.1219881353068546</v>
      </c>
      <c r="I837" s="8">
        <f t="shared" si="98"/>
        <v>0.96746814639594148</v>
      </c>
      <c r="J837" s="22">
        <f t="shared" si="99"/>
        <v>-4.7713933158096723E-2</v>
      </c>
      <c r="K837" s="8"/>
      <c r="L837" s="8">
        <v>0.84136254907379615</v>
      </c>
      <c r="M837" s="8">
        <v>0.98623658299355577</v>
      </c>
      <c r="N837" s="8">
        <v>0.97035449518641159</v>
      </c>
      <c r="O837" s="8">
        <v>0.93511280302980915</v>
      </c>
      <c r="P837" s="8">
        <f t="shared" si="100"/>
        <v>0.91379956603367596</v>
      </c>
      <c r="Q837" s="8">
        <f t="shared" si="101"/>
        <v>0.95273364910811043</v>
      </c>
      <c r="R837" s="8">
        <f t="shared" si="102"/>
        <v>1.0426068084530034</v>
      </c>
      <c r="S837" s="22">
        <f t="shared" si="103"/>
        <v>6.0195186194953995E-2</v>
      </c>
      <c r="T837" s="25"/>
      <c r="U837" s="1" t="s">
        <v>2376</v>
      </c>
    </row>
    <row r="838" spans="1:21">
      <c r="A838" s="6" t="s">
        <v>2377</v>
      </c>
      <c r="B838" s="6" t="s">
        <v>2378</v>
      </c>
      <c r="C838" s="7">
        <v>1.0436234903657238</v>
      </c>
      <c r="D838" s="7">
        <v>1.2257931306974597</v>
      </c>
      <c r="E838" s="7">
        <v>0.9642689280445258</v>
      </c>
      <c r="F838" s="8">
        <v>1.0371951101314614</v>
      </c>
      <c r="G838" s="8">
        <f t="shared" ref="G838:G901" si="104">AVERAGE(C838:D838)</f>
        <v>1.1347083105315918</v>
      </c>
      <c r="H838" s="8">
        <f t="shared" ref="H838:H901" si="105">AVERAGE(E838:F838)</f>
        <v>1.0007320190879936</v>
      </c>
      <c r="I838" s="8">
        <f t="shared" ref="I838:I901" si="106">H838/G838</f>
        <v>0.88192887088239214</v>
      </c>
      <c r="J838" s="22">
        <f t="shared" ref="J838:J901" si="107">LOG(I838,2)</f>
        <v>-0.18126579031008866</v>
      </c>
      <c r="K838" s="8"/>
      <c r="L838" s="8">
        <v>0.69754857081421129</v>
      </c>
      <c r="M838" s="8">
        <v>0.87036140514872773</v>
      </c>
      <c r="N838" s="8">
        <v>0.87354831115918341</v>
      </c>
      <c r="O838" s="8">
        <v>0.95113272363420653</v>
      </c>
      <c r="P838" s="8">
        <f t="shared" ref="P838:P901" si="108">AVERAGE(L838:M838)</f>
        <v>0.78395498798146956</v>
      </c>
      <c r="Q838" s="8">
        <f t="shared" ref="Q838:Q901" si="109">AVERAGE(N838:O838)</f>
        <v>0.91234051739669497</v>
      </c>
      <c r="R838" s="8">
        <f t="shared" ref="R838:R901" si="110">Q838/P838</f>
        <v>1.1637664551963538</v>
      </c>
      <c r="S838" s="22">
        <f t="shared" ref="S838:S901" si="111">LOG(R838,2)</f>
        <v>0.21880156706427506</v>
      </c>
      <c r="T838" s="25"/>
      <c r="U838" s="1" t="s">
        <v>2379</v>
      </c>
    </row>
    <row r="839" spans="1:21">
      <c r="A839" s="6" t="s">
        <v>2380</v>
      </c>
      <c r="B839" s="6" t="s">
        <v>2381</v>
      </c>
      <c r="C839" s="7">
        <v>1.1838906888242369</v>
      </c>
      <c r="D839" s="7">
        <v>1.4762703016422545</v>
      </c>
      <c r="E839" s="7">
        <v>1.1209488394207856</v>
      </c>
      <c r="F839" s="8">
        <v>1.0815001949467375</v>
      </c>
      <c r="G839" s="8">
        <f t="shared" si="104"/>
        <v>1.3300804952332457</v>
      </c>
      <c r="H839" s="8">
        <f t="shared" si="105"/>
        <v>1.1012245171837616</v>
      </c>
      <c r="I839" s="8">
        <f t="shared" si="106"/>
        <v>0.82793824970017971</v>
      </c>
      <c r="J839" s="22">
        <f t="shared" si="107"/>
        <v>-0.27240492399058019</v>
      </c>
      <c r="K839" s="8"/>
      <c r="L839" s="8">
        <v>0.90030206379234956</v>
      </c>
      <c r="M839" s="8">
        <v>0.8430506184757377</v>
      </c>
      <c r="N839" s="8">
        <v>0.93783622650640985</v>
      </c>
      <c r="O839" s="8">
        <v>0.93936809444035219</v>
      </c>
      <c r="P839" s="8">
        <f t="shared" si="108"/>
        <v>0.87167634113404358</v>
      </c>
      <c r="Q839" s="8">
        <f t="shared" si="109"/>
        <v>0.93860216047338096</v>
      </c>
      <c r="R839" s="8">
        <f t="shared" si="110"/>
        <v>1.0767782904974426</v>
      </c>
      <c r="S839" s="22">
        <f t="shared" si="111"/>
        <v>0.10672122840837026</v>
      </c>
      <c r="T839" s="25"/>
      <c r="U839" s="1" t="s">
        <v>2382</v>
      </c>
    </row>
    <row r="840" spans="1:21">
      <c r="A840" s="6" t="s">
        <v>2383</v>
      </c>
      <c r="B840" s="6" t="s">
        <v>2384</v>
      </c>
      <c r="C840" s="7">
        <v>1.1334182736948277</v>
      </c>
      <c r="D840" s="7">
        <v>1.1845794641073184</v>
      </c>
      <c r="E840" s="7">
        <v>1.0829379731659838</v>
      </c>
      <c r="F840" s="8">
        <v>1.0483902413884401</v>
      </c>
      <c r="G840" s="8">
        <f t="shared" si="104"/>
        <v>1.1589988689010731</v>
      </c>
      <c r="H840" s="8">
        <f t="shared" si="105"/>
        <v>1.0656641072772119</v>
      </c>
      <c r="I840" s="8">
        <f t="shared" si="106"/>
        <v>0.91946949722879523</v>
      </c>
      <c r="J840" s="22">
        <f t="shared" si="107"/>
        <v>-0.12112637987677269</v>
      </c>
      <c r="K840" s="8"/>
      <c r="L840" s="8">
        <v>1.0786829542626168</v>
      </c>
      <c r="M840" s="8">
        <v>0.74447639146447808</v>
      </c>
      <c r="N840" s="8">
        <v>0.94583712426796429</v>
      </c>
      <c r="O840" s="8">
        <v>0.9061768214381164</v>
      </c>
      <c r="P840" s="8">
        <f t="shared" si="108"/>
        <v>0.91157967286354746</v>
      </c>
      <c r="Q840" s="8">
        <f t="shared" si="109"/>
        <v>0.92600697285304034</v>
      </c>
      <c r="R840" s="8">
        <f t="shared" si="110"/>
        <v>1.0158267021731324</v>
      </c>
      <c r="S840" s="22">
        <f t="shared" si="111"/>
        <v>2.2654302464122249E-2</v>
      </c>
      <c r="T840" s="25"/>
      <c r="U840" s="1" t="s">
        <v>2385</v>
      </c>
    </row>
    <row r="841" spans="1:21">
      <c r="A841" s="6" t="s">
        <v>2386</v>
      </c>
      <c r="B841" s="6" t="s">
        <v>2387</v>
      </c>
      <c r="C841" s="7">
        <v>0.15120822283301291</v>
      </c>
      <c r="D841" s="7">
        <v>0.1696406825985442</v>
      </c>
      <c r="E841" s="7">
        <v>0.20200517145296343</v>
      </c>
      <c r="F841" s="8">
        <v>0.19625280527330052</v>
      </c>
      <c r="G841" s="8">
        <f t="shared" si="104"/>
        <v>0.16042445271577854</v>
      </c>
      <c r="H841" s="8">
        <f t="shared" si="105"/>
        <v>0.19912898836313198</v>
      </c>
      <c r="I841" s="8">
        <f t="shared" si="106"/>
        <v>1.2412633173567726</v>
      </c>
      <c r="J841" s="22">
        <f t="shared" si="107"/>
        <v>0.31180919632888138</v>
      </c>
      <c r="K841" s="8"/>
      <c r="L841" s="8">
        <v>0.72219458392713853</v>
      </c>
      <c r="M841" s="8">
        <v>0.68655939891210405</v>
      </c>
      <c r="N841" s="8">
        <v>1.3723177271718721</v>
      </c>
      <c r="O841" s="8">
        <v>0.87538853652654014</v>
      </c>
      <c r="P841" s="8">
        <f t="shared" si="108"/>
        <v>0.70437699141962129</v>
      </c>
      <c r="Q841" s="8">
        <f t="shared" si="109"/>
        <v>1.1238531318492062</v>
      </c>
      <c r="R841" s="8">
        <f t="shared" si="110"/>
        <v>1.5955278856910997</v>
      </c>
      <c r="S841" s="22">
        <f t="shared" si="111"/>
        <v>0.67403382340675577</v>
      </c>
      <c r="T841" s="25"/>
      <c r="U841" s="1" t="s">
        <v>2388</v>
      </c>
    </row>
    <row r="842" spans="1:21">
      <c r="A842" s="6" t="s">
        <v>2389</v>
      </c>
      <c r="B842" s="6" t="s">
        <v>2390</v>
      </c>
      <c r="C842" s="7">
        <v>1.0934819017391908</v>
      </c>
      <c r="D842" s="7">
        <v>1.3264410299217648</v>
      </c>
      <c r="E842" s="7">
        <v>1.2318638277037246</v>
      </c>
      <c r="F842" s="8">
        <v>1.0416152183583376</v>
      </c>
      <c r="G842" s="8">
        <f t="shared" si="104"/>
        <v>1.2099614658304778</v>
      </c>
      <c r="H842" s="8">
        <f t="shared" si="105"/>
        <v>1.1367395230310311</v>
      </c>
      <c r="I842" s="8">
        <f t="shared" si="106"/>
        <v>0.93948407047063309</v>
      </c>
      <c r="J842" s="22">
        <f t="shared" si="107"/>
        <v>-9.0059394815051819E-2</v>
      </c>
      <c r="K842" s="8"/>
      <c r="L842" s="8">
        <v>0.72235081855859928</v>
      </c>
      <c r="M842" s="8">
        <v>0.77808966736969654</v>
      </c>
      <c r="N842" s="8">
        <v>0.85567496060413206</v>
      </c>
      <c r="O842" s="8">
        <v>0.83934371516664597</v>
      </c>
      <c r="P842" s="8">
        <f t="shared" si="108"/>
        <v>0.75022024296414791</v>
      </c>
      <c r="Q842" s="8">
        <f t="shared" si="109"/>
        <v>0.84750933788538907</v>
      </c>
      <c r="R842" s="8">
        <f t="shared" si="110"/>
        <v>1.1296807115425842</v>
      </c>
      <c r="S842" s="22">
        <f t="shared" si="111"/>
        <v>0.17591507267219808</v>
      </c>
      <c r="T842" s="25"/>
      <c r="U842" s="1" t="s">
        <v>2391</v>
      </c>
    </row>
    <row r="843" spans="1:21">
      <c r="A843" s="6" t="s">
        <v>2392</v>
      </c>
      <c r="B843" s="6" t="s">
        <v>80</v>
      </c>
      <c r="C843" s="7">
        <v>1.0785171931768152</v>
      </c>
      <c r="D843" s="7">
        <v>1.3497846556008064</v>
      </c>
      <c r="E843" s="7">
        <v>1.1021152745635168</v>
      </c>
      <c r="F843" s="8">
        <v>1.0672518460742191</v>
      </c>
      <c r="G843" s="8">
        <f t="shared" si="104"/>
        <v>1.2141509243888109</v>
      </c>
      <c r="H843" s="8">
        <f t="shared" si="105"/>
        <v>1.0846835603188678</v>
      </c>
      <c r="I843" s="8">
        <f t="shared" si="106"/>
        <v>0.89336798130338257</v>
      </c>
      <c r="J843" s="22">
        <f t="shared" si="107"/>
        <v>-0.16267354613673313</v>
      </c>
      <c r="K843" s="8"/>
      <c r="L843" s="8">
        <v>0.89530255558560679</v>
      </c>
      <c r="M843" s="8">
        <v>1.0443595392463294</v>
      </c>
      <c r="N843" s="8">
        <v>1.1108147003336997</v>
      </c>
      <c r="O843" s="8">
        <v>1.1417697788265355</v>
      </c>
      <c r="P843" s="8">
        <f t="shared" si="108"/>
        <v>0.96983104741596815</v>
      </c>
      <c r="Q843" s="8">
        <f t="shared" si="109"/>
        <v>1.1262922395801176</v>
      </c>
      <c r="R843" s="8">
        <f t="shared" si="110"/>
        <v>1.1613282979350135</v>
      </c>
      <c r="S843" s="22">
        <f t="shared" si="111"/>
        <v>0.21577586785402483</v>
      </c>
      <c r="T843" s="25"/>
      <c r="U843" s="1">
        <v>0</v>
      </c>
    </row>
    <row r="844" spans="1:21">
      <c r="A844" s="6" t="s">
        <v>2393</v>
      </c>
      <c r="B844" s="6" t="s">
        <v>80</v>
      </c>
      <c r="C844" s="7">
        <v>1.2481128689138383</v>
      </c>
      <c r="D844" s="7">
        <v>1.4054305204522322</v>
      </c>
      <c r="E844" s="7">
        <v>1.2250370601366161</v>
      </c>
      <c r="F844" s="8">
        <v>1.0296920692757556</v>
      </c>
      <c r="G844" s="8">
        <f t="shared" si="104"/>
        <v>1.3267716946830352</v>
      </c>
      <c r="H844" s="8">
        <f t="shared" si="105"/>
        <v>1.1273645647061858</v>
      </c>
      <c r="I844" s="8">
        <f t="shared" si="106"/>
        <v>0.84970501648779329</v>
      </c>
      <c r="J844" s="22">
        <f t="shared" si="107"/>
        <v>-0.23496601259266417</v>
      </c>
      <c r="K844" s="8"/>
      <c r="L844" s="8">
        <v>1.545824502330144</v>
      </c>
      <c r="M844" s="8">
        <v>1.2389540433838935</v>
      </c>
      <c r="N844" s="8">
        <v>1.389255300210952</v>
      </c>
      <c r="O844" s="8">
        <v>1.8166589965386646</v>
      </c>
      <c r="P844" s="8">
        <f t="shared" si="108"/>
        <v>1.3923892728570189</v>
      </c>
      <c r="Q844" s="8">
        <f t="shared" si="109"/>
        <v>1.6029571483748084</v>
      </c>
      <c r="R844" s="8">
        <f t="shared" si="110"/>
        <v>1.1512277346734574</v>
      </c>
      <c r="S844" s="22">
        <f t="shared" si="111"/>
        <v>0.20317325413479689</v>
      </c>
      <c r="T844" s="25"/>
      <c r="U844" s="1">
        <v>0</v>
      </c>
    </row>
    <row r="845" spans="1:21">
      <c r="A845" s="6" t="s">
        <v>2394</v>
      </c>
      <c r="B845" s="6" t="s">
        <v>2395</v>
      </c>
      <c r="C845" s="7">
        <v>0.93395196842670747</v>
      </c>
      <c r="D845" s="7">
        <v>0.99545767315981948</v>
      </c>
      <c r="E845" s="7">
        <v>1.0159253355605151</v>
      </c>
      <c r="F845" s="8">
        <v>0.95792288342726772</v>
      </c>
      <c r="G845" s="8">
        <f t="shared" si="104"/>
        <v>0.96470482079326347</v>
      </c>
      <c r="H845" s="8">
        <f t="shared" si="105"/>
        <v>0.98692410949389142</v>
      </c>
      <c r="I845" s="8">
        <f t="shared" si="106"/>
        <v>1.0230322148513338</v>
      </c>
      <c r="J845" s="22">
        <f t="shared" si="107"/>
        <v>3.2851575654596933E-2</v>
      </c>
      <c r="K845" s="8"/>
      <c r="L845" s="8">
        <v>0.9064342730771825</v>
      </c>
      <c r="M845" s="8">
        <v>0.83670693650342931</v>
      </c>
      <c r="N845" s="8">
        <v>1.180810858528351</v>
      </c>
      <c r="O845" s="8">
        <v>1.2704297661806021</v>
      </c>
      <c r="P845" s="8">
        <f t="shared" si="108"/>
        <v>0.8715706047903059</v>
      </c>
      <c r="Q845" s="8">
        <f t="shared" si="109"/>
        <v>1.2256203123544767</v>
      </c>
      <c r="R845" s="8">
        <f t="shared" si="110"/>
        <v>1.4062203401746813</v>
      </c>
      <c r="S845" s="22">
        <f t="shared" si="111"/>
        <v>0.49182266750538367</v>
      </c>
      <c r="T845" s="25"/>
      <c r="U845" s="1" t="s">
        <v>2396</v>
      </c>
    </row>
    <row r="846" spans="1:21">
      <c r="A846" s="6" t="s">
        <v>2397</v>
      </c>
      <c r="B846" s="6" t="s">
        <v>2398</v>
      </c>
      <c r="C846" s="7">
        <v>0.89180126377676872</v>
      </c>
      <c r="D846" s="7">
        <v>1.0574399538756112</v>
      </c>
      <c r="E846" s="7">
        <v>1.0197304191225101</v>
      </c>
      <c r="F846" s="8">
        <v>1.0625420164677664</v>
      </c>
      <c r="G846" s="8">
        <f t="shared" si="104"/>
        <v>0.97462060882618995</v>
      </c>
      <c r="H846" s="8">
        <f t="shared" si="105"/>
        <v>1.0411362177951382</v>
      </c>
      <c r="I846" s="8">
        <f t="shared" si="106"/>
        <v>1.0682476938888641</v>
      </c>
      <c r="J846" s="22">
        <f t="shared" si="107"/>
        <v>9.5246202562024165E-2</v>
      </c>
      <c r="K846" s="8"/>
      <c r="L846" s="8">
        <v>0.85085380293503443</v>
      </c>
      <c r="M846" s="8">
        <v>0.87917665152583158</v>
      </c>
      <c r="N846" s="8">
        <v>0.81609157167854729</v>
      </c>
      <c r="O846" s="8">
        <v>0.86122091924202615</v>
      </c>
      <c r="P846" s="8">
        <f t="shared" si="108"/>
        <v>0.865015227230433</v>
      </c>
      <c r="Q846" s="8">
        <f t="shared" si="109"/>
        <v>0.83865624546028672</v>
      </c>
      <c r="R846" s="8">
        <f t="shared" si="110"/>
        <v>0.96952772513087282</v>
      </c>
      <c r="S846" s="22">
        <f t="shared" si="111"/>
        <v>-4.4645939890108718E-2</v>
      </c>
      <c r="T846" s="25"/>
      <c r="U846" s="1" t="s">
        <v>2399</v>
      </c>
    </row>
    <row r="847" spans="1:21">
      <c r="A847" s="6" t="s">
        <v>2400</v>
      </c>
      <c r="B847" s="11" t="s">
        <v>2401</v>
      </c>
      <c r="C847" s="12">
        <v>0.9765991016452803</v>
      </c>
      <c r="D847" s="12">
        <v>0.91628617919495015</v>
      </c>
      <c r="E847" s="12">
        <v>0.86950955715400624</v>
      </c>
      <c r="F847" s="8">
        <v>0.93760524309028237</v>
      </c>
      <c r="G847" s="8">
        <f t="shared" si="104"/>
        <v>0.94644264042011517</v>
      </c>
      <c r="H847" s="8">
        <f t="shared" si="105"/>
        <v>0.90355740012214425</v>
      </c>
      <c r="I847" s="8">
        <f t="shared" si="106"/>
        <v>0.95468796684928037</v>
      </c>
      <c r="J847" s="22">
        <f t="shared" si="107"/>
        <v>-6.689881958021178E-2</v>
      </c>
      <c r="K847" s="8"/>
      <c r="L847" s="8">
        <v>1.0059947919755208</v>
      </c>
      <c r="M847" s="8">
        <v>1.0934612854215997</v>
      </c>
      <c r="N847" s="8">
        <v>0.8680272238149529</v>
      </c>
      <c r="O847" s="8">
        <v>0.92880495929182771</v>
      </c>
      <c r="P847" s="8">
        <f t="shared" si="108"/>
        <v>1.0497280386985604</v>
      </c>
      <c r="Q847" s="8">
        <f t="shared" si="109"/>
        <v>0.89841609155339031</v>
      </c>
      <c r="R847" s="8">
        <f t="shared" si="110"/>
        <v>0.85585604883645416</v>
      </c>
      <c r="S847" s="22">
        <f t="shared" si="111"/>
        <v>-0.2245599327165749</v>
      </c>
      <c r="T847" s="25"/>
      <c r="U847" s="1" t="s">
        <v>2402</v>
      </c>
    </row>
    <row r="848" spans="1:21">
      <c r="A848" s="6" t="s">
        <v>2403</v>
      </c>
      <c r="B848" s="6" t="s">
        <v>2404</v>
      </c>
      <c r="C848" s="7">
        <v>0.98034191177458685</v>
      </c>
      <c r="D848" s="7">
        <v>1.0037287181231991</v>
      </c>
      <c r="E848" s="7">
        <v>0.86743914403939137</v>
      </c>
      <c r="F848" s="8">
        <v>0.92597924414059973</v>
      </c>
      <c r="G848" s="8">
        <f t="shared" si="104"/>
        <v>0.99203531494889297</v>
      </c>
      <c r="H848" s="8">
        <f t="shared" si="105"/>
        <v>0.89670919408999561</v>
      </c>
      <c r="I848" s="8">
        <f t="shared" si="106"/>
        <v>0.9039085409335369</v>
      </c>
      <c r="J848" s="22">
        <f t="shared" si="107"/>
        <v>-0.14575128930082462</v>
      </c>
      <c r="K848" s="8"/>
      <c r="L848" s="8">
        <v>0.66954351312487881</v>
      </c>
      <c r="M848" s="8">
        <v>0.75341521606182171</v>
      </c>
      <c r="N848" s="8">
        <v>0.73402388352786663</v>
      </c>
      <c r="O848" s="8">
        <v>0.76470089760053184</v>
      </c>
      <c r="P848" s="8">
        <f t="shared" si="108"/>
        <v>0.71147936459335026</v>
      </c>
      <c r="Q848" s="8">
        <f t="shared" si="109"/>
        <v>0.74936239056419929</v>
      </c>
      <c r="R848" s="8">
        <f t="shared" si="110"/>
        <v>1.0532454317807254</v>
      </c>
      <c r="S848" s="22">
        <f t="shared" si="111"/>
        <v>7.4841658542858319E-2</v>
      </c>
      <c r="T848" s="25"/>
      <c r="U848" s="1" t="s">
        <v>2405</v>
      </c>
    </row>
    <row r="849" spans="1:21">
      <c r="A849" s="6" t="s">
        <v>2406</v>
      </c>
      <c r="B849" s="6" t="s">
        <v>2407</v>
      </c>
      <c r="C849" s="7">
        <v>1.0596986312526755</v>
      </c>
      <c r="D849" s="7">
        <v>0.97415653046684481</v>
      </c>
      <c r="E849" s="7">
        <v>0.95999220597379631</v>
      </c>
      <c r="F849" s="8">
        <v>0.93780581942998942</v>
      </c>
      <c r="G849" s="8">
        <f t="shared" si="104"/>
        <v>1.0169275808597602</v>
      </c>
      <c r="H849" s="8">
        <f t="shared" si="105"/>
        <v>0.94889901270189281</v>
      </c>
      <c r="I849" s="8">
        <f t="shared" si="106"/>
        <v>0.93310382229936895</v>
      </c>
      <c r="J849" s="22">
        <f t="shared" si="107"/>
        <v>-9.9890482638591849E-2</v>
      </c>
      <c r="K849" s="8"/>
      <c r="L849" s="8">
        <v>1.006463495869903</v>
      </c>
      <c r="M849" s="8">
        <v>1.3032147179085758</v>
      </c>
      <c r="N849" s="8">
        <v>0.76705682984165258</v>
      </c>
      <c r="O849" s="8">
        <v>0.93200894341270712</v>
      </c>
      <c r="P849" s="8">
        <f t="shared" si="108"/>
        <v>1.1548391068892394</v>
      </c>
      <c r="Q849" s="8">
        <f t="shared" si="109"/>
        <v>0.84953288662717985</v>
      </c>
      <c r="R849" s="8">
        <f t="shared" si="110"/>
        <v>0.7356287828834831</v>
      </c>
      <c r="S849" s="22">
        <f t="shared" si="111"/>
        <v>-0.44295016582962438</v>
      </c>
      <c r="T849" s="25"/>
      <c r="U849" s="1" t="s">
        <v>2408</v>
      </c>
    </row>
    <row r="850" spans="1:21">
      <c r="A850" s="6" t="s">
        <v>2409</v>
      </c>
      <c r="B850" s="6" t="s">
        <v>2410</v>
      </c>
      <c r="C850" s="7">
        <v>0.90990131066735924</v>
      </c>
      <c r="D850" s="7">
        <v>1.0334761683460147</v>
      </c>
      <c r="E850" s="7">
        <v>0.90925509385618808</v>
      </c>
      <c r="F850" s="8">
        <v>0.98887849852204557</v>
      </c>
      <c r="G850" s="8">
        <f t="shared" si="104"/>
        <v>0.97168873950668699</v>
      </c>
      <c r="H850" s="8">
        <f t="shared" si="105"/>
        <v>0.94906679618911682</v>
      </c>
      <c r="I850" s="8">
        <f t="shared" si="106"/>
        <v>0.97671894054359931</v>
      </c>
      <c r="J850" s="22">
        <f t="shared" si="107"/>
        <v>-3.3984621147139842E-2</v>
      </c>
      <c r="K850" s="8"/>
      <c r="L850" s="8">
        <v>0.90459851615751907</v>
      </c>
      <c r="M850" s="8">
        <v>1.0678394010918866</v>
      </c>
      <c r="N850" s="8">
        <v>0.83925206519883633</v>
      </c>
      <c r="O850" s="8">
        <v>1.0019959715531683</v>
      </c>
      <c r="P850" s="8">
        <f t="shared" si="108"/>
        <v>0.98621895862470277</v>
      </c>
      <c r="Q850" s="8">
        <f t="shared" si="109"/>
        <v>0.92062401837600238</v>
      </c>
      <c r="R850" s="8">
        <f t="shared" si="110"/>
        <v>0.93348846148711895</v>
      </c>
      <c r="S850" s="22">
        <f t="shared" si="111"/>
        <v>-9.9295904956713477E-2</v>
      </c>
      <c r="T850" s="25"/>
      <c r="U850" s="1" t="s">
        <v>2411</v>
      </c>
    </row>
    <row r="851" spans="1:21" ht="14.5">
      <c r="A851" s="6" t="s">
        <v>2412</v>
      </c>
      <c r="B851" s="6" t="s">
        <v>2413</v>
      </c>
      <c r="C851" s="7">
        <v>1.0966498998416578</v>
      </c>
      <c r="D851" s="7">
        <v>1.0571703191579787</v>
      </c>
      <c r="E851" s="7">
        <v>1.0086908804689072</v>
      </c>
      <c r="F851" s="8">
        <v>1.0861951670465455</v>
      </c>
      <c r="G851" s="8">
        <f t="shared" si="104"/>
        <v>1.0769101094998184</v>
      </c>
      <c r="H851" s="8">
        <f t="shared" si="105"/>
        <v>1.0474430237577264</v>
      </c>
      <c r="I851" s="8">
        <f t="shared" si="106"/>
        <v>0.97263737661838989</v>
      </c>
      <c r="J851" s="22">
        <f t="shared" si="107"/>
        <v>-4.0026062198370134E-2</v>
      </c>
      <c r="K851" s="8"/>
      <c r="L851" s="8">
        <v>1.1701583309828634</v>
      </c>
      <c r="M851" s="8">
        <v>1.2695190565231975</v>
      </c>
      <c r="N851" s="8">
        <v>0.73159086198634127</v>
      </c>
      <c r="O851" s="8">
        <v>1.0523085347013539</v>
      </c>
      <c r="P851" s="8">
        <f t="shared" si="108"/>
        <v>1.2198386937530303</v>
      </c>
      <c r="Q851" s="8">
        <f t="shared" si="109"/>
        <v>0.89194969834384752</v>
      </c>
      <c r="R851" s="8">
        <f t="shared" si="110"/>
        <v>0.7312029884866339</v>
      </c>
      <c r="S851" s="22">
        <f t="shared" si="111"/>
        <v>-0.45165612806627603</v>
      </c>
      <c r="T851" s="25"/>
      <c r="U851" s="1" t="s">
        <v>2414</v>
      </c>
    </row>
    <row r="852" spans="1:21">
      <c r="A852" s="6" t="s">
        <v>2415</v>
      </c>
      <c r="B852" s="13" t="s">
        <v>2416</v>
      </c>
      <c r="C852" s="14">
        <v>1.0260917235471223</v>
      </c>
      <c r="D852" s="14">
        <v>0.96645845927843432</v>
      </c>
      <c r="E852" s="14">
        <v>0.87397013830441206</v>
      </c>
      <c r="F852" s="8">
        <v>0.93905384998816621</v>
      </c>
      <c r="G852" s="8">
        <f t="shared" si="104"/>
        <v>0.99627509141277826</v>
      </c>
      <c r="H852" s="8">
        <f t="shared" si="105"/>
        <v>0.90651199414628914</v>
      </c>
      <c r="I852" s="8">
        <f t="shared" si="106"/>
        <v>0.90990129328717873</v>
      </c>
      <c r="J852" s="22">
        <f t="shared" si="107"/>
        <v>-0.13621804562969311</v>
      </c>
      <c r="K852" s="8"/>
      <c r="L852" s="8">
        <v>1.1380521142176871</v>
      </c>
      <c r="M852" s="8">
        <v>1.0535455202841526</v>
      </c>
      <c r="N852" s="8">
        <v>0.88197030880292493</v>
      </c>
      <c r="O852" s="8">
        <v>1.0231222418502173</v>
      </c>
      <c r="P852" s="8">
        <f t="shared" si="108"/>
        <v>1.0957988172509199</v>
      </c>
      <c r="Q852" s="8">
        <f t="shared" si="109"/>
        <v>0.9525462753265711</v>
      </c>
      <c r="R852" s="8">
        <f t="shared" si="110"/>
        <v>0.86927112927194705</v>
      </c>
      <c r="S852" s="22">
        <f t="shared" si="111"/>
        <v>-0.20212186508818003</v>
      </c>
      <c r="T852" s="25"/>
      <c r="U852" s="1" t="s">
        <v>2417</v>
      </c>
    </row>
    <row r="853" spans="1:21">
      <c r="A853" s="6" t="s">
        <v>2418</v>
      </c>
      <c r="B853" s="6" t="s">
        <v>2419</v>
      </c>
      <c r="C853" s="7">
        <v>1.1506169108160564</v>
      </c>
      <c r="D853" s="7">
        <v>0.91722990070666421</v>
      </c>
      <c r="E853" s="7">
        <v>0.89724829656602778</v>
      </c>
      <c r="F853" s="8">
        <v>1.005444618431178</v>
      </c>
      <c r="G853" s="8">
        <f t="shared" si="104"/>
        <v>1.0339234057613602</v>
      </c>
      <c r="H853" s="8">
        <f t="shared" si="105"/>
        <v>0.95134645749860292</v>
      </c>
      <c r="I853" s="8">
        <f t="shared" si="106"/>
        <v>0.92013243166504266</v>
      </c>
      <c r="J853" s="22">
        <f t="shared" si="107"/>
        <v>-0.12008657637364699</v>
      </c>
      <c r="K853" s="8"/>
      <c r="L853" s="8">
        <v>0.95096114304348522</v>
      </c>
      <c r="M853" s="8">
        <v>0.77874875121097531</v>
      </c>
      <c r="N853" s="8">
        <v>0.91528398837150227</v>
      </c>
      <c r="O853" s="8">
        <v>0.98457430789588607</v>
      </c>
      <c r="P853" s="8">
        <f t="shared" si="108"/>
        <v>0.86485494712723021</v>
      </c>
      <c r="Q853" s="8">
        <f t="shared" si="109"/>
        <v>0.94992914813369422</v>
      </c>
      <c r="R853" s="8">
        <f t="shared" si="110"/>
        <v>1.0983681729393502</v>
      </c>
      <c r="S853" s="22">
        <f t="shared" si="111"/>
        <v>0.13536172669395816</v>
      </c>
      <c r="T853" s="25"/>
      <c r="U853" s="1" t="s">
        <v>2420</v>
      </c>
    </row>
    <row r="854" spans="1:21">
      <c r="A854" s="6" t="s">
        <v>2421</v>
      </c>
      <c r="B854" s="6" t="s">
        <v>2422</v>
      </c>
      <c r="C854" s="7">
        <v>1.0430160185646322</v>
      </c>
      <c r="D854" s="7">
        <v>1.0087237012673429</v>
      </c>
      <c r="E854" s="7">
        <v>0.91870385177694003</v>
      </c>
      <c r="F854" s="8">
        <v>0.98366351368966398</v>
      </c>
      <c r="G854" s="8">
        <f t="shared" si="104"/>
        <v>1.0258698599159874</v>
      </c>
      <c r="H854" s="8">
        <f t="shared" si="105"/>
        <v>0.95118368273330201</v>
      </c>
      <c r="I854" s="8">
        <f t="shared" si="106"/>
        <v>0.92719722052385689</v>
      </c>
      <c r="J854" s="22">
        <f t="shared" si="107"/>
        <v>-0.10905185332992572</v>
      </c>
      <c r="K854" s="8"/>
      <c r="L854" s="8">
        <v>0.89170915906201043</v>
      </c>
      <c r="M854" s="8">
        <v>1.0545341460460709</v>
      </c>
      <c r="N854" s="8">
        <v>0.89764458219544374</v>
      </c>
      <c r="O854" s="8">
        <v>0.98702735823843446</v>
      </c>
      <c r="P854" s="8">
        <f t="shared" si="108"/>
        <v>0.97312165255404071</v>
      </c>
      <c r="Q854" s="8">
        <f t="shared" si="109"/>
        <v>0.94233597021693916</v>
      </c>
      <c r="R854" s="8">
        <f t="shared" si="110"/>
        <v>0.96836399410464058</v>
      </c>
      <c r="S854" s="22">
        <f t="shared" si="111"/>
        <v>-4.6378657116384517E-2</v>
      </c>
      <c r="T854" s="25"/>
      <c r="U854" s="1" t="s">
        <v>2423</v>
      </c>
    </row>
    <row r="855" spans="1:21">
      <c r="A855" s="6" t="s">
        <v>2424</v>
      </c>
      <c r="B855" s="6" t="s">
        <v>2425</v>
      </c>
      <c r="C855" s="7">
        <v>1.1213602850409015</v>
      </c>
      <c r="D855" s="7">
        <v>1.0125188099180216</v>
      </c>
      <c r="E855" s="7">
        <v>0.94920047738410496</v>
      </c>
      <c r="F855" s="8">
        <v>1.0959862639255753</v>
      </c>
      <c r="G855" s="8">
        <f t="shared" si="104"/>
        <v>1.0669395474794614</v>
      </c>
      <c r="H855" s="8">
        <f t="shared" si="105"/>
        <v>1.0225933706548402</v>
      </c>
      <c r="I855" s="8">
        <f t="shared" si="106"/>
        <v>0.95843609234526495</v>
      </c>
      <c r="J855" s="22">
        <f t="shared" si="107"/>
        <v>-6.1245857391823193E-2</v>
      </c>
      <c r="K855" s="8"/>
      <c r="L855" s="8">
        <v>1.1473871334474646</v>
      </c>
      <c r="M855" s="8">
        <v>0.89091658244861016</v>
      </c>
      <c r="N855" s="8">
        <v>1.012136961274529</v>
      </c>
      <c r="O855" s="8">
        <v>1.2716312602259319</v>
      </c>
      <c r="P855" s="8">
        <f t="shared" si="108"/>
        <v>1.0191518579480374</v>
      </c>
      <c r="Q855" s="8">
        <f t="shared" si="109"/>
        <v>1.1418841107502304</v>
      </c>
      <c r="R855" s="8">
        <f t="shared" si="110"/>
        <v>1.1204258735781558</v>
      </c>
      <c r="S855" s="22">
        <f t="shared" si="111"/>
        <v>0.16404720452996144</v>
      </c>
      <c r="T855" s="25"/>
      <c r="U855" s="1" t="s">
        <v>2426</v>
      </c>
    </row>
    <row r="856" spans="1:21">
      <c r="A856" s="6" t="s">
        <v>2427</v>
      </c>
      <c r="B856" s="6" t="s">
        <v>2428</v>
      </c>
      <c r="C856" s="7">
        <v>1.0104607555900009</v>
      </c>
      <c r="D856" s="7">
        <v>0.96460472059471036</v>
      </c>
      <c r="E856" s="7">
        <v>1.1180550573841423</v>
      </c>
      <c r="F856" s="8">
        <v>1.1760087947153395</v>
      </c>
      <c r="G856" s="8">
        <f t="shared" si="104"/>
        <v>0.98753273809235564</v>
      </c>
      <c r="H856" s="8">
        <f t="shared" si="105"/>
        <v>1.147031926049741</v>
      </c>
      <c r="I856" s="8">
        <f t="shared" si="106"/>
        <v>1.1615128104669161</v>
      </c>
      <c r="J856" s="22">
        <f t="shared" si="107"/>
        <v>0.21600506589460958</v>
      </c>
      <c r="K856" s="8"/>
      <c r="L856" s="8">
        <v>0.77715011554344382</v>
      </c>
      <c r="M856" s="8">
        <v>0.88922768010533326</v>
      </c>
      <c r="N856" s="8">
        <v>1.0336598441418683</v>
      </c>
      <c r="O856" s="8">
        <v>0.90147096976057461</v>
      </c>
      <c r="P856" s="8">
        <f t="shared" si="108"/>
        <v>0.83318889782438854</v>
      </c>
      <c r="Q856" s="8">
        <f t="shared" si="109"/>
        <v>0.9675654069512214</v>
      </c>
      <c r="R856" s="8">
        <f t="shared" si="110"/>
        <v>1.1612797643820207</v>
      </c>
      <c r="S856" s="22">
        <f t="shared" si="111"/>
        <v>0.21571557432679092</v>
      </c>
      <c r="T856" s="25"/>
      <c r="U856" s="1" t="s">
        <v>2429</v>
      </c>
    </row>
    <row r="857" spans="1:21">
      <c r="A857" s="6" t="s">
        <v>2430</v>
      </c>
      <c r="B857" s="6" t="s">
        <v>2431</v>
      </c>
      <c r="C857" s="7">
        <v>1.1001314317769464</v>
      </c>
      <c r="D857" s="7">
        <v>1.0032029304238157</v>
      </c>
      <c r="E857" s="7">
        <v>1.0236234352878282</v>
      </c>
      <c r="F857" s="8">
        <v>1.0327750019045852</v>
      </c>
      <c r="G857" s="8">
        <f t="shared" si="104"/>
        <v>1.051667181100381</v>
      </c>
      <c r="H857" s="8">
        <f t="shared" si="105"/>
        <v>1.0281992185962068</v>
      </c>
      <c r="I857" s="8">
        <f t="shared" si="106"/>
        <v>0.97768499110182439</v>
      </c>
      <c r="J857" s="22">
        <f t="shared" si="107"/>
        <v>-3.2558389404008452E-2</v>
      </c>
      <c r="K857" s="8"/>
      <c r="L857" s="8">
        <v>0.75465232861310139</v>
      </c>
      <c r="M857" s="8">
        <v>0.86916681568640997</v>
      </c>
      <c r="N857" s="8">
        <v>0.944901346751993</v>
      </c>
      <c r="O857" s="8">
        <v>1.5366107594730425</v>
      </c>
      <c r="P857" s="8">
        <f t="shared" si="108"/>
        <v>0.81190957214975568</v>
      </c>
      <c r="Q857" s="8">
        <f t="shared" si="109"/>
        <v>1.2407560531125177</v>
      </c>
      <c r="R857" s="8">
        <f t="shared" si="110"/>
        <v>1.5281948823774452</v>
      </c>
      <c r="S857" s="22">
        <f t="shared" si="111"/>
        <v>0.61182853415350302</v>
      </c>
      <c r="T857" s="25"/>
      <c r="U857" s="1" t="s">
        <v>2432</v>
      </c>
    </row>
    <row r="858" spans="1:21">
      <c r="A858" s="6" t="s">
        <v>2433</v>
      </c>
      <c r="B858" s="6" t="s">
        <v>2434</v>
      </c>
      <c r="C858" s="7">
        <v>1.0307555393103418</v>
      </c>
      <c r="D858" s="7">
        <v>1.0827519129933705</v>
      </c>
      <c r="E858" s="7">
        <v>1.0618501361144239</v>
      </c>
      <c r="F858" s="8">
        <v>1.0158225868226838</v>
      </c>
      <c r="G858" s="8">
        <f t="shared" si="104"/>
        <v>1.056753726151856</v>
      </c>
      <c r="H858" s="8">
        <f t="shared" si="105"/>
        <v>1.0388363614685538</v>
      </c>
      <c r="I858" s="8">
        <f t="shared" si="106"/>
        <v>0.98304490039647374</v>
      </c>
      <c r="J858" s="22">
        <f t="shared" si="107"/>
        <v>-2.467078198381362E-2</v>
      </c>
      <c r="K858" s="8"/>
      <c r="L858" s="8">
        <v>0.85308014643334951</v>
      </c>
      <c r="M858" s="8">
        <v>1.3619967580026284</v>
      </c>
      <c r="N858" s="8">
        <v>0.96820220689967773</v>
      </c>
      <c r="O858" s="8">
        <v>1.1177899601718282</v>
      </c>
      <c r="P858" s="8">
        <f t="shared" si="108"/>
        <v>1.107538452217989</v>
      </c>
      <c r="Q858" s="8">
        <f t="shared" si="109"/>
        <v>1.042996083535753</v>
      </c>
      <c r="R858" s="8">
        <f t="shared" si="110"/>
        <v>0.94172448951728804</v>
      </c>
      <c r="S858" s="22">
        <f t="shared" si="111"/>
        <v>-8.6623047516803858E-2</v>
      </c>
      <c r="T858" s="25"/>
      <c r="U858" s="1" t="s">
        <v>2435</v>
      </c>
    </row>
    <row r="859" spans="1:21">
      <c r="A859" s="6" t="s">
        <v>2436</v>
      </c>
      <c r="B859" s="6" t="s">
        <v>2437</v>
      </c>
      <c r="C859" s="7">
        <v>1.1199624467029057</v>
      </c>
      <c r="D859" s="7">
        <v>0.99666428852122535</v>
      </c>
      <c r="E859" s="7">
        <v>1.0096101758672884</v>
      </c>
      <c r="F859" s="8">
        <v>1.0244102256634717</v>
      </c>
      <c r="G859" s="8">
        <f t="shared" si="104"/>
        <v>1.0583133676120655</v>
      </c>
      <c r="H859" s="8">
        <f t="shared" si="105"/>
        <v>1.0170102007653801</v>
      </c>
      <c r="I859" s="8">
        <f t="shared" si="106"/>
        <v>0.96097264939601001</v>
      </c>
      <c r="J859" s="22">
        <f t="shared" si="107"/>
        <v>-5.7432724390167111E-2</v>
      </c>
      <c r="K859" s="8"/>
      <c r="L859" s="8">
        <v>0.76765886168220554</v>
      </c>
      <c r="M859" s="8">
        <v>0.8109614739534764</v>
      </c>
      <c r="N859" s="8">
        <v>0.77122103978772472</v>
      </c>
      <c r="O859" s="8">
        <v>0.90362364659179051</v>
      </c>
      <c r="P859" s="8">
        <f t="shared" si="108"/>
        <v>0.78931016781784091</v>
      </c>
      <c r="Q859" s="8">
        <f t="shared" si="109"/>
        <v>0.83742234318975761</v>
      </c>
      <c r="R859" s="8">
        <f t="shared" si="110"/>
        <v>1.0609547137913218</v>
      </c>
      <c r="S859" s="22">
        <f t="shared" si="111"/>
        <v>8.5363077003821952E-2</v>
      </c>
      <c r="T859" s="25"/>
      <c r="U859" s="1" t="s">
        <v>2438</v>
      </c>
    </row>
    <row r="860" spans="1:21">
      <c r="A860" s="6" t="s">
        <v>2439</v>
      </c>
      <c r="B860" s="6" t="s">
        <v>2440</v>
      </c>
      <c r="C860" s="7">
        <v>0.96713429906698167</v>
      </c>
      <c r="D860" s="7">
        <v>0.73404681441502317</v>
      </c>
      <c r="E860" s="7">
        <v>1.3713329304476838</v>
      </c>
      <c r="F860" s="8">
        <v>1.3065542768512965</v>
      </c>
      <c r="G860" s="8">
        <f t="shared" si="104"/>
        <v>0.85059055674100237</v>
      </c>
      <c r="H860" s="8">
        <f t="shared" si="105"/>
        <v>1.3389436036494902</v>
      </c>
      <c r="I860" s="8">
        <f t="shared" si="106"/>
        <v>1.5741341036980112</v>
      </c>
      <c r="J860" s="22">
        <f t="shared" si="107"/>
        <v>0.65455845221691644</v>
      </c>
      <c r="K860" s="8"/>
      <c r="L860" s="8">
        <v>0.55752328236754867</v>
      </c>
      <c r="M860" s="8">
        <v>0.51668053882249476</v>
      </c>
      <c r="N860" s="8">
        <v>0.44299707606080069</v>
      </c>
      <c r="O860" s="8">
        <v>0.591886004080595</v>
      </c>
      <c r="P860" s="8">
        <f t="shared" si="108"/>
        <v>0.53710191059502166</v>
      </c>
      <c r="Q860" s="8">
        <f t="shared" si="109"/>
        <v>0.51744154007069787</v>
      </c>
      <c r="R860" s="8">
        <f t="shared" si="110"/>
        <v>0.96339545598982645</v>
      </c>
      <c r="S860" s="22">
        <f t="shared" si="111"/>
        <v>-5.3799975650455696E-2</v>
      </c>
      <c r="T860" s="25"/>
      <c r="U860" s="1" t="s">
        <v>2441</v>
      </c>
    </row>
    <row r="861" spans="1:21">
      <c r="A861" s="6" t="s">
        <v>2442</v>
      </c>
      <c r="B861" s="6" t="s">
        <v>2443</v>
      </c>
      <c r="C861" s="7">
        <v>1.1942830289912991</v>
      </c>
      <c r="D861" s="7">
        <v>1.0911510344476258</v>
      </c>
      <c r="E861" s="7">
        <v>0.95879312501938607</v>
      </c>
      <c r="F861" s="8">
        <v>0.99023053162673713</v>
      </c>
      <c r="G861" s="8">
        <f t="shared" si="104"/>
        <v>1.1427170317194624</v>
      </c>
      <c r="H861" s="8">
        <f t="shared" si="105"/>
        <v>0.9745118283230616</v>
      </c>
      <c r="I861" s="8">
        <f t="shared" si="106"/>
        <v>0.852802401007973</v>
      </c>
      <c r="J861" s="22">
        <f t="shared" si="107"/>
        <v>-0.22971659497341199</v>
      </c>
      <c r="K861" s="8"/>
      <c r="L861" s="8">
        <v>0.76758074436647517</v>
      </c>
      <c r="M861" s="8">
        <v>0.77990214793321322</v>
      </c>
      <c r="N861" s="8">
        <v>0.95327655551993595</v>
      </c>
      <c r="O861" s="8">
        <v>0.89085777236016139</v>
      </c>
      <c r="P861" s="8">
        <f t="shared" si="108"/>
        <v>0.77374144614984419</v>
      </c>
      <c r="Q861" s="8">
        <f t="shared" si="109"/>
        <v>0.92206716394004862</v>
      </c>
      <c r="R861" s="8">
        <f t="shared" si="110"/>
        <v>1.191699331253711</v>
      </c>
      <c r="S861" s="22">
        <f t="shared" si="111"/>
        <v>0.25302028611410987</v>
      </c>
      <c r="T861" s="25"/>
      <c r="U861" s="1" t="s">
        <v>2444</v>
      </c>
    </row>
    <row r="862" spans="1:21">
      <c r="A862" s="6" t="s">
        <v>2445</v>
      </c>
      <c r="B862" s="6" t="s">
        <v>2446</v>
      </c>
      <c r="C862" s="7">
        <v>1.0883477852267389</v>
      </c>
      <c r="D862" s="7">
        <v>1.19700288372224</v>
      </c>
      <c r="E862" s="7">
        <v>1.2094330199832253</v>
      </c>
      <c r="F862" s="8">
        <v>1.1412199429061616</v>
      </c>
      <c r="G862" s="8">
        <f t="shared" si="104"/>
        <v>1.1426753344744895</v>
      </c>
      <c r="H862" s="8">
        <f t="shared" si="105"/>
        <v>1.1753264814446935</v>
      </c>
      <c r="I862" s="8">
        <f t="shared" si="106"/>
        <v>1.0285742992651714</v>
      </c>
      <c r="J862" s="22">
        <f t="shared" si="107"/>
        <v>4.0646010984697452E-2</v>
      </c>
      <c r="K862" s="8"/>
      <c r="L862" s="8">
        <v>0.55611717068440225</v>
      </c>
      <c r="M862" s="8">
        <v>0.67416038414804669</v>
      </c>
      <c r="N862" s="8">
        <v>0.75311374485368054</v>
      </c>
      <c r="O862" s="8">
        <v>0.70067127743483104</v>
      </c>
      <c r="P862" s="8">
        <f t="shared" si="108"/>
        <v>0.61513877741622447</v>
      </c>
      <c r="Q862" s="8">
        <f t="shared" si="109"/>
        <v>0.72689251114425579</v>
      </c>
      <c r="R862" s="8">
        <f t="shared" si="110"/>
        <v>1.1816723930125685</v>
      </c>
      <c r="S862" s="22">
        <f t="shared" si="111"/>
        <v>0.24083011801372087</v>
      </c>
      <c r="T862" s="25"/>
      <c r="U862" s="1" t="s">
        <v>2447</v>
      </c>
    </row>
    <row r="863" spans="1:21">
      <c r="A863" s="6" t="s">
        <v>2448</v>
      </c>
      <c r="B863" s="6" t="s">
        <v>2449</v>
      </c>
      <c r="C863" s="7">
        <v>1.1380820894580475</v>
      </c>
      <c r="D863" s="7">
        <v>1.2594300617221255</v>
      </c>
      <c r="E863" s="7">
        <v>1.1595512522797631</v>
      </c>
      <c r="F863" s="8">
        <v>1.1086448595870828</v>
      </c>
      <c r="G863" s="8">
        <f t="shared" si="104"/>
        <v>1.1987560755900866</v>
      </c>
      <c r="H863" s="8">
        <f t="shared" si="105"/>
        <v>1.1340980559334231</v>
      </c>
      <c r="I863" s="8">
        <f t="shared" si="106"/>
        <v>0.94606240504363182</v>
      </c>
      <c r="J863" s="22">
        <f t="shared" si="107"/>
        <v>-7.9992743798865229E-2</v>
      </c>
      <c r="K863" s="8"/>
      <c r="L863" s="8">
        <v>0.74207544078051402</v>
      </c>
      <c r="M863" s="8">
        <v>0.90426303023450572</v>
      </c>
      <c r="N863" s="8">
        <v>0.94766189042410831</v>
      </c>
      <c r="O863" s="8">
        <v>0.86682789145356531</v>
      </c>
      <c r="P863" s="8">
        <f t="shared" si="108"/>
        <v>0.82316923550750987</v>
      </c>
      <c r="Q863" s="8">
        <f t="shared" si="109"/>
        <v>0.90724489093883687</v>
      </c>
      <c r="R863" s="8">
        <f t="shared" si="110"/>
        <v>1.1021365374271934</v>
      </c>
      <c r="S863" s="22">
        <f t="shared" si="111"/>
        <v>0.14030296226399078</v>
      </c>
      <c r="T863" s="25"/>
      <c r="U863" s="1" t="s">
        <v>2450</v>
      </c>
    </row>
    <row r="864" spans="1:21">
      <c r="A864" s="6" t="s">
        <v>2451</v>
      </c>
      <c r="B864" s="6" t="s">
        <v>2452</v>
      </c>
      <c r="C864" s="7">
        <v>1.0722073247912827</v>
      </c>
      <c r="D864" s="7">
        <v>1.1105310297774682</v>
      </c>
      <c r="E864" s="7">
        <v>1.1259849794293082</v>
      </c>
      <c r="F864" s="8">
        <v>1.1670868619750401</v>
      </c>
      <c r="G864" s="8">
        <f t="shared" si="104"/>
        <v>1.0913691772843754</v>
      </c>
      <c r="H864" s="8">
        <f t="shared" si="105"/>
        <v>1.1465359207021741</v>
      </c>
      <c r="I864" s="8">
        <f t="shared" si="106"/>
        <v>1.0505481963079337</v>
      </c>
      <c r="J864" s="22">
        <f t="shared" si="107"/>
        <v>7.1142350473060376E-2</v>
      </c>
      <c r="K864" s="8"/>
      <c r="L864" s="8">
        <v>0.54650874084956858</v>
      </c>
      <c r="M864" s="8">
        <v>0.54382655453516515</v>
      </c>
      <c r="N864" s="8">
        <v>0.53465648375018693</v>
      </c>
      <c r="O864" s="8">
        <v>0.62978312876037257</v>
      </c>
      <c r="P864" s="8">
        <f t="shared" si="108"/>
        <v>0.54516764769236681</v>
      </c>
      <c r="Q864" s="8">
        <f t="shared" si="109"/>
        <v>0.58221980625527969</v>
      </c>
      <c r="R864" s="8">
        <f t="shared" si="110"/>
        <v>1.0679647053887928</v>
      </c>
      <c r="S864" s="22">
        <f t="shared" si="111"/>
        <v>9.4863968933750445E-2</v>
      </c>
      <c r="T864" s="25"/>
      <c r="U864" s="1" t="s">
        <v>2453</v>
      </c>
    </row>
    <row r="865" spans="1:21">
      <c r="A865" s="6" t="s">
        <v>2454</v>
      </c>
      <c r="B865" s="6" t="s">
        <v>2455</v>
      </c>
      <c r="C865" s="7">
        <v>0.92909219401797449</v>
      </c>
      <c r="D865" s="7">
        <v>0.86842601681516529</v>
      </c>
      <c r="E865" s="7">
        <v>0.99877048403942059</v>
      </c>
      <c r="F865" s="8">
        <v>0.97399870561711632</v>
      </c>
      <c r="G865" s="8">
        <f t="shared" si="104"/>
        <v>0.89875910541656989</v>
      </c>
      <c r="H865" s="8">
        <f t="shared" si="105"/>
        <v>0.98638459482826846</v>
      </c>
      <c r="I865" s="8">
        <f t="shared" si="106"/>
        <v>1.0974960797432862</v>
      </c>
      <c r="J865" s="22">
        <f t="shared" si="107"/>
        <v>0.13421578646220877</v>
      </c>
      <c r="K865" s="8"/>
      <c r="L865" s="8">
        <v>1.2509706941059164</v>
      </c>
      <c r="M865" s="8">
        <v>1.2970769996366671</v>
      </c>
      <c r="N865" s="8">
        <v>0.80883929592976989</v>
      </c>
      <c r="O865" s="8">
        <v>0.83879303039586983</v>
      </c>
      <c r="P865" s="8">
        <f t="shared" si="108"/>
        <v>1.2740238468712919</v>
      </c>
      <c r="Q865" s="8">
        <f t="shared" si="109"/>
        <v>0.8238161631628198</v>
      </c>
      <c r="R865" s="8">
        <f t="shared" si="110"/>
        <v>0.64662538710395567</v>
      </c>
      <c r="S865" s="22">
        <f t="shared" si="111"/>
        <v>-0.6289979447849664</v>
      </c>
      <c r="T865" s="25"/>
      <c r="U865" s="1" t="s">
        <v>2456</v>
      </c>
    </row>
    <row r="866" spans="1:21">
      <c r="A866" s="6" t="s">
        <v>2457</v>
      </c>
      <c r="B866" s="6" t="s">
        <v>2458</v>
      </c>
      <c r="C866" s="7">
        <v>1.100575604706777</v>
      </c>
      <c r="D866" s="7">
        <v>1.1379259170889393</v>
      </c>
      <c r="E866" s="7">
        <v>1.0561265230253727</v>
      </c>
      <c r="F866" s="8">
        <v>1.0687227392320704</v>
      </c>
      <c r="G866" s="8">
        <f t="shared" si="104"/>
        <v>1.1192507608978581</v>
      </c>
      <c r="H866" s="8">
        <f t="shared" si="105"/>
        <v>1.0624246311287215</v>
      </c>
      <c r="I866" s="8">
        <f t="shared" si="106"/>
        <v>0.94922841980151895</v>
      </c>
      <c r="J866" s="22">
        <f t="shared" si="107"/>
        <v>-7.5172799567338883E-2</v>
      </c>
      <c r="K866" s="8"/>
      <c r="L866" s="8">
        <v>1.2164428405530991</v>
      </c>
      <c r="M866" s="8">
        <v>0.81063193203283701</v>
      </c>
      <c r="N866" s="8">
        <v>0.94050319242692804</v>
      </c>
      <c r="O866" s="8">
        <v>0.96670208397160529</v>
      </c>
      <c r="P866" s="8">
        <f t="shared" si="108"/>
        <v>1.0135373862929682</v>
      </c>
      <c r="Q866" s="8">
        <f t="shared" si="109"/>
        <v>0.95360263819926661</v>
      </c>
      <c r="R866" s="8">
        <f t="shared" si="110"/>
        <v>0.94086577475655431</v>
      </c>
      <c r="S866" s="22">
        <f t="shared" si="111"/>
        <v>-8.7939174170890672E-2</v>
      </c>
      <c r="T866" s="25"/>
      <c r="U866" s="1" t="s">
        <v>2459</v>
      </c>
    </row>
    <row r="867" spans="1:21">
      <c r="A867" s="6" t="s">
        <v>2460</v>
      </c>
      <c r="B867" s="6" t="s">
        <v>80</v>
      </c>
      <c r="C867" s="7">
        <v>1.182799852364212</v>
      </c>
      <c r="D867" s="7">
        <v>1.134157771910024</v>
      </c>
      <c r="E867" s="7">
        <v>1.1448025565405182</v>
      </c>
      <c r="F867" s="8">
        <v>1.1406405001470079</v>
      </c>
      <c r="G867" s="8">
        <f t="shared" si="104"/>
        <v>1.1584788121371181</v>
      </c>
      <c r="H867" s="8">
        <f t="shared" si="105"/>
        <v>1.1427215283437631</v>
      </c>
      <c r="I867" s="8">
        <f t="shared" si="106"/>
        <v>0.98639829781238153</v>
      </c>
      <c r="J867" s="22">
        <f t="shared" si="107"/>
        <v>-1.975778474490179E-2</v>
      </c>
      <c r="K867" s="8"/>
      <c r="L867" s="8">
        <v>1.2362846387486095</v>
      </c>
      <c r="M867" s="8">
        <v>1.1422746824163104</v>
      </c>
      <c r="N867" s="8">
        <v>0.97358292761651255</v>
      </c>
      <c r="O867" s="8">
        <v>0.99944279670684244</v>
      </c>
      <c r="P867" s="8">
        <f t="shared" si="108"/>
        <v>1.1892796605824598</v>
      </c>
      <c r="Q867" s="8">
        <f t="shared" si="109"/>
        <v>0.98651286216167744</v>
      </c>
      <c r="R867" s="8">
        <f t="shared" si="110"/>
        <v>0.82950452686504739</v>
      </c>
      <c r="S867" s="22">
        <f t="shared" si="111"/>
        <v>-0.26967824044771382</v>
      </c>
      <c r="T867" s="25"/>
      <c r="U867" s="1">
        <v>0</v>
      </c>
    </row>
    <row r="868" spans="1:21">
      <c r="A868" s="6" t="s">
        <v>2461</v>
      </c>
      <c r="B868" s="6" t="s">
        <v>80</v>
      </c>
      <c r="C868" s="7">
        <v>1.2357021546979876</v>
      </c>
      <c r="D868" s="7">
        <v>1.1897429689499823</v>
      </c>
      <c r="E868" s="7">
        <v>1.2268596631873194</v>
      </c>
      <c r="F868" s="8">
        <v>1.071961675680672</v>
      </c>
      <c r="G868" s="8">
        <f t="shared" si="104"/>
        <v>1.212722561823985</v>
      </c>
      <c r="H868" s="8">
        <f t="shared" si="105"/>
        <v>1.1494106694339958</v>
      </c>
      <c r="I868" s="8">
        <f t="shared" si="106"/>
        <v>0.947793589083751</v>
      </c>
      <c r="J868" s="22">
        <f t="shared" si="107"/>
        <v>-7.7355192334616241E-2</v>
      </c>
      <c r="K868" s="8"/>
      <c r="L868" s="8">
        <v>1.5909372521644245</v>
      </c>
      <c r="M868" s="8">
        <v>1.3117828078452003</v>
      </c>
      <c r="N868" s="8">
        <v>1.3224875744464017</v>
      </c>
      <c r="O868" s="8">
        <v>1.2598666310320776</v>
      </c>
      <c r="P868" s="8">
        <f t="shared" si="108"/>
        <v>1.4513600300048124</v>
      </c>
      <c r="Q868" s="8">
        <f t="shared" si="109"/>
        <v>1.2911771027392396</v>
      </c>
      <c r="R868" s="8">
        <f t="shared" si="110"/>
        <v>0.88963253503333584</v>
      </c>
      <c r="S868" s="22">
        <f t="shared" si="111"/>
        <v>-0.16871854460365818</v>
      </c>
      <c r="T868" s="25"/>
      <c r="U868" s="1">
        <v>0</v>
      </c>
    </row>
    <row r="869" spans="1:21">
      <c r="A869" s="6" t="s">
        <v>2462</v>
      </c>
      <c r="B869" s="6" t="s">
        <v>2463</v>
      </c>
      <c r="C869" s="7">
        <v>0.72626193200187372</v>
      </c>
      <c r="D869" s="7">
        <v>0.62253263607012455</v>
      </c>
      <c r="E869" s="7">
        <v>0.69229338596521539</v>
      </c>
      <c r="F869" s="8">
        <v>0.68642423575055811</v>
      </c>
      <c r="G869" s="8">
        <f t="shared" si="104"/>
        <v>0.67439728403599908</v>
      </c>
      <c r="H869" s="8">
        <f t="shared" si="105"/>
        <v>0.68935881085788675</v>
      </c>
      <c r="I869" s="8">
        <f t="shared" si="106"/>
        <v>1.022185034216551</v>
      </c>
      <c r="J869" s="22">
        <f t="shared" si="107"/>
        <v>3.1656374146298183E-2</v>
      </c>
      <c r="K869" s="8"/>
      <c r="L869" s="8">
        <v>0.64946736298217733</v>
      </c>
      <c r="M869" s="8">
        <v>0.62946626116132842</v>
      </c>
      <c r="N869" s="8">
        <v>0.63824705476820687</v>
      </c>
      <c r="O869" s="8">
        <v>0.78782965797313065</v>
      </c>
      <c r="P869" s="8">
        <f t="shared" si="108"/>
        <v>0.63946681207175282</v>
      </c>
      <c r="Q869" s="8">
        <f t="shared" si="109"/>
        <v>0.71303835637066881</v>
      </c>
      <c r="R869" s="8">
        <f t="shared" si="110"/>
        <v>1.1150513879845585</v>
      </c>
      <c r="S869" s="22">
        <f t="shared" si="111"/>
        <v>0.15711019936721538</v>
      </c>
      <c r="T869" s="25"/>
      <c r="U869" s="1" t="s">
        <v>2464</v>
      </c>
    </row>
    <row r="870" spans="1:21">
      <c r="A870" s="6" t="s">
        <v>2465</v>
      </c>
      <c r="B870" s="9" t="s">
        <v>2466</v>
      </c>
      <c r="C870" s="10">
        <v>1.0428853794676232</v>
      </c>
      <c r="D870" s="10">
        <v>0.97551144492294861</v>
      </c>
      <c r="E870" s="10">
        <v>0.93449974488303644</v>
      </c>
      <c r="F870" s="8">
        <v>0.98268291825109655</v>
      </c>
      <c r="G870" s="8">
        <f t="shared" si="104"/>
        <v>1.0091984121952859</v>
      </c>
      <c r="H870" s="8">
        <f t="shared" si="105"/>
        <v>0.95859133156706644</v>
      </c>
      <c r="I870" s="8">
        <f t="shared" si="106"/>
        <v>0.94985418128221677</v>
      </c>
      <c r="J870" s="22">
        <f t="shared" si="107"/>
        <v>-7.4222042589058831E-2</v>
      </c>
      <c r="K870" s="8"/>
      <c r="L870" s="8">
        <v>1.0078305488951842</v>
      </c>
      <c r="M870" s="8">
        <v>1.1003404730149471</v>
      </c>
      <c r="N870" s="8">
        <v>0.9637572636988142</v>
      </c>
      <c r="O870" s="8">
        <v>0.99754043113507029</v>
      </c>
      <c r="P870" s="8">
        <f t="shared" si="108"/>
        <v>1.0540855109550655</v>
      </c>
      <c r="Q870" s="8">
        <f t="shared" si="109"/>
        <v>0.98064884741694225</v>
      </c>
      <c r="R870" s="8">
        <f t="shared" si="110"/>
        <v>0.93033139837812096</v>
      </c>
      <c r="S870" s="22">
        <f t="shared" si="111"/>
        <v>-0.10418337691179316</v>
      </c>
      <c r="T870" s="25"/>
      <c r="U870" s="1" t="s">
        <v>2467</v>
      </c>
    </row>
    <row r="871" spans="1:21">
      <c r="A871" s="6" t="s">
        <v>2468</v>
      </c>
      <c r="B871" s="13" t="s">
        <v>2469</v>
      </c>
      <c r="C871" s="14">
        <v>1.0580199188561104</v>
      </c>
      <c r="D871" s="14">
        <v>0.96250831066511688</v>
      </c>
      <c r="E871" s="14">
        <v>0.97649955377950937</v>
      </c>
      <c r="F871" s="8">
        <v>1.0019753906295794</v>
      </c>
      <c r="G871" s="8">
        <f t="shared" si="104"/>
        <v>1.0102641147606137</v>
      </c>
      <c r="H871" s="8">
        <f t="shared" si="105"/>
        <v>0.98923747220454439</v>
      </c>
      <c r="I871" s="8">
        <f t="shared" si="106"/>
        <v>0.97918698462228193</v>
      </c>
      <c r="J871" s="22">
        <f t="shared" si="107"/>
        <v>-3.0343713067665926E-2</v>
      </c>
      <c r="K871" s="8"/>
      <c r="L871" s="8">
        <v>1.2686252074609767</v>
      </c>
      <c r="M871" s="8">
        <v>1.4369263522080113</v>
      </c>
      <c r="N871" s="8">
        <v>1.0855487074024754</v>
      </c>
      <c r="O871" s="8">
        <v>1.1720574412192244</v>
      </c>
      <c r="P871" s="8">
        <f t="shared" si="108"/>
        <v>1.3527757798344942</v>
      </c>
      <c r="Q871" s="8">
        <f t="shared" si="109"/>
        <v>1.1288030743108499</v>
      </c>
      <c r="R871" s="8">
        <f t="shared" si="110"/>
        <v>0.83443471648269285</v>
      </c>
      <c r="S871" s="22">
        <f t="shared" si="111"/>
        <v>-0.26112891275414507</v>
      </c>
      <c r="T871" s="25"/>
      <c r="U871" s="1" t="s">
        <v>2470</v>
      </c>
    </row>
    <row r="872" spans="1:21">
      <c r="A872" s="6" t="s">
        <v>2471</v>
      </c>
      <c r="B872" s="6" t="s">
        <v>2472</v>
      </c>
      <c r="C872" s="7">
        <v>0.97107306784180158</v>
      </c>
      <c r="D872" s="7">
        <v>0.98645861445883176</v>
      </c>
      <c r="E872" s="7">
        <v>0.90658514026436809</v>
      </c>
      <c r="F872" s="8">
        <v>0.86938700132994029</v>
      </c>
      <c r="G872" s="8">
        <f t="shared" si="104"/>
        <v>0.97876584115031662</v>
      </c>
      <c r="H872" s="8">
        <f t="shared" si="105"/>
        <v>0.88798607079715419</v>
      </c>
      <c r="I872" s="8">
        <f t="shared" si="106"/>
        <v>0.90725077793226672</v>
      </c>
      <c r="J872" s="22">
        <f t="shared" si="107"/>
        <v>-0.14042670612731922</v>
      </c>
      <c r="K872" s="8"/>
      <c r="L872" s="8">
        <v>0.76980708786479035</v>
      </c>
      <c r="M872" s="8">
        <v>0.82900389410848341</v>
      </c>
      <c r="N872" s="8">
        <v>0.8934803722493716</v>
      </c>
      <c r="O872" s="8">
        <v>0.76515145786753058</v>
      </c>
      <c r="P872" s="8">
        <f t="shared" si="108"/>
        <v>0.79940549098663682</v>
      </c>
      <c r="Q872" s="8">
        <f t="shared" si="109"/>
        <v>0.82931591505845104</v>
      </c>
      <c r="R872" s="8">
        <f t="shared" si="110"/>
        <v>1.0374158351538196</v>
      </c>
      <c r="S872" s="22">
        <f t="shared" si="111"/>
        <v>5.2994296332718724E-2</v>
      </c>
      <c r="T872" s="25"/>
      <c r="U872" s="1" t="s">
        <v>2473</v>
      </c>
    </row>
    <row r="873" spans="1:21">
      <c r="A873" s="6" t="s">
        <v>2474</v>
      </c>
      <c r="B873" s="9" t="s">
        <v>2475</v>
      </c>
      <c r="C873" s="10">
        <v>1.0170776258535044</v>
      </c>
      <c r="D873" s="10">
        <v>1.0499441087254251</v>
      </c>
      <c r="E873" s="10">
        <v>0.83615112500231592</v>
      </c>
      <c r="F873" s="8">
        <v>0.91418981261782262</v>
      </c>
      <c r="G873" s="8">
        <f t="shared" si="104"/>
        <v>1.0335108672894648</v>
      </c>
      <c r="H873" s="8">
        <f t="shared" si="105"/>
        <v>0.87517046881006921</v>
      </c>
      <c r="I873" s="8">
        <f t="shared" si="106"/>
        <v>0.84679367823710772</v>
      </c>
      <c r="J873" s="22">
        <f t="shared" si="107"/>
        <v>-0.23991759598354465</v>
      </c>
      <c r="K873" s="8"/>
      <c r="L873" s="8">
        <v>1.0319687994558642</v>
      </c>
      <c r="M873" s="8">
        <v>1.1028120374197425</v>
      </c>
      <c r="N873" s="8">
        <v>0.7155890664632325</v>
      </c>
      <c r="O873" s="8">
        <v>1.0996674249881035</v>
      </c>
      <c r="P873" s="8">
        <f t="shared" si="108"/>
        <v>1.0673904184378034</v>
      </c>
      <c r="Q873" s="8">
        <f t="shared" si="109"/>
        <v>0.90762824572566803</v>
      </c>
      <c r="R873" s="8">
        <f t="shared" si="110"/>
        <v>0.85032452048243246</v>
      </c>
      <c r="S873" s="22">
        <f t="shared" si="111"/>
        <v>-0.23391455394326782</v>
      </c>
      <c r="T873" s="25"/>
      <c r="U873" s="1" t="s">
        <v>2476</v>
      </c>
    </row>
    <row r="874" spans="1:21">
      <c r="A874" s="6" t="s">
        <v>2477</v>
      </c>
      <c r="B874" s="6" t="s">
        <v>2478</v>
      </c>
      <c r="C874" s="7">
        <v>0.96454764494620437</v>
      </c>
      <c r="D874" s="7">
        <v>0.97603723262233211</v>
      </c>
      <c r="E874" s="7">
        <v>0.89567350357923581</v>
      </c>
      <c r="F874" s="8">
        <v>0.93141709157265584</v>
      </c>
      <c r="G874" s="8">
        <f t="shared" si="104"/>
        <v>0.97029243878426819</v>
      </c>
      <c r="H874" s="8">
        <f t="shared" si="105"/>
        <v>0.91354529757594582</v>
      </c>
      <c r="I874" s="8">
        <f t="shared" si="106"/>
        <v>0.94151542469049443</v>
      </c>
      <c r="J874" s="22">
        <f t="shared" si="107"/>
        <v>-8.6943364421520022E-2</v>
      </c>
      <c r="K874" s="8"/>
      <c r="L874" s="8">
        <v>0.94373529133842737</v>
      </c>
      <c r="M874" s="8">
        <v>1.3542937156076824</v>
      </c>
      <c r="N874" s="8">
        <v>0.81272277262105064</v>
      </c>
      <c r="O874" s="8">
        <v>1.0163137755933485</v>
      </c>
      <c r="P874" s="8">
        <f t="shared" si="108"/>
        <v>1.149014503473055</v>
      </c>
      <c r="Q874" s="8">
        <f t="shared" si="109"/>
        <v>0.91451827410719955</v>
      </c>
      <c r="R874" s="8">
        <f t="shared" si="110"/>
        <v>0.79591534427367261</v>
      </c>
      <c r="S874" s="22">
        <f t="shared" si="111"/>
        <v>-0.32931310493689608</v>
      </c>
      <c r="T874" s="25"/>
      <c r="U874" s="1" t="s">
        <v>2479</v>
      </c>
    </row>
    <row r="875" spans="1:21">
      <c r="A875" s="6" t="s">
        <v>2480</v>
      </c>
      <c r="B875" s="6" t="s">
        <v>2481</v>
      </c>
      <c r="C875" s="7">
        <v>0.97685384788444773</v>
      </c>
      <c r="D875" s="7">
        <v>1.0077260528121024</v>
      </c>
      <c r="E875" s="7">
        <v>0.92715337556901689</v>
      </c>
      <c r="F875" s="8">
        <v>0.96925916099737353</v>
      </c>
      <c r="G875" s="8">
        <f t="shared" si="104"/>
        <v>0.99228995034827505</v>
      </c>
      <c r="H875" s="8">
        <f t="shared" si="105"/>
        <v>0.94820626828319521</v>
      </c>
      <c r="I875" s="8">
        <f t="shared" si="106"/>
        <v>0.95557378964726258</v>
      </c>
      <c r="J875" s="22">
        <f t="shared" si="107"/>
        <v>-6.5560812110804223E-2</v>
      </c>
      <c r="K875" s="8"/>
      <c r="L875" s="8">
        <v>1.1640261216980305</v>
      </c>
      <c r="M875" s="8">
        <v>1.3987406821539212</v>
      </c>
      <c r="N875" s="8">
        <v>1.2484675729330741</v>
      </c>
      <c r="O875" s="8">
        <v>0.91393647048087134</v>
      </c>
      <c r="P875" s="8">
        <f t="shared" si="108"/>
        <v>1.281383401925976</v>
      </c>
      <c r="Q875" s="8">
        <f t="shared" si="109"/>
        <v>1.0812020217069727</v>
      </c>
      <c r="R875" s="8">
        <f t="shared" si="110"/>
        <v>0.84377713967722556</v>
      </c>
      <c r="S875" s="22">
        <f t="shared" si="111"/>
        <v>-0.24506609351291803</v>
      </c>
      <c r="T875" s="25"/>
      <c r="U875" s="1" t="s">
        <v>2482</v>
      </c>
    </row>
    <row r="876" spans="1:21">
      <c r="A876" s="6" t="s">
        <v>2483</v>
      </c>
      <c r="B876" s="6" t="s">
        <v>2484</v>
      </c>
      <c r="C876" s="7">
        <v>0.95793077468270094</v>
      </c>
      <c r="D876" s="7">
        <v>1.0036073825002645</v>
      </c>
      <c r="E876" s="7">
        <v>0.89923077707731924</v>
      </c>
      <c r="F876" s="8">
        <v>0.95465423196537602</v>
      </c>
      <c r="G876" s="8">
        <f t="shared" si="104"/>
        <v>0.98076907859148266</v>
      </c>
      <c r="H876" s="8">
        <f t="shared" si="105"/>
        <v>0.92694250452134763</v>
      </c>
      <c r="I876" s="8">
        <f t="shared" si="106"/>
        <v>0.94511799439330069</v>
      </c>
      <c r="J876" s="22">
        <f t="shared" si="107"/>
        <v>-8.1433639310958525E-2</v>
      </c>
      <c r="K876" s="8"/>
      <c r="L876" s="8">
        <v>0.83507410515750258</v>
      </c>
      <c r="M876" s="8">
        <v>0.96625810405479229</v>
      </c>
      <c r="N876" s="8">
        <v>0.83036217879710916</v>
      </c>
      <c r="O876" s="8">
        <v>0.96359822435450326</v>
      </c>
      <c r="P876" s="8">
        <f t="shared" si="108"/>
        <v>0.90066610460614749</v>
      </c>
      <c r="Q876" s="8">
        <f t="shared" si="109"/>
        <v>0.89698020157580616</v>
      </c>
      <c r="R876" s="8">
        <f t="shared" si="110"/>
        <v>0.99590758105418753</v>
      </c>
      <c r="S876" s="22">
        <f t="shared" si="111"/>
        <v>-5.9162266313075237E-3</v>
      </c>
      <c r="T876" s="25"/>
      <c r="U876" s="1" t="s">
        <v>2485</v>
      </c>
    </row>
    <row r="877" spans="1:21">
      <c r="A877" s="6" t="s">
        <v>2486</v>
      </c>
      <c r="B877" s="6" t="s">
        <v>2487</v>
      </c>
      <c r="C877" s="7">
        <v>1.0071425225259736</v>
      </c>
      <c r="D877" s="7">
        <v>0.99199960790618147</v>
      </c>
      <c r="E877" s="7">
        <v>0.89127687341306527</v>
      </c>
      <c r="F877" s="8">
        <v>0.97521702116200326</v>
      </c>
      <c r="G877" s="8">
        <f t="shared" si="104"/>
        <v>0.99957106521607753</v>
      </c>
      <c r="H877" s="8">
        <f t="shared" si="105"/>
        <v>0.93324694728753421</v>
      </c>
      <c r="I877" s="8">
        <f t="shared" si="106"/>
        <v>0.93364742114238175</v>
      </c>
      <c r="J877" s="22">
        <f t="shared" si="107"/>
        <v>-9.9050255661408654E-2</v>
      </c>
      <c r="K877" s="8"/>
      <c r="L877" s="8">
        <v>0.73809145767826589</v>
      </c>
      <c r="M877" s="8">
        <v>1.3631089619847863</v>
      </c>
      <c r="N877" s="8">
        <v>0.77861368216389781</v>
      </c>
      <c r="O877" s="8">
        <v>0.9214958705160714</v>
      </c>
      <c r="P877" s="8">
        <f t="shared" si="108"/>
        <v>1.0506002098315261</v>
      </c>
      <c r="Q877" s="8">
        <f t="shared" si="109"/>
        <v>0.85005477633998461</v>
      </c>
      <c r="R877" s="8">
        <f t="shared" si="110"/>
        <v>0.80911346522222671</v>
      </c>
      <c r="S877" s="22">
        <f t="shared" si="111"/>
        <v>-0.30558606314060088</v>
      </c>
      <c r="T877" s="25"/>
      <c r="U877" s="1" t="s">
        <v>2488</v>
      </c>
    </row>
    <row r="878" spans="1:21">
      <c r="A878" s="6" t="s">
        <v>2489</v>
      </c>
      <c r="B878" s="6" t="s">
        <v>2490</v>
      </c>
      <c r="C878" s="7">
        <v>1.0457920993760723</v>
      </c>
      <c r="D878" s="7">
        <v>1.0940091624545312</v>
      </c>
      <c r="E878" s="7">
        <v>1.0096581391054646</v>
      </c>
      <c r="F878" s="8">
        <v>1.1132358291403759</v>
      </c>
      <c r="G878" s="8">
        <f t="shared" si="104"/>
        <v>1.0699006309153019</v>
      </c>
      <c r="H878" s="8">
        <f t="shared" si="105"/>
        <v>1.0614469841229202</v>
      </c>
      <c r="I878" s="8">
        <f t="shared" si="106"/>
        <v>0.99209866173725914</v>
      </c>
      <c r="J878" s="22">
        <f t="shared" si="107"/>
        <v>-1.1444494717535067E-2</v>
      </c>
      <c r="K878" s="8"/>
      <c r="L878" s="8">
        <v>0.76176100434456373</v>
      </c>
      <c r="M878" s="8">
        <v>0.81763469784642417</v>
      </c>
      <c r="N878" s="8">
        <v>0.86241255871912526</v>
      </c>
      <c r="O878" s="8">
        <v>0.9409200242489032</v>
      </c>
      <c r="P878" s="8">
        <f t="shared" si="108"/>
        <v>0.78969785109549395</v>
      </c>
      <c r="Q878" s="8">
        <f t="shared" si="109"/>
        <v>0.90166629148401423</v>
      </c>
      <c r="R878" s="8">
        <f t="shared" si="110"/>
        <v>1.1417864316500217</v>
      </c>
      <c r="S878" s="22">
        <f t="shared" si="111"/>
        <v>0.19129282336836365</v>
      </c>
      <c r="T878" s="25"/>
      <c r="U878" s="1" t="s">
        <v>2491</v>
      </c>
    </row>
    <row r="879" spans="1:21">
      <c r="A879" s="6" t="s">
        <v>2492</v>
      </c>
      <c r="B879" s="6" t="s">
        <v>2493</v>
      </c>
      <c r="C879" s="7">
        <v>1.0522913944522678</v>
      </c>
      <c r="D879" s="7">
        <v>0.92847366843194323</v>
      </c>
      <c r="E879" s="7">
        <v>0.88314710454216439</v>
      </c>
      <c r="F879" s="8">
        <v>0.9772004982991056</v>
      </c>
      <c r="G879" s="8">
        <f t="shared" si="104"/>
        <v>0.99038253144210553</v>
      </c>
      <c r="H879" s="8">
        <f t="shared" si="105"/>
        <v>0.93017380142063499</v>
      </c>
      <c r="I879" s="8">
        <f t="shared" si="106"/>
        <v>0.93920659128165351</v>
      </c>
      <c r="J879" s="22">
        <f t="shared" si="107"/>
        <v>-9.0485561677911802E-2</v>
      </c>
      <c r="K879" s="8"/>
      <c r="L879" s="8">
        <v>0.38949293623155357</v>
      </c>
      <c r="M879" s="8">
        <v>0.35013829067935948</v>
      </c>
      <c r="N879" s="8">
        <v>0.40130818772428045</v>
      </c>
      <c r="O879" s="8">
        <v>0.43944644707937602</v>
      </c>
      <c r="P879" s="8">
        <f t="shared" si="108"/>
        <v>0.36981561345545655</v>
      </c>
      <c r="Q879" s="8">
        <f t="shared" si="109"/>
        <v>0.42037731740182827</v>
      </c>
      <c r="R879" s="8">
        <f t="shared" si="110"/>
        <v>1.1367213879206908</v>
      </c>
      <c r="S879" s="22">
        <f t="shared" si="111"/>
        <v>0.18487869088744138</v>
      </c>
      <c r="T879" s="25"/>
      <c r="U879" s="1" t="s">
        <v>2494</v>
      </c>
    </row>
    <row r="880" spans="1:21">
      <c r="A880" s="6" t="s">
        <v>2495</v>
      </c>
      <c r="B880" s="6" t="s">
        <v>2496</v>
      </c>
      <c r="C880" s="7">
        <v>1.0103562443123939</v>
      </c>
      <c r="D880" s="7">
        <v>0.95091401780691553</v>
      </c>
      <c r="E880" s="7">
        <v>0.8748414704646168</v>
      </c>
      <c r="F880" s="8">
        <v>1.0655432328100485</v>
      </c>
      <c r="G880" s="8">
        <f t="shared" si="104"/>
        <v>0.98063513105965472</v>
      </c>
      <c r="H880" s="8">
        <f t="shared" si="105"/>
        <v>0.97019235163733264</v>
      </c>
      <c r="I880" s="8">
        <f t="shared" si="106"/>
        <v>0.98935100416906563</v>
      </c>
      <c r="J880" s="22">
        <f t="shared" si="107"/>
        <v>-1.5445640501584137E-2</v>
      </c>
      <c r="K880" s="8"/>
      <c r="L880" s="8">
        <v>0.72977196355298302</v>
      </c>
      <c r="M880" s="8">
        <v>0.79773860438782063</v>
      </c>
      <c r="N880" s="8">
        <v>0.71919180989972198</v>
      </c>
      <c r="O880" s="8">
        <v>0.81321121968072274</v>
      </c>
      <c r="P880" s="8">
        <f t="shared" si="108"/>
        <v>0.76375528397040182</v>
      </c>
      <c r="Q880" s="8">
        <f t="shared" si="109"/>
        <v>0.76620151479022236</v>
      </c>
      <c r="R880" s="8">
        <f t="shared" si="110"/>
        <v>1.0032028987179031</v>
      </c>
      <c r="S880" s="22">
        <f t="shared" si="111"/>
        <v>4.6134218729064914E-3</v>
      </c>
      <c r="T880" s="25"/>
      <c r="U880" s="1" t="s">
        <v>2497</v>
      </c>
    </row>
    <row r="881" spans="1:21">
      <c r="A881" s="6" t="s">
        <v>2498</v>
      </c>
      <c r="B881" s="6" t="s">
        <v>2499</v>
      </c>
      <c r="C881" s="7">
        <v>1.0540354263973373</v>
      </c>
      <c r="D881" s="7">
        <v>1.07149466353221</v>
      </c>
      <c r="E881" s="7">
        <v>0.94340491943778915</v>
      </c>
      <c r="F881" s="8">
        <v>1.1860524692073338</v>
      </c>
      <c r="G881" s="8">
        <f t="shared" si="104"/>
        <v>1.0627650449647736</v>
      </c>
      <c r="H881" s="8">
        <f t="shared" si="105"/>
        <v>1.0647286943225613</v>
      </c>
      <c r="I881" s="8">
        <f t="shared" si="106"/>
        <v>1.0018476796607974</v>
      </c>
      <c r="J881" s="22">
        <f t="shared" si="107"/>
        <v>2.6631786901917501E-3</v>
      </c>
      <c r="K881" s="8"/>
      <c r="L881" s="8">
        <v>0.96549096376933141</v>
      </c>
      <c r="M881" s="8">
        <v>1.4061141826282277</v>
      </c>
      <c r="N881" s="8">
        <v>0.94022245917213665</v>
      </c>
      <c r="O881" s="8">
        <v>0.88695291671283949</v>
      </c>
      <c r="P881" s="8">
        <f t="shared" si="108"/>
        <v>1.1858025731987796</v>
      </c>
      <c r="Q881" s="8">
        <f t="shared" si="109"/>
        <v>0.91358768794248801</v>
      </c>
      <c r="R881" s="8">
        <f t="shared" si="110"/>
        <v>0.77043827412013943</v>
      </c>
      <c r="S881" s="22">
        <f t="shared" si="111"/>
        <v>-0.3762487191829767</v>
      </c>
      <c r="T881" s="25"/>
      <c r="U881" s="1" t="s">
        <v>2500</v>
      </c>
    </row>
    <row r="882" spans="1:21">
      <c r="A882" s="6" t="s">
        <v>2501</v>
      </c>
      <c r="B882" s="6" t="s">
        <v>2502</v>
      </c>
      <c r="C882" s="7">
        <v>1.0257324660303475</v>
      </c>
      <c r="D882" s="7">
        <v>0.97016593664588247</v>
      </c>
      <c r="E882" s="7">
        <v>0.9153224434855034</v>
      </c>
      <c r="F882" s="8">
        <v>1.033465875963576</v>
      </c>
      <c r="G882" s="8">
        <f t="shared" si="104"/>
        <v>0.99794920133811504</v>
      </c>
      <c r="H882" s="8">
        <f t="shared" si="105"/>
        <v>0.97439415972453969</v>
      </c>
      <c r="I882" s="8">
        <f t="shared" si="106"/>
        <v>0.97639655246780976</v>
      </c>
      <c r="J882" s="22">
        <f t="shared" si="107"/>
        <v>-3.4460893732219069E-2</v>
      </c>
      <c r="K882" s="8"/>
      <c r="L882" s="8">
        <v>0.68270628082544371</v>
      </c>
      <c r="M882" s="8">
        <v>0.8208889243127383</v>
      </c>
      <c r="N882" s="8">
        <v>0.86582814665242047</v>
      </c>
      <c r="O882" s="8">
        <v>0.89356113396215342</v>
      </c>
      <c r="P882" s="8">
        <f t="shared" si="108"/>
        <v>0.75179760256909101</v>
      </c>
      <c r="Q882" s="8">
        <f t="shared" si="109"/>
        <v>0.87969464030728695</v>
      </c>
      <c r="R882" s="8">
        <f t="shared" si="110"/>
        <v>1.1701216355321404</v>
      </c>
      <c r="S882" s="22">
        <f t="shared" si="111"/>
        <v>0.22665850746497634</v>
      </c>
      <c r="T882" s="25"/>
      <c r="U882" s="1" t="s">
        <v>2503</v>
      </c>
    </row>
    <row r="883" spans="1:21">
      <c r="A883" s="6" t="s">
        <v>2504</v>
      </c>
      <c r="B883" s="9" t="s">
        <v>2505</v>
      </c>
      <c r="C883" s="10">
        <v>1.0585816669732488</v>
      </c>
      <c r="D883" s="10">
        <v>1.0500182582727742</v>
      </c>
      <c r="E883" s="10">
        <v>1.0226481827782414</v>
      </c>
      <c r="F883" s="8">
        <v>1.1021892729498468</v>
      </c>
      <c r="G883" s="8">
        <f t="shared" si="104"/>
        <v>1.0542999626230114</v>
      </c>
      <c r="H883" s="8">
        <f t="shared" si="105"/>
        <v>1.0624187278640442</v>
      </c>
      <c r="I883" s="8">
        <f t="shared" si="106"/>
        <v>1.0077006217669153</v>
      </c>
      <c r="J883" s="22">
        <f t="shared" si="107"/>
        <v>1.1067091571699581E-2</v>
      </c>
      <c r="K883" s="8"/>
      <c r="L883" s="8">
        <v>0.84019078933784086</v>
      </c>
      <c r="M883" s="8">
        <v>1.1319353046562493</v>
      </c>
      <c r="N883" s="8">
        <v>0.84079609810018885</v>
      </c>
      <c r="O883" s="8">
        <v>1.1686532080907899</v>
      </c>
      <c r="P883" s="8">
        <f t="shared" si="108"/>
        <v>0.98606304699704506</v>
      </c>
      <c r="Q883" s="8">
        <f t="shared" si="109"/>
        <v>1.0047246530954894</v>
      </c>
      <c r="R883" s="8">
        <f t="shared" si="110"/>
        <v>1.018925368063712</v>
      </c>
      <c r="S883" s="22">
        <f t="shared" si="111"/>
        <v>2.7048384116579012E-2</v>
      </c>
      <c r="T883" s="25"/>
      <c r="U883" s="1" t="s">
        <v>2506</v>
      </c>
    </row>
    <row r="884" spans="1:21">
      <c r="A884" s="6" t="s">
        <v>2507</v>
      </c>
      <c r="B884" s="9" t="s">
        <v>2508</v>
      </c>
      <c r="C884" s="10">
        <v>1.0011069962441599</v>
      </c>
      <c r="D884" s="10">
        <v>1.036300592013216</v>
      </c>
      <c r="E884" s="10">
        <v>1.1298220384834206</v>
      </c>
      <c r="F884" s="8">
        <v>1.0620888625150948</v>
      </c>
      <c r="G884" s="8">
        <f t="shared" si="104"/>
        <v>1.0187037941286881</v>
      </c>
      <c r="H884" s="8">
        <f t="shared" si="105"/>
        <v>1.0959554504992577</v>
      </c>
      <c r="I884" s="8">
        <f t="shared" si="106"/>
        <v>1.0758332861974309</v>
      </c>
      <c r="J884" s="22">
        <f t="shared" si="107"/>
        <v>0.10545453160195192</v>
      </c>
      <c r="K884" s="8"/>
      <c r="L884" s="8">
        <v>1.202772310300287</v>
      </c>
      <c r="M884" s="8">
        <v>1.2416727642291685</v>
      </c>
      <c r="N884" s="8">
        <v>0.89853357083561647</v>
      </c>
      <c r="O884" s="8">
        <v>0.94312276333200784</v>
      </c>
      <c r="P884" s="8">
        <f t="shared" si="108"/>
        <v>1.2222225372647277</v>
      </c>
      <c r="Q884" s="8">
        <f t="shared" si="109"/>
        <v>0.9208281670838121</v>
      </c>
      <c r="R884" s="8">
        <f t="shared" si="110"/>
        <v>0.75340466977853227</v>
      </c>
      <c r="S884" s="22">
        <f t="shared" si="111"/>
        <v>-0.40850311941271311</v>
      </c>
      <c r="T884" s="25"/>
      <c r="U884" s="1" t="s">
        <v>2509</v>
      </c>
    </row>
    <row r="885" spans="1:21">
      <c r="A885" s="6" t="s">
        <v>2510</v>
      </c>
      <c r="B885" s="6" t="s">
        <v>2511</v>
      </c>
      <c r="C885" s="7">
        <v>0.96091587804935552</v>
      </c>
      <c r="D885" s="7">
        <v>1.0216931311854704</v>
      </c>
      <c r="E885" s="7">
        <v>1.0916512947680308</v>
      </c>
      <c r="F885" s="8">
        <v>1.0892706709220525</v>
      </c>
      <c r="G885" s="8">
        <f t="shared" si="104"/>
        <v>0.99130450461741293</v>
      </c>
      <c r="H885" s="8">
        <f t="shared" si="105"/>
        <v>1.0904609828450416</v>
      </c>
      <c r="I885" s="8">
        <f t="shared" si="106"/>
        <v>1.1000262560754703</v>
      </c>
      <c r="J885" s="22">
        <f t="shared" si="107"/>
        <v>0.13753795925703075</v>
      </c>
      <c r="K885" s="8"/>
      <c r="L885" s="8">
        <v>0.77300989780973495</v>
      </c>
      <c r="M885" s="8">
        <v>0.939647593963161</v>
      </c>
      <c r="N885" s="8">
        <v>0.77702286038674662</v>
      </c>
      <c r="O885" s="8">
        <v>0.86978156431500109</v>
      </c>
      <c r="P885" s="8">
        <f t="shared" si="108"/>
        <v>0.85632874588644792</v>
      </c>
      <c r="Q885" s="8">
        <f t="shared" si="109"/>
        <v>0.82340221235087385</v>
      </c>
      <c r="R885" s="8">
        <f t="shared" si="110"/>
        <v>0.9615491904321285</v>
      </c>
      <c r="S885" s="22">
        <f t="shared" si="111"/>
        <v>-5.6567430793621011E-2</v>
      </c>
      <c r="T885" s="25"/>
      <c r="U885" s="1" t="s">
        <v>2512</v>
      </c>
    </row>
    <row r="886" spans="1:21">
      <c r="A886" s="6" t="s">
        <v>2513</v>
      </c>
      <c r="B886" s="6" t="s">
        <v>2514</v>
      </c>
      <c r="C886" s="7">
        <v>0.96220920510974406</v>
      </c>
      <c r="D886" s="7">
        <v>1.0700588586608164</v>
      </c>
      <c r="E886" s="7">
        <v>1.0816269779891621</v>
      </c>
      <c r="F886" s="8">
        <v>1.0567178738629412</v>
      </c>
      <c r="G886" s="8">
        <f t="shared" si="104"/>
        <v>1.0161340318852803</v>
      </c>
      <c r="H886" s="8">
        <f t="shared" si="105"/>
        <v>1.0691724259260518</v>
      </c>
      <c r="I886" s="8">
        <f t="shared" si="106"/>
        <v>1.0521962579507025</v>
      </c>
      <c r="J886" s="22">
        <f t="shared" si="107"/>
        <v>7.3403824368419093E-2</v>
      </c>
      <c r="K886" s="8"/>
      <c r="L886" s="8">
        <v>1.0543884690704761</v>
      </c>
      <c r="M886" s="8">
        <v>1.3411120387821065</v>
      </c>
      <c r="N886" s="8">
        <v>0.86657676866519739</v>
      </c>
      <c r="O886" s="8">
        <v>0.88835465976572425</v>
      </c>
      <c r="P886" s="8">
        <f t="shared" si="108"/>
        <v>1.1977502539262912</v>
      </c>
      <c r="Q886" s="8">
        <f t="shared" si="109"/>
        <v>0.87746571421546082</v>
      </c>
      <c r="R886" s="8">
        <f t="shared" si="110"/>
        <v>0.73259488890866853</v>
      </c>
      <c r="S886" s="22">
        <f t="shared" si="111"/>
        <v>-0.44891245904951621</v>
      </c>
      <c r="T886" s="25"/>
      <c r="U886" s="1" t="s">
        <v>2515</v>
      </c>
    </row>
    <row r="887" spans="1:21">
      <c r="A887" s="6" t="s">
        <v>2516</v>
      </c>
      <c r="B887" s="6" t="s">
        <v>2517</v>
      </c>
      <c r="C887" s="7">
        <v>0.97515553962333135</v>
      </c>
      <c r="D887" s="7">
        <v>0.97010526883441517</v>
      </c>
      <c r="E887" s="7">
        <v>1.048516355901383</v>
      </c>
      <c r="F887" s="8">
        <v>1.0357019307136428</v>
      </c>
      <c r="G887" s="8">
        <f t="shared" si="104"/>
        <v>0.97263040422887326</v>
      </c>
      <c r="H887" s="8">
        <f t="shared" si="105"/>
        <v>1.0421091433075129</v>
      </c>
      <c r="I887" s="8">
        <f t="shared" si="106"/>
        <v>1.0714338548091391</v>
      </c>
      <c r="J887" s="22">
        <f t="shared" si="107"/>
        <v>9.9542787686521833E-2</v>
      </c>
      <c r="K887" s="8"/>
      <c r="L887" s="8">
        <v>1.1171557322598171</v>
      </c>
      <c r="M887" s="8">
        <v>0.811167437653876</v>
      </c>
      <c r="N887" s="8">
        <v>0.82713374636700832</v>
      </c>
      <c r="O887" s="8">
        <v>0.73956964715238349</v>
      </c>
      <c r="P887" s="8">
        <f t="shared" si="108"/>
        <v>0.96416158495684656</v>
      </c>
      <c r="Q887" s="8">
        <f t="shared" si="109"/>
        <v>0.78335169675969585</v>
      </c>
      <c r="R887" s="8">
        <f t="shared" si="110"/>
        <v>0.81246930906789516</v>
      </c>
      <c r="S887" s="22">
        <f t="shared" si="111"/>
        <v>-0.29961477846423584</v>
      </c>
      <c r="T887" s="25"/>
      <c r="U887" s="1" t="s">
        <v>2518</v>
      </c>
    </row>
    <row r="888" spans="1:21">
      <c r="A888" s="6" t="s">
        <v>2519</v>
      </c>
      <c r="B888" s="6" t="s">
        <v>2520</v>
      </c>
      <c r="C888" s="7">
        <v>1.03349896034753</v>
      </c>
      <c r="D888" s="7">
        <v>1.0913734830896726</v>
      </c>
      <c r="E888" s="7">
        <v>1.1364249776057058</v>
      </c>
      <c r="F888" s="8">
        <v>0.98722931528445479</v>
      </c>
      <c r="G888" s="8">
        <f t="shared" si="104"/>
        <v>1.0624362217186012</v>
      </c>
      <c r="H888" s="8">
        <f t="shared" si="105"/>
        <v>1.0618271464450804</v>
      </c>
      <c r="I888" s="8">
        <f t="shared" si="106"/>
        <v>0.99942671827158192</v>
      </c>
      <c r="J888" s="22">
        <f t="shared" si="107"/>
        <v>-8.2730786952823782E-4</v>
      </c>
      <c r="K888" s="8"/>
      <c r="L888" s="8">
        <v>0.9074107395238119</v>
      </c>
      <c r="M888" s="8">
        <v>0.84243272737453889</v>
      </c>
      <c r="N888" s="8">
        <v>0.94363804710543175</v>
      </c>
      <c r="O888" s="8">
        <v>1.0047994576589379</v>
      </c>
      <c r="P888" s="8">
        <f t="shared" si="108"/>
        <v>0.87492173344917545</v>
      </c>
      <c r="Q888" s="8">
        <f t="shared" si="109"/>
        <v>0.9742187523821848</v>
      </c>
      <c r="R888" s="8">
        <f t="shared" si="110"/>
        <v>1.1134924589672197</v>
      </c>
      <c r="S888" s="22">
        <f t="shared" si="111"/>
        <v>0.15509178762957768</v>
      </c>
      <c r="T888" s="25"/>
      <c r="U888" s="1" t="s">
        <v>2521</v>
      </c>
    </row>
    <row r="889" spans="1:21">
      <c r="A889" s="6" t="s">
        <v>2522</v>
      </c>
      <c r="B889" s="6" t="s">
        <v>2523</v>
      </c>
      <c r="C889" s="7">
        <v>1.0873875878637231</v>
      </c>
      <c r="D889" s="7">
        <v>1.1344948153070646</v>
      </c>
      <c r="E889" s="7">
        <v>0.9447079207415815</v>
      </c>
      <c r="F889" s="8">
        <v>1.0660781030492672</v>
      </c>
      <c r="G889" s="8">
        <f t="shared" si="104"/>
        <v>1.1109412015853939</v>
      </c>
      <c r="H889" s="8">
        <f t="shared" si="105"/>
        <v>1.0053930118954244</v>
      </c>
      <c r="I889" s="8">
        <f t="shared" si="106"/>
        <v>0.90499210080664527</v>
      </c>
      <c r="J889" s="22">
        <f t="shared" si="107"/>
        <v>-0.14402289515208849</v>
      </c>
      <c r="K889" s="8"/>
      <c r="L889" s="8">
        <v>0.84511218022885326</v>
      </c>
      <c r="M889" s="8">
        <v>1.0124763584244678</v>
      </c>
      <c r="N889" s="8">
        <v>0.78698889093184066</v>
      </c>
      <c r="O889" s="8">
        <v>0.87819202263230967</v>
      </c>
      <c r="P889" s="8">
        <f t="shared" si="108"/>
        <v>0.92879426932666054</v>
      </c>
      <c r="Q889" s="8">
        <f t="shared" si="109"/>
        <v>0.83259045678207522</v>
      </c>
      <c r="R889" s="8">
        <f t="shared" si="110"/>
        <v>0.89642075137443589</v>
      </c>
      <c r="S889" s="22">
        <f t="shared" si="111"/>
        <v>-0.15775204849502536</v>
      </c>
      <c r="T889" s="25"/>
      <c r="U889" s="1" t="s">
        <v>2524</v>
      </c>
    </row>
    <row r="890" spans="1:21">
      <c r="A890" s="6" t="s">
        <v>2525</v>
      </c>
      <c r="B890" s="6" t="s">
        <v>2526</v>
      </c>
      <c r="C890" s="7">
        <v>1.0759370710108884</v>
      </c>
      <c r="D890" s="7">
        <v>1.0326537824572353</v>
      </c>
      <c r="E890" s="7">
        <v>1.1211486862465205</v>
      </c>
      <c r="F890" s="8">
        <v>0.9659459370155471</v>
      </c>
      <c r="G890" s="8">
        <f t="shared" si="104"/>
        <v>1.0542954267340618</v>
      </c>
      <c r="H890" s="8">
        <f t="shared" si="105"/>
        <v>1.0435473116310339</v>
      </c>
      <c r="I890" s="8">
        <f t="shared" si="106"/>
        <v>0.98980540479405954</v>
      </c>
      <c r="J890" s="22">
        <f t="shared" si="107"/>
        <v>-1.4783174880569499E-2</v>
      </c>
      <c r="K890" s="8"/>
      <c r="L890" s="8">
        <v>0.85483778603728255</v>
      </c>
      <c r="M890" s="8">
        <v>0.94768017827874629</v>
      </c>
      <c r="N890" s="8">
        <v>1.135753171134334</v>
      </c>
      <c r="O890" s="8">
        <v>1.0995172382324374</v>
      </c>
      <c r="P890" s="8">
        <f t="shared" si="108"/>
        <v>0.90125898215801437</v>
      </c>
      <c r="Q890" s="8">
        <f t="shared" si="109"/>
        <v>1.1176352046833857</v>
      </c>
      <c r="R890" s="8">
        <f t="shared" si="110"/>
        <v>1.2400821814915737</v>
      </c>
      <c r="S890" s="22">
        <f t="shared" si="111"/>
        <v>0.3104357326295864</v>
      </c>
      <c r="T890" s="25"/>
      <c r="U890" s="1" t="s">
        <v>2527</v>
      </c>
    </row>
    <row r="891" spans="1:21">
      <c r="A891" s="6" t="s">
        <v>2528</v>
      </c>
      <c r="B891" s="6" t="s">
        <v>80</v>
      </c>
      <c r="C891" s="7">
        <v>1.0597312910269276</v>
      </c>
      <c r="D891" s="7">
        <v>1.0166577028336818</v>
      </c>
      <c r="E891" s="7">
        <v>1.0033909426504144</v>
      </c>
      <c r="F891" s="8">
        <v>1.0366899549055326</v>
      </c>
      <c r="G891" s="8">
        <f t="shared" si="104"/>
        <v>1.0381944969303047</v>
      </c>
      <c r="H891" s="8">
        <f t="shared" si="105"/>
        <v>1.0200404487779735</v>
      </c>
      <c r="I891" s="8">
        <f t="shared" si="106"/>
        <v>0.98251382741287063</v>
      </c>
      <c r="J891" s="22">
        <f t="shared" si="107"/>
        <v>-2.5450383597948479E-2</v>
      </c>
      <c r="K891" s="8"/>
      <c r="L891" s="8">
        <v>1.0204074367277716</v>
      </c>
      <c r="M891" s="8">
        <v>0.90030852718683296</v>
      </c>
      <c r="N891" s="8">
        <v>1.1498366227497019</v>
      </c>
      <c r="O891" s="8">
        <v>0.9020717167832395</v>
      </c>
      <c r="P891" s="8">
        <f t="shared" si="108"/>
        <v>0.96035798195730226</v>
      </c>
      <c r="Q891" s="8">
        <f t="shared" si="109"/>
        <v>1.0259541697664707</v>
      </c>
      <c r="R891" s="8">
        <f t="shared" si="110"/>
        <v>1.0683038919252559</v>
      </c>
      <c r="S891" s="22">
        <f t="shared" si="111"/>
        <v>9.5322097409559922E-2</v>
      </c>
      <c r="T891" s="25"/>
      <c r="U891" s="1">
        <v>0</v>
      </c>
    </row>
    <row r="892" spans="1:21">
      <c r="A892" s="6" t="s">
        <v>2529</v>
      </c>
      <c r="B892" s="6" t="s">
        <v>80</v>
      </c>
      <c r="C892" s="7">
        <v>1.10076503139744</v>
      </c>
      <c r="D892" s="7">
        <v>1.0661693778589663</v>
      </c>
      <c r="E892" s="7">
        <v>1.0442156522115653</v>
      </c>
      <c r="F892" s="8">
        <v>1.0590876461728127</v>
      </c>
      <c r="G892" s="8">
        <f t="shared" si="104"/>
        <v>1.083467204628203</v>
      </c>
      <c r="H892" s="8">
        <f t="shared" si="105"/>
        <v>1.051651649192189</v>
      </c>
      <c r="I892" s="8">
        <f t="shared" si="106"/>
        <v>0.97063542366570144</v>
      </c>
      <c r="J892" s="22">
        <f t="shared" si="107"/>
        <v>-4.2998582184520726E-2</v>
      </c>
      <c r="K892" s="8"/>
      <c r="L892" s="8">
        <v>1.5784775403054327</v>
      </c>
      <c r="M892" s="8">
        <v>1.7216505716404504</v>
      </c>
      <c r="N892" s="8">
        <v>1.3089655893406169</v>
      </c>
      <c r="O892" s="8">
        <v>1.108928941587521</v>
      </c>
      <c r="P892" s="8">
        <f t="shared" si="108"/>
        <v>1.6500640559729416</v>
      </c>
      <c r="Q892" s="8">
        <f t="shared" si="109"/>
        <v>1.2089472654640689</v>
      </c>
      <c r="R892" s="8">
        <f t="shared" si="110"/>
        <v>0.73266686895450661</v>
      </c>
      <c r="S892" s="22">
        <f t="shared" si="111"/>
        <v>-0.44877071610877567</v>
      </c>
      <c r="T892" s="25"/>
      <c r="U892" s="1">
        <v>0</v>
      </c>
    </row>
    <row r="893" spans="1:21">
      <c r="A893" s="6" t="s">
        <v>2530</v>
      </c>
      <c r="B893" s="6" t="s">
        <v>2531</v>
      </c>
      <c r="C893" s="7">
        <v>1.0009828891020014</v>
      </c>
      <c r="D893" s="7">
        <v>0.83502501616842817</v>
      </c>
      <c r="E893" s="7">
        <v>0.91249261243309554</v>
      </c>
      <c r="F893" s="8">
        <v>0.86851783719121001</v>
      </c>
      <c r="G893" s="8">
        <f t="shared" si="104"/>
        <v>0.91800395263521484</v>
      </c>
      <c r="H893" s="8">
        <f t="shared" si="105"/>
        <v>0.89050522481215277</v>
      </c>
      <c r="I893" s="8">
        <f t="shared" si="106"/>
        <v>0.97004508777535825</v>
      </c>
      <c r="J893" s="22">
        <f t="shared" si="107"/>
        <v>-4.3876289445149035E-2</v>
      </c>
      <c r="K893" s="8"/>
      <c r="L893" s="8">
        <v>1.018532621150243</v>
      </c>
      <c r="M893" s="8">
        <v>1.1323472320570485</v>
      </c>
      <c r="N893" s="8">
        <v>0.7207358428010745</v>
      </c>
      <c r="O893" s="8">
        <v>0.94252201630934296</v>
      </c>
      <c r="P893" s="8">
        <f t="shared" si="108"/>
        <v>1.0754399266036456</v>
      </c>
      <c r="Q893" s="8">
        <f t="shared" si="109"/>
        <v>0.83162892955520873</v>
      </c>
      <c r="R893" s="8">
        <f t="shared" si="110"/>
        <v>0.7732918492077766</v>
      </c>
      <c r="S893" s="22">
        <f t="shared" si="111"/>
        <v>-0.37091508831768816</v>
      </c>
      <c r="T893" s="25"/>
      <c r="U893" s="1" t="s">
        <v>2532</v>
      </c>
    </row>
    <row r="894" spans="1:21">
      <c r="A894" s="6" t="s">
        <v>2533</v>
      </c>
      <c r="B894" s="6" t="s">
        <v>2534</v>
      </c>
      <c r="C894" s="7">
        <v>1.0672038473758398</v>
      </c>
      <c r="D894" s="7">
        <v>1.064072967929373</v>
      </c>
      <c r="E894" s="7">
        <v>0.93593064815529925</v>
      </c>
      <c r="F894" s="8">
        <v>0.86275312461296483</v>
      </c>
      <c r="G894" s="8">
        <f t="shared" si="104"/>
        <v>1.0656384076526064</v>
      </c>
      <c r="H894" s="8">
        <f t="shared" si="105"/>
        <v>0.89934188638413204</v>
      </c>
      <c r="I894" s="8">
        <f t="shared" si="106"/>
        <v>0.84394657693054331</v>
      </c>
      <c r="J894" s="22">
        <f t="shared" si="107"/>
        <v>-0.24477641779938838</v>
      </c>
      <c r="K894" s="8"/>
      <c r="L894" s="8">
        <v>0.76383111321141817</v>
      </c>
      <c r="M894" s="8">
        <v>1.1166527980865972</v>
      </c>
      <c r="N894" s="8">
        <v>0.75259906721989633</v>
      </c>
      <c r="O894" s="8">
        <v>0.92084506124151777</v>
      </c>
      <c r="P894" s="8">
        <f t="shared" si="108"/>
        <v>0.9402419556490077</v>
      </c>
      <c r="Q894" s="8">
        <f t="shared" si="109"/>
        <v>0.83672206423070705</v>
      </c>
      <c r="R894" s="8">
        <f t="shared" si="110"/>
        <v>0.88990079543212319</v>
      </c>
      <c r="S894" s="22">
        <f t="shared" si="111"/>
        <v>-0.16828357893788126</v>
      </c>
      <c r="T894" s="25"/>
      <c r="U894" s="1" t="s">
        <v>2535</v>
      </c>
    </row>
    <row r="895" spans="1:21">
      <c r="A895" s="6" t="s">
        <v>2536</v>
      </c>
      <c r="B895" s="6" t="s">
        <v>2537</v>
      </c>
      <c r="C895" s="7">
        <v>1.1161412531153938</v>
      </c>
      <c r="D895" s="7">
        <v>1.006425065299525</v>
      </c>
      <c r="E895" s="7">
        <v>1.0051495947168825</v>
      </c>
      <c r="F895" s="8">
        <v>0.89271328676253026</v>
      </c>
      <c r="G895" s="8">
        <f t="shared" si="104"/>
        <v>1.0612831592074594</v>
      </c>
      <c r="H895" s="8">
        <f t="shared" si="105"/>
        <v>0.94893144073970637</v>
      </c>
      <c r="I895" s="8">
        <f t="shared" si="106"/>
        <v>0.89413596409872875</v>
      </c>
      <c r="J895" s="22">
        <f t="shared" si="107"/>
        <v>-0.16143386771100751</v>
      </c>
      <c r="K895" s="8"/>
      <c r="L895" s="8">
        <v>1.020524612701367</v>
      </c>
      <c r="M895" s="8">
        <v>0.83234050605495735</v>
      </c>
      <c r="N895" s="8">
        <v>0.91177482268660992</v>
      </c>
      <c r="O895" s="8">
        <v>0.80199727525764453</v>
      </c>
      <c r="P895" s="8">
        <f t="shared" si="108"/>
        <v>0.92643255937816216</v>
      </c>
      <c r="Q895" s="8">
        <f t="shared" si="109"/>
        <v>0.85688604897212728</v>
      </c>
      <c r="R895" s="8">
        <f t="shared" si="110"/>
        <v>0.92493084391084468</v>
      </c>
      <c r="S895" s="22">
        <f t="shared" si="111"/>
        <v>-0.11258259398994731</v>
      </c>
      <c r="T895" s="25"/>
      <c r="U895" s="1" t="s">
        <v>2538</v>
      </c>
    </row>
    <row r="896" spans="1:21">
      <c r="A896" s="6" t="s">
        <v>2539</v>
      </c>
      <c r="B896" s="6" t="s">
        <v>2540</v>
      </c>
      <c r="C896" s="7">
        <v>1.0649241951330335</v>
      </c>
      <c r="D896" s="7">
        <v>1.036482595447618</v>
      </c>
      <c r="E896" s="7">
        <v>0.82870882921194355</v>
      </c>
      <c r="F896" s="8">
        <v>0.85902389044507943</v>
      </c>
      <c r="G896" s="8">
        <f t="shared" si="104"/>
        <v>1.0507033952903257</v>
      </c>
      <c r="H896" s="8">
        <f t="shared" si="105"/>
        <v>0.84386635982851144</v>
      </c>
      <c r="I896" s="8">
        <f t="shared" si="106"/>
        <v>0.80314422092006088</v>
      </c>
      <c r="J896" s="22">
        <f t="shared" si="107"/>
        <v>-0.31626901857226036</v>
      </c>
      <c r="K896" s="8"/>
      <c r="L896" s="8">
        <v>0.84077666920581851</v>
      </c>
      <c r="M896" s="8">
        <v>1.2964179157953883</v>
      </c>
      <c r="N896" s="8">
        <v>0.85436487208177236</v>
      </c>
      <c r="O896" s="8">
        <v>1.1306058966553461</v>
      </c>
      <c r="P896" s="8">
        <f t="shared" si="108"/>
        <v>1.0685972925006033</v>
      </c>
      <c r="Q896" s="8">
        <f t="shared" si="109"/>
        <v>0.99248538436855926</v>
      </c>
      <c r="R896" s="8">
        <f t="shared" si="110"/>
        <v>0.92877400245518493</v>
      </c>
      <c r="S896" s="22">
        <f t="shared" si="111"/>
        <v>-0.10660050495552632</v>
      </c>
      <c r="T896" s="25"/>
      <c r="U896" s="1" t="s">
        <v>2541</v>
      </c>
    </row>
    <row r="897" spans="1:21">
      <c r="A897" s="6" t="s">
        <v>2542</v>
      </c>
      <c r="B897" s="6" t="s">
        <v>2543</v>
      </c>
      <c r="C897" s="7">
        <v>0.98770342489104135</v>
      </c>
      <c r="D897" s="7">
        <v>0.99709570406943748</v>
      </c>
      <c r="E897" s="7">
        <v>0.94765765988943051</v>
      </c>
      <c r="F897" s="8">
        <v>0.87631059942649248</v>
      </c>
      <c r="G897" s="8">
        <f t="shared" si="104"/>
        <v>0.99239956448023947</v>
      </c>
      <c r="H897" s="8">
        <f t="shared" si="105"/>
        <v>0.9119841296579615</v>
      </c>
      <c r="I897" s="8">
        <f t="shared" si="106"/>
        <v>0.91896869194577402</v>
      </c>
      <c r="J897" s="22">
        <f t="shared" si="107"/>
        <v>-0.12191238325767681</v>
      </c>
      <c r="K897" s="8"/>
      <c r="L897" s="8">
        <v>0.77090073028501538</v>
      </c>
      <c r="M897" s="8">
        <v>0.80951972805067907</v>
      </c>
      <c r="N897" s="8">
        <v>0.8730336335253992</v>
      </c>
      <c r="O897" s="8">
        <v>0.83503836150421418</v>
      </c>
      <c r="P897" s="8">
        <f t="shared" si="108"/>
        <v>0.79021022916784722</v>
      </c>
      <c r="Q897" s="8">
        <f t="shared" si="109"/>
        <v>0.85403599751480663</v>
      </c>
      <c r="R897" s="8">
        <f t="shared" si="110"/>
        <v>1.0807706177306422</v>
      </c>
      <c r="S897" s="22">
        <f t="shared" si="111"/>
        <v>0.11206035861552223</v>
      </c>
      <c r="T897" s="25"/>
      <c r="U897" s="1" t="s">
        <v>2544</v>
      </c>
    </row>
    <row r="898" spans="1:21">
      <c r="A898" s="6" t="s">
        <v>2545</v>
      </c>
      <c r="B898" s="15" t="s">
        <v>2546</v>
      </c>
      <c r="C898" s="16">
        <v>1.0562497590916391</v>
      </c>
      <c r="D898" s="16">
        <v>1.0254410537605636</v>
      </c>
      <c r="E898" s="16">
        <v>0.92051046708158468</v>
      </c>
      <c r="F898" s="8">
        <v>0.89973345865227472</v>
      </c>
      <c r="G898" s="8">
        <f t="shared" si="104"/>
        <v>1.0408454064261012</v>
      </c>
      <c r="H898" s="8">
        <f t="shared" si="105"/>
        <v>0.9101219628669297</v>
      </c>
      <c r="I898" s="8">
        <f t="shared" si="106"/>
        <v>0.87440647501339308</v>
      </c>
      <c r="J898" s="22">
        <f t="shared" si="107"/>
        <v>-0.19362401062602963</v>
      </c>
      <c r="K898" s="8"/>
      <c r="L898" s="8">
        <v>1.1008292132721726</v>
      </c>
      <c r="M898" s="8">
        <v>0.92794885578046238</v>
      </c>
      <c r="N898" s="8">
        <v>0.95687929895642532</v>
      </c>
      <c r="O898" s="8">
        <v>1.0661257162226465</v>
      </c>
      <c r="P898" s="8">
        <f t="shared" si="108"/>
        <v>1.0143890345263176</v>
      </c>
      <c r="Q898" s="8">
        <f t="shared" si="109"/>
        <v>1.0115025075895359</v>
      </c>
      <c r="R898" s="8">
        <f t="shared" si="110"/>
        <v>0.9971544182374471</v>
      </c>
      <c r="S898" s="22">
        <f t="shared" si="111"/>
        <v>-4.1111587945970507E-3</v>
      </c>
      <c r="T898" s="25"/>
      <c r="U898" s="1" t="s">
        <v>2547</v>
      </c>
    </row>
    <row r="899" spans="1:21">
      <c r="A899" s="6" t="s">
        <v>2548</v>
      </c>
      <c r="B899" s="6" t="s">
        <v>2549</v>
      </c>
      <c r="C899" s="7">
        <v>1.0489927572527917</v>
      </c>
      <c r="D899" s="7">
        <v>1.0333817961948433</v>
      </c>
      <c r="E899" s="7">
        <v>0.94084688006838091</v>
      </c>
      <c r="F899" s="8">
        <v>0.88509138585366487</v>
      </c>
      <c r="G899" s="8">
        <f t="shared" si="104"/>
        <v>1.0411872767238175</v>
      </c>
      <c r="H899" s="8">
        <f t="shared" si="105"/>
        <v>0.91296913296102289</v>
      </c>
      <c r="I899" s="8">
        <f t="shared" si="106"/>
        <v>0.87685390838981081</v>
      </c>
      <c r="J899" s="22">
        <f t="shared" si="107"/>
        <v>-0.18959159793944028</v>
      </c>
      <c r="K899" s="8"/>
      <c r="L899" s="8">
        <v>0.90979331765358773</v>
      </c>
      <c r="M899" s="8">
        <v>1.3325439488454822</v>
      </c>
      <c r="N899" s="8">
        <v>0.74034038176067274</v>
      </c>
      <c r="O899" s="8">
        <v>1.1919321552190549</v>
      </c>
      <c r="P899" s="8">
        <f t="shared" si="108"/>
        <v>1.121168633249535</v>
      </c>
      <c r="Q899" s="8">
        <f t="shared" si="109"/>
        <v>0.96613626848986378</v>
      </c>
      <c r="R899" s="8">
        <f t="shared" si="110"/>
        <v>0.861722527582373</v>
      </c>
      <c r="S899" s="22">
        <f t="shared" si="111"/>
        <v>-0.21470469485728033</v>
      </c>
      <c r="T899" s="25"/>
      <c r="U899" s="1" t="s">
        <v>2550</v>
      </c>
    </row>
    <row r="900" spans="1:21">
      <c r="A900" s="6" t="s">
        <v>2551</v>
      </c>
      <c r="B900" s="6" t="s">
        <v>2552</v>
      </c>
      <c r="C900" s="7">
        <v>1.1114447775779219</v>
      </c>
      <c r="D900" s="7">
        <v>1.0309416020002684</v>
      </c>
      <c r="E900" s="7">
        <v>0.9470501255391961</v>
      </c>
      <c r="F900" s="8">
        <v>0.87513685640154049</v>
      </c>
      <c r="G900" s="8">
        <f t="shared" si="104"/>
        <v>1.0711931897890952</v>
      </c>
      <c r="H900" s="8">
        <f t="shared" si="105"/>
        <v>0.91109349097036829</v>
      </c>
      <c r="I900" s="8">
        <f t="shared" si="106"/>
        <v>0.85054077980999065</v>
      </c>
      <c r="J900" s="22">
        <f t="shared" si="107"/>
        <v>-0.2335476862541665</v>
      </c>
      <c r="K900" s="8"/>
      <c r="L900" s="8">
        <v>1.1222724164401554</v>
      </c>
      <c r="M900" s="8">
        <v>1.2979008544382655</v>
      </c>
      <c r="N900" s="8">
        <v>0.83560253288654829</v>
      </c>
      <c r="O900" s="8">
        <v>1.0642734129027631</v>
      </c>
      <c r="P900" s="8">
        <f t="shared" si="108"/>
        <v>1.2100866354392106</v>
      </c>
      <c r="Q900" s="8">
        <f t="shared" si="109"/>
        <v>0.94993797289465576</v>
      </c>
      <c r="R900" s="8">
        <f t="shared" si="110"/>
        <v>0.78501649805418128</v>
      </c>
      <c r="S900" s="22">
        <f t="shared" si="111"/>
        <v>-0.34920512061451198</v>
      </c>
      <c r="T900" s="25"/>
      <c r="U900" s="1" t="s">
        <v>2553</v>
      </c>
    </row>
    <row r="901" spans="1:21">
      <c r="A901" s="6" t="s">
        <v>2554</v>
      </c>
      <c r="B901" s="6" t="s">
        <v>2555</v>
      </c>
      <c r="C901" s="7">
        <v>1.1037566667189449</v>
      </c>
      <c r="D901" s="7">
        <v>1.0570826878747479</v>
      </c>
      <c r="E901" s="7">
        <v>0.93303686611865611</v>
      </c>
      <c r="F901" s="8">
        <v>0.94343681444842986</v>
      </c>
      <c r="G901" s="8">
        <f t="shared" si="104"/>
        <v>1.0804196772968464</v>
      </c>
      <c r="H901" s="8">
        <f t="shared" si="105"/>
        <v>0.93823684028354304</v>
      </c>
      <c r="I901" s="8">
        <f t="shared" si="106"/>
        <v>0.8684003633023073</v>
      </c>
      <c r="J901" s="22">
        <f t="shared" si="107"/>
        <v>-0.2035677653710537</v>
      </c>
      <c r="K901" s="8"/>
      <c r="L901" s="8">
        <v>0.77578306251816254</v>
      </c>
      <c r="M901" s="8">
        <v>1.0797852957150647</v>
      </c>
      <c r="N901" s="8">
        <v>0.91851242080160311</v>
      </c>
      <c r="O901" s="8">
        <v>1.4905534877354001</v>
      </c>
      <c r="P901" s="8">
        <f t="shared" si="108"/>
        <v>0.92778417911661359</v>
      </c>
      <c r="Q901" s="8">
        <f t="shared" si="109"/>
        <v>1.2045329542685015</v>
      </c>
      <c r="R901" s="8">
        <f t="shared" si="110"/>
        <v>1.298290034882243</v>
      </c>
      <c r="S901" s="22">
        <f t="shared" si="111"/>
        <v>0.37661271395683255</v>
      </c>
      <c r="T901" s="25"/>
      <c r="U901" s="1" t="s">
        <v>2556</v>
      </c>
    </row>
    <row r="902" spans="1:21">
      <c r="A902" s="6" t="s">
        <v>2557</v>
      </c>
      <c r="B902" s="6" t="s">
        <v>2558</v>
      </c>
      <c r="C902" s="7">
        <v>1.0039157368298524</v>
      </c>
      <c r="D902" s="7">
        <v>0.95541691759137981</v>
      </c>
      <c r="E902" s="7">
        <v>0.86500101276542407</v>
      </c>
      <c r="F902" s="8">
        <v>0.97294382264532409</v>
      </c>
      <c r="G902" s="8">
        <f t="shared" ref="G902:G965" si="112">AVERAGE(C902:D902)</f>
        <v>0.97966632721061608</v>
      </c>
      <c r="H902" s="8">
        <f t="shared" ref="H902:H965" si="113">AVERAGE(E902:F902)</f>
        <v>0.91897241770537408</v>
      </c>
      <c r="I902" s="8">
        <f t="shared" ref="I902:I965" si="114">H902/G902</f>
        <v>0.9380463451489095</v>
      </c>
      <c r="J902" s="22">
        <f t="shared" ref="J902:J965" si="115">LOG(I902,2)</f>
        <v>-9.226889254672889E-2</v>
      </c>
      <c r="K902" s="8"/>
      <c r="L902" s="8">
        <v>1.08926785054408</v>
      </c>
      <c r="M902" s="8">
        <v>0.72775213899202862</v>
      </c>
      <c r="N902" s="8">
        <v>0.80963470681834548</v>
      </c>
      <c r="O902" s="8">
        <v>0.98897978606209536</v>
      </c>
      <c r="P902" s="8">
        <f t="shared" ref="P902:P965" si="116">AVERAGE(L902:M902)</f>
        <v>0.90850999476805439</v>
      </c>
      <c r="Q902" s="8">
        <f t="shared" ref="Q902:Q965" si="117">AVERAGE(N902:O902)</f>
        <v>0.89930724644022042</v>
      </c>
      <c r="R902" s="8">
        <f t="shared" ref="R902:R965" si="118">Q902/P902</f>
        <v>0.98987050403316312</v>
      </c>
      <c r="S902" s="22">
        <f t="shared" ref="S902:S965" si="119">LOG(R902,2)</f>
        <v>-1.4688292330314216E-2</v>
      </c>
      <c r="T902" s="25"/>
      <c r="U902" s="1" t="s">
        <v>2559</v>
      </c>
    </row>
    <row r="903" spans="1:21">
      <c r="A903" s="6" t="s">
        <v>2560</v>
      </c>
      <c r="B903" s="6" t="s">
        <v>2561</v>
      </c>
      <c r="C903" s="7">
        <v>1.0664004169292347</v>
      </c>
      <c r="D903" s="7">
        <v>0.97643494383084017</v>
      </c>
      <c r="E903" s="7">
        <v>0.99772328667256904</v>
      </c>
      <c r="F903" s="8">
        <v>1.143931437868867</v>
      </c>
      <c r="G903" s="8">
        <f t="shared" si="112"/>
        <v>1.0214176803800374</v>
      </c>
      <c r="H903" s="8">
        <f t="shared" si="113"/>
        <v>1.0708273622707181</v>
      </c>
      <c r="I903" s="8">
        <f t="shared" si="114"/>
        <v>1.0483736309247131</v>
      </c>
      <c r="J903" s="22">
        <f t="shared" si="115"/>
        <v>6.8152972044348656E-2</v>
      </c>
      <c r="K903" s="8"/>
      <c r="L903" s="8">
        <v>0.64907677640352557</v>
      </c>
      <c r="M903" s="8">
        <v>0.78641060086584136</v>
      </c>
      <c r="N903" s="8">
        <v>0.83059612317610199</v>
      </c>
      <c r="O903" s="8">
        <v>0.92615165994172433</v>
      </c>
      <c r="P903" s="8">
        <f t="shared" si="116"/>
        <v>0.71774368863468352</v>
      </c>
      <c r="Q903" s="8">
        <f t="shared" si="117"/>
        <v>0.87837389155891321</v>
      </c>
      <c r="R903" s="8">
        <f t="shared" si="118"/>
        <v>1.2237988372002071</v>
      </c>
      <c r="S903" s="22">
        <f t="shared" si="119"/>
        <v>0.29136643350062758</v>
      </c>
      <c r="T903" s="25"/>
      <c r="U903" s="1" t="s">
        <v>2562</v>
      </c>
    </row>
    <row r="904" spans="1:21">
      <c r="A904" s="6" t="s">
        <v>2563</v>
      </c>
      <c r="B904" s="6" t="s">
        <v>2564</v>
      </c>
      <c r="C904" s="7">
        <v>1.0980477381796536</v>
      </c>
      <c r="D904" s="7">
        <v>0.92466507804538289</v>
      </c>
      <c r="E904" s="7">
        <v>0.98044053318300406</v>
      </c>
      <c r="F904" s="8">
        <v>0.99039396419983172</v>
      </c>
      <c r="G904" s="8">
        <f t="shared" si="112"/>
        <v>1.0113564081125181</v>
      </c>
      <c r="H904" s="8">
        <f t="shared" si="113"/>
        <v>0.98541724869141789</v>
      </c>
      <c r="I904" s="8">
        <f t="shared" si="114"/>
        <v>0.97435210850197684</v>
      </c>
      <c r="J904" s="22">
        <f t="shared" si="115"/>
        <v>-3.7484871459107665E-2</v>
      </c>
      <c r="K904" s="8"/>
      <c r="L904" s="8">
        <v>0.83960490946986321</v>
      </c>
      <c r="M904" s="8">
        <v>1.1289694273704947</v>
      </c>
      <c r="N904" s="8">
        <v>0.87635564370709729</v>
      </c>
      <c r="O904" s="8">
        <v>0.93606398581569528</v>
      </c>
      <c r="P904" s="8">
        <f t="shared" si="116"/>
        <v>0.98428716842017894</v>
      </c>
      <c r="Q904" s="8">
        <f t="shared" si="117"/>
        <v>0.90620981476139628</v>
      </c>
      <c r="R904" s="8">
        <f t="shared" si="118"/>
        <v>0.92067624554722172</v>
      </c>
      <c r="S904" s="22">
        <f t="shared" si="119"/>
        <v>-0.11923417098951093</v>
      </c>
      <c r="T904" s="25"/>
      <c r="U904" s="1" t="s">
        <v>2565</v>
      </c>
    </row>
    <row r="905" spans="1:21">
      <c r="A905" s="6" t="s">
        <v>2566</v>
      </c>
      <c r="B905" s="6" t="s">
        <v>2567</v>
      </c>
      <c r="C905" s="7">
        <v>2.4142105127254558E-2</v>
      </c>
      <c r="D905" s="7">
        <v>2.0040600388042278E-2</v>
      </c>
      <c r="E905" s="7">
        <v>3.9449763400093971E-2</v>
      </c>
      <c r="F905" s="8">
        <v>4.3331918130031115E-2</v>
      </c>
      <c r="G905" s="8">
        <f t="shared" si="112"/>
        <v>2.2091352757648418E-2</v>
      </c>
      <c r="H905" s="8">
        <f t="shared" si="113"/>
        <v>4.1390840765062539E-2</v>
      </c>
      <c r="I905" s="8">
        <f t="shared" si="114"/>
        <v>1.8736218292803413</v>
      </c>
      <c r="J905" s="22">
        <f t="shared" si="115"/>
        <v>0.90582978966815864</v>
      </c>
      <c r="K905" s="8"/>
      <c r="L905" s="8">
        <v>3.5973023893828802E-2</v>
      </c>
      <c r="M905" s="8">
        <v>4.1316318300164412E-2</v>
      </c>
      <c r="N905" s="8">
        <v>4.3934754374851274E-2</v>
      </c>
      <c r="O905" s="8">
        <v>4.9211193606633244E-2</v>
      </c>
      <c r="P905" s="8">
        <f t="shared" si="116"/>
        <v>3.8644671096996611E-2</v>
      </c>
      <c r="Q905" s="8">
        <f t="shared" si="117"/>
        <v>4.6572973990742256E-2</v>
      </c>
      <c r="R905" s="8">
        <f t="shared" si="118"/>
        <v>1.2051590211195204</v>
      </c>
      <c r="S905" s="22">
        <f t="shared" si="119"/>
        <v>0.26922352308918623</v>
      </c>
      <c r="T905" s="25"/>
      <c r="U905" s="1" t="s">
        <v>2568</v>
      </c>
    </row>
    <row r="906" spans="1:21">
      <c r="A906" s="6" t="s">
        <v>2569</v>
      </c>
      <c r="B906" s="6" t="s">
        <v>2570</v>
      </c>
      <c r="C906" s="7">
        <v>1.0514749000959618</v>
      </c>
      <c r="D906" s="7">
        <v>0.95951536529939518</v>
      </c>
      <c r="E906" s="7">
        <v>0.94508363277396334</v>
      </c>
      <c r="F906" s="8">
        <v>1.0537983738072063</v>
      </c>
      <c r="G906" s="8">
        <f t="shared" si="112"/>
        <v>1.0054951326976784</v>
      </c>
      <c r="H906" s="8">
        <f t="shared" si="113"/>
        <v>0.99944100329058483</v>
      </c>
      <c r="I906" s="8">
        <f t="shared" si="114"/>
        <v>0.99397895702304317</v>
      </c>
      <c r="J906" s="22">
        <f t="shared" si="115"/>
        <v>-8.7127852726896146E-3</v>
      </c>
      <c r="K906" s="8"/>
      <c r="L906" s="8">
        <v>0.78453220187996242</v>
      </c>
      <c r="M906" s="8">
        <v>0.79114776597503267</v>
      </c>
      <c r="N906" s="8">
        <v>0.83377776673040438</v>
      </c>
      <c r="O906" s="8">
        <v>0.99769061789073643</v>
      </c>
      <c r="P906" s="8">
        <f t="shared" si="116"/>
        <v>0.78783998392749754</v>
      </c>
      <c r="Q906" s="8">
        <f t="shared" si="117"/>
        <v>0.91573419231057041</v>
      </c>
      <c r="R906" s="8">
        <f t="shared" si="118"/>
        <v>1.1623352596875085</v>
      </c>
      <c r="S906" s="22">
        <f t="shared" si="119"/>
        <v>0.21702625439373022</v>
      </c>
      <c r="T906" s="25"/>
      <c r="U906" s="1" t="s">
        <v>2571</v>
      </c>
    </row>
    <row r="907" spans="1:21">
      <c r="A907" s="6" t="s">
        <v>2572</v>
      </c>
      <c r="B907" s="15" t="s">
        <v>2573</v>
      </c>
      <c r="C907" s="16">
        <v>1.0259349566307114</v>
      </c>
      <c r="D907" s="16">
        <v>1.077460331659831</v>
      </c>
      <c r="E907" s="16">
        <v>0.97458901812548249</v>
      </c>
      <c r="F907" s="8">
        <v>0.92274030769199811</v>
      </c>
      <c r="G907" s="8">
        <f t="shared" si="112"/>
        <v>1.0516976441452712</v>
      </c>
      <c r="H907" s="8">
        <f t="shared" si="113"/>
        <v>0.9486646629087403</v>
      </c>
      <c r="I907" s="8">
        <f t="shared" si="114"/>
        <v>0.90203174666206731</v>
      </c>
      <c r="J907" s="22">
        <f t="shared" si="115"/>
        <v>-0.14874988541341358</v>
      </c>
      <c r="K907" s="8"/>
      <c r="L907" s="8">
        <v>0.79062535250693011</v>
      </c>
      <c r="M907" s="8">
        <v>0.84729347070396999</v>
      </c>
      <c r="N907" s="8">
        <v>0.90756382386473922</v>
      </c>
      <c r="O907" s="8">
        <v>0.82382441708113596</v>
      </c>
      <c r="P907" s="8">
        <f t="shared" si="116"/>
        <v>0.81895941160545005</v>
      </c>
      <c r="Q907" s="8">
        <f t="shared" si="117"/>
        <v>0.86569412047293759</v>
      </c>
      <c r="R907" s="8">
        <f t="shared" si="118"/>
        <v>1.0570659646927691</v>
      </c>
      <c r="S907" s="22">
        <f t="shared" si="119"/>
        <v>8.0065408854646747E-2</v>
      </c>
      <c r="T907" s="25"/>
      <c r="U907" s="1" t="s">
        <v>2574</v>
      </c>
    </row>
    <row r="908" spans="1:21">
      <c r="A908" s="6" t="s">
        <v>2575</v>
      </c>
      <c r="B908" s="6" t="s">
        <v>2576</v>
      </c>
      <c r="C908" s="7">
        <v>0.92338979743353367</v>
      </c>
      <c r="D908" s="7">
        <v>0.89980475707965801</v>
      </c>
      <c r="E908" s="7">
        <v>0.96577177617405319</v>
      </c>
      <c r="F908" s="8">
        <v>1.0324184217451062</v>
      </c>
      <c r="G908" s="8">
        <f t="shared" si="112"/>
        <v>0.91159727725659589</v>
      </c>
      <c r="H908" s="8">
        <f t="shared" si="113"/>
        <v>0.99909509895957971</v>
      </c>
      <c r="I908" s="8">
        <f t="shared" si="114"/>
        <v>1.0959829783238317</v>
      </c>
      <c r="J908" s="22">
        <f t="shared" si="115"/>
        <v>0.1322253920224431</v>
      </c>
      <c r="K908" s="8"/>
      <c r="L908" s="8">
        <v>0.98939486238282026</v>
      </c>
      <c r="M908" s="8">
        <v>1.0933377072013599</v>
      </c>
      <c r="N908" s="8">
        <v>1.316451809468387</v>
      </c>
      <c r="O908" s="8">
        <v>1.3544842871017997</v>
      </c>
      <c r="P908" s="8">
        <f t="shared" si="116"/>
        <v>1.0413662847920901</v>
      </c>
      <c r="Q908" s="8">
        <f t="shared" si="117"/>
        <v>1.3354680482850934</v>
      </c>
      <c r="R908" s="8">
        <f t="shared" si="118"/>
        <v>1.2824191331983836</v>
      </c>
      <c r="S908" s="22">
        <f t="shared" si="119"/>
        <v>0.35886785521871967</v>
      </c>
      <c r="T908" s="25"/>
      <c r="U908" s="1" t="s">
        <v>2577</v>
      </c>
    </row>
    <row r="909" spans="1:21">
      <c r="A909" s="6" t="s">
        <v>2578</v>
      </c>
      <c r="B909" s="13" t="s">
        <v>2579</v>
      </c>
      <c r="C909" s="14">
        <v>0.96034759797736657</v>
      </c>
      <c r="D909" s="14">
        <v>0.9687570952462522</v>
      </c>
      <c r="E909" s="14">
        <v>1.0389716715042783</v>
      </c>
      <c r="F909" s="8">
        <v>1.0966251367113087</v>
      </c>
      <c r="G909" s="8">
        <f t="shared" si="112"/>
        <v>0.96455234661180933</v>
      </c>
      <c r="H909" s="8">
        <f t="shared" si="113"/>
        <v>1.0677984041077935</v>
      </c>
      <c r="I909" s="8">
        <f t="shared" si="114"/>
        <v>1.1070403880708573</v>
      </c>
      <c r="J909" s="22">
        <f t="shared" si="115"/>
        <v>0.14670785681380705</v>
      </c>
      <c r="K909" s="8"/>
      <c r="L909" s="8">
        <v>0.96951400552944467</v>
      </c>
      <c r="M909" s="8">
        <v>1.1820668693335175</v>
      </c>
      <c r="N909" s="8">
        <v>0.8826721419399034</v>
      </c>
      <c r="O909" s="8">
        <v>1.0001937304851736</v>
      </c>
      <c r="P909" s="8">
        <f t="shared" si="116"/>
        <v>1.0757904374314811</v>
      </c>
      <c r="Q909" s="8">
        <f t="shared" si="117"/>
        <v>0.94143293621253843</v>
      </c>
      <c r="R909" s="8">
        <f t="shared" si="118"/>
        <v>0.87510810977300579</v>
      </c>
      <c r="S909" s="22">
        <f t="shared" si="119"/>
        <v>-0.19246683817227597</v>
      </c>
      <c r="T909" s="25"/>
      <c r="U909" s="1" t="s">
        <v>2580</v>
      </c>
    </row>
    <row r="910" spans="1:21">
      <c r="A910" s="6" t="s">
        <v>2581</v>
      </c>
      <c r="B910" s="6" t="s">
        <v>2582</v>
      </c>
      <c r="C910" s="7">
        <v>1.0170776258535044</v>
      </c>
      <c r="D910" s="7">
        <v>0.99238383737880798</v>
      </c>
      <c r="E910" s="7">
        <v>0.98141578569259103</v>
      </c>
      <c r="F910" s="8">
        <v>0.99543065895247373</v>
      </c>
      <c r="G910" s="8">
        <f t="shared" si="112"/>
        <v>1.0047307316161562</v>
      </c>
      <c r="H910" s="8">
        <f t="shared" si="113"/>
        <v>0.98842322232253244</v>
      </c>
      <c r="I910" s="8">
        <f t="shared" si="114"/>
        <v>0.98376927391541769</v>
      </c>
      <c r="J910" s="22">
        <f t="shared" si="115"/>
        <v>-2.3608098844316004E-2</v>
      </c>
      <c r="K910" s="8"/>
      <c r="L910" s="8">
        <v>0.87893697794009729</v>
      </c>
      <c r="M910" s="8">
        <v>0.81174413601499495</v>
      </c>
      <c r="N910" s="8">
        <v>0.78624026891906362</v>
      </c>
      <c r="O910" s="8">
        <v>0.93100769837493236</v>
      </c>
      <c r="P910" s="8">
        <f t="shared" si="116"/>
        <v>0.84534055697754606</v>
      </c>
      <c r="Q910" s="8">
        <f t="shared" si="117"/>
        <v>0.85862398364699799</v>
      </c>
      <c r="R910" s="8">
        <f t="shared" si="118"/>
        <v>1.0157136985322766</v>
      </c>
      <c r="S910" s="22">
        <f t="shared" si="119"/>
        <v>2.2493803768278746E-2</v>
      </c>
      <c r="T910" s="25"/>
      <c r="U910" s="1" t="s">
        <v>2583</v>
      </c>
    </row>
    <row r="911" spans="1:21">
      <c r="A911" s="6" t="s">
        <v>2584</v>
      </c>
      <c r="B911" s="6" t="s">
        <v>2585</v>
      </c>
      <c r="C911" s="7">
        <v>1.0204089228272328</v>
      </c>
      <c r="D911" s="7">
        <v>1.0243759966259147</v>
      </c>
      <c r="E911" s="7">
        <v>1.1346183623010613</v>
      </c>
      <c r="F911" s="8">
        <v>1.0709142214622023</v>
      </c>
      <c r="G911" s="8">
        <f t="shared" si="112"/>
        <v>1.0223924597265737</v>
      </c>
      <c r="H911" s="8">
        <f t="shared" si="113"/>
        <v>1.1027662918816317</v>
      </c>
      <c r="I911" s="8">
        <f t="shared" si="114"/>
        <v>1.078613482905139</v>
      </c>
      <c r="J911" s="22">
        <f t="shared" si="115"/>
        <v>0.10917797307830422</v>
      </c>
      <c r="K911" s="8"/>
      <c r="L911" s="8">
        <v>0.68040182001139826</v>
      </c>
      <c r="M911" s="8">
        <v>0.65171034080448775</v>
      </c>
      <c r="N911" s="8">
        <v>0.78432192501132258</v>
      </c>
      <c r="O911" s="8">
        <v>0.72900651200385891</v>
      </c>
      <c r="P911" s="8">
        <f t="shared" si="116"/>
        <v>0.66605608040794295</v>
      </c>
      <c r="Q911" s="8">
        <f t="shared" si="117"/>
        <v>0.75666421850759069</v>
      </c>
      <c r="R911" s="8">
        <f t="shared" si="118"/>
        <v>1.1360368004510257</v>
      </c>
      <c r="S911" s="22">
        <f t="shared" si="119"/>
        <v>0.18400956984987255</v>
      </c>
      <c r="T911" s="25"/>
      <c r="U911" s="1" t="s">
        <v>2586</v>
      </c>
    </row>
    <row r="912" spans="1:21">
      <c r="A912" s="6" t="s">
        <v>2587</v>
      </c>
      <c r="B912" s="6" t="s">
        <v>2588</v>
      </c>
      <c r="C912" s="7">
        <v>0.28986856039831588</v>
      </c>
      <c r="D912" s="7">
        <v>0.30178191684233591</v>
      </c>
      <c r="E912" s="7">
        <v>0.48370126313602552</v>
      </c>
      <c r="F912" s="8">
        <v>0.48711078410839537</v>
      </c>
      <c r="G912" s="8">
        <f t="shared" si="112"/>
        <v>0.29582523862032589</v>
      </c>
      <c r="H912" s="8">
        <f t="shared" si="113"/>
        <v>0.48540602362221041</v>
      </c>
      <c r="I912" s="8">
        <f t="shared" si="114"/>
        <v>1.6408539916541744</v>
      </c>
      <c r="J912" s="22">
        <f t="shared" si="115"/>
        <v>0.71444686902339716</v>
      </c>
      <c r="K912" s="8"/>
      <c r="L912" s="8">
        <v>1.242768375954229</v>
      </c>
      <c r="M912" s="8">
        <v>1.3087345450792858</v>
      </c>
      <c r="N912" s="8">
        <v>1.5221824963546713</v>
      </c>
      <c r="O912" s="8">
        <v>1.6266727506208891</v>
      </c>
      <c r="P912" s="8">
        <f t="shared" si="116"/>
        <v>1.2757514605167573</v>
      </c>
      <c r="Q912" s="8">
        <f t="shared" si="117"/>
        <v>1.5744276234877801</v>
      </c>
      <c r="R912" s="8">
        <f t="shared" si="118"/>
        <v>1.2341178295418456</v>
      </c>
      <c r="S912" s="22">
        <f t="shared" si="119"/>
        <v>0.30348014487654262</v>
      </c>
      <c r="T912" s="25"/>
      <c r="U912" s="1" t="s">
        <v>2589</v>
      </c>
    </row>
    <row r="913" spans="1:21">
      <c r="A913" s="6" t="s">
        <v>2590</v>
      </c>
      <c r="B913" s="6" t="s">
        <v>2591</v>
      </c>
      <c r="C913" s="7">
        <v>1.1029532362723398</v>
      </c>
      <c r="D913" s="7">
        <v>0.97916499534687018</v>
      </c>
      <c r="E913" s="7">
        <v>0.9486568940181056</v>
      </c>
      <c r="F913" s="8">
        <v>0.9461334519044905</v>
      </c>
      <c r="G913" s="8">
        <f t="shared" si="112"/>
        <v>1.041059115809605</v>
      </c>
      <c r="H913" s="8">
        <f t="shared" si="113"/>
        <v>0.94739517296129805</v>
      </c>
      <c r="I913" s="8">
        <f t="shared" si="114"/>
        <v>0.91003014005072436</v>
      </c>
      <c r="J913" s="22">
        <f t="shared" si="115"/>
        <v>-0.13601376695885162</v>
      </c>
      <c r="K913" s="8"/>
      <c r="L913" s="8">
        <v>1.1298107374081345</v>
      </c>
      <c r="M913" s="8">
        <v>1.0287474907560379</v>
      </c>
      <c r="N913" s="8">
        <v>0.9181381097952146</v>
      </c>
      <c r="O913" s="8">
        <v>0.97290980320580922</v>
      </c>
      <c r="P913" s="8">
        <f t="shared" si="116"/>
        <v>1.0792791140820861</v>
      </c>
      <c r="Q913" s="8">
        <f t="shared" si="117"/>
        <v>0.94552395650051191</v>
      </c>
      <c r="R913" s="8">
        <f t="shared" si="118"/>
        <v>0.87606991014985836</v>
      </c>
      <c r="S913" s="22">
        <f t="shared" si="119"/>
        <v>-0.19088209377993257</v>
      </c>
      <c r="T913" s="25"/>
      <c r="U913" s="1" t="s">
        <v>2592</v>
      </c>
    </row>
    <row r="914" spans="1:21">
      <c r="A914" s="6" t="s">
        <v>2593</v>
      </c>
      <c r="B914" s="6" t="s">
        <v>2594</v>
      </c>
      <c r="C914" s="7">
        <v>1.1530729258398247</v>
      </c>
      <c r="D914" s="7">
        <v>1.0084136213420654</v>
      </c>
      <c r="E914" s="7">
        <v>1.0467736915809736</v>
      </c>
      <c r="F914" s="8">
        <v>1.1463680689586409</v>
      </c>
      <c r="G914" s="8">
        <f t="shared" si="112"/>
        <v>1.080743273590945</v>
      </c>
      <c r="H914" s="8">
        <f t="shared" si="113"/>
        <v>1.0965708802698071</v>
      </c>
      <c r="I914" s="8">
        <f t="shared" si="114"/>
        <v>1.0146451123644493</v>
      </c>
      <c r="J914" s="22">
        <f t="shared" si="115"/>
        <v>2.0975210996246389E-2</v>
      </c>
      <c r="K914" s="8"/>
      <c r="L914" s="8">
        <v>0.79398439708333546</v>
      </c>
      <c r="M914" s="8">
        <v>1.1971846049428498</v>
      </c>
      <c r="N914" s="8">
        <v>0.83705298803630379</v>
      </c>
      <c r="O914" s="8">
        <v>0.99233395693864113</v>
      </c>
      <c r="P914" s="8">
        <f t="shared" si="116"/>
        <v>0.99558450101309259</v>
      </c>
      <c r="Q914" s="8">
        <f t="shared" si="117"/>
        <v>0.91469347248747246</v>
      </c>
      <c r="R914" s="8">
        <f t="shared" si="118"/>
        <v>0.91875021312273686</v>
      </c>
      <c r="S914" s="22">
        <f t="shared" si="119"/>
        <v>-0.12225541538859806</v>
      </c>
      <c r="T914" s="25"/>
      <c r="U914" s="1" t="s">
        <v>2595</v>
      </c>
    </row>
    <row r="915" spans="1:21">
      <c r="A915" s="6" t="s">
        <v>2596</v>
      </c>
      <c r="B915" s="6" t="s">
        <v>80</v>
      </c>
      <c r="C915" s="7">
        <v>1.0443093456250208</v>
      </c>
      <c r="D915" s="7">
        <v>1.0410798673832538</v>
      </c>
      <c r="E915" s="7">
        <v>1.0387398491864255</v>
      </c>
      <c r="F915" s="8">
        <v>0.96070866592319804</v>
      </c>
      <c r="G915" s="8">
        <f t="shared" si="112"/>
        <v>1.0426946065041371</v>
      </c>
      <c r="H915" s="8">
        <f t="shared" si="113"/>
        <v>0.99972425755481176</v>
      </c>
      <c r="I915" s="8">
        <f t="shared" si="114"/>
        <v>0.95878913280908495</v>
      </c>
      <c r="J915" s="22">
        <f t="shared" si="115"/>
        <v>-6.071453772686098E-2</v>
      </c>
      <c r="K915" s="8"/>
      <c r="L915" s="8">
        <v>1.1256705196744259</v>
      </c>
      <c r="M915" s="8">
        <v>1.174734561599291</v>
      </c>
      <c r="N915" s="8">
        <v>0.98892967887844141</v>
      </c>
      <c r="O915" s="8">
        <v>1.0648741599254281</v>
      </c>
      <c r="P915" s="8">
        <f t="shared" si="116"/>
        <v>1.1502025406368586</v>
      </c>
      <c r="Q915" s="8">
        <f t="shared" si="117"/>
        <v>1.0269019194019346</v>
      </c>
      <c r="R915" s="8">
        <f t="shared" si="118"/>
        <v>0.89280094863409598</v>
      </c>
      <c r="S915" s="22">
        <f t="shared" si="119"/>
        <v>-0.16358953480249883</v>
      </c>
      <c r="T915" s="25"/>
      <c r="U915" s="1">
        <v>0</v>
      </c>
    </row>
    <row r="916" spans="1:21">
      <c r="A916" s="6" t="s">
        <v>2597</v>
      </c>
      <c r="B916" s="6" t="s">
        <v>80</v>
      </c>
      <c r="C916" s="7">
        <v>1.1152529072557329</v>
      </c>
      <c r="D916" s="7">
        <v>1.0371297187699362</v>
      </c>
      <c r="E916" s="7">
        <v>1.0359419936261351</v>
      </c>
      <c r="F916" s="8">
        <v>1.054444675346262</v>
      </c>
      <c r="G916" s="8">
        <f t="shared" si="112"/>
        <v>1.0761913130128344</v>
      </c>
      <c r="H916" s="8">
        <f t="shared" si="113"/>
        <v>1.0451933344861986</v>
      </c>
      <c r="I916" s="8">
        <f t="shared" si="114"/>
        <v>0.97119659102259803</v>
      </c>
      <c r="J916" s="22">
        <f t="shared" si="115"/>
        <v>-4.2164737259401369E-2</v>
      </c>
      <c r="K916" s="8"/>
      <c r="L916" s="8">
        <v>1.5530503540352019</v>
      </c>
      <c r="M916" s="8">
        <v>1.6793456275783678</v>
      </c>
      <c r="N916" s="8">
        <v>1.2240905686420223</v>
      </c>
      <c r="O916" s="8">
        <v>1.1634967961462495</v>
      </c>
      <c r="P916" s="8">
        <f t="shared" si="116"/>
        <v>1.6161979908067847</v>
      </c>
      <c r="Q916" s="8">
        <f t="shared" si="117"/>
        <v>1.1937936823941357</v>
      </c>
      <c r="R916" s="8">
        <f t="shared" si="118"/>
        <v>0.73864321647758624</v>
      </c>
      <c r="S916" s="22">
        <f t="shared" si="119"/>
        <v>-0.43705042078963724</v>
      </c>
      <c r="T916" s="25"/>
      <c r="U916" s="1">
        <v>0</v>
      </c>
    </row>
    <row r="917" spans="1:21">
      <c r="A917" s="6" t="s">
        <v>2598</v>
      </c>
      <c r="B917" s="6" t="s">
        <v>2599</v>
      </c>
      <c r="C917" s="7">
        <v>0.63574210168436995</v>
      </c>
      <c r="D917" s="7">
        <v>0.63711987429404771</v>
      </c>
      <c r="E917" s="7">
        <v>0.67398741672788709</v>
      </c>
      <c r="F917" s="8">
        <v>0.67656628009162589</v>
      </c>
      <c r="G917" s="8">
        <f t="shared" si="112"/>
        <v>0.63643098798920883</v>
      </c>
      <c r="H917" s="8">
        <f t="shared" si="113"/>
        <v>0.67527684840975644</v>
      </c>
      <c r="I917" s="8">
        <f t="shared" si="114"/>
        <v>1.0610370348924718</v>
      </c>
      <c r="J917" s="22">
        <f t="shared" si="115"/>
        <v>8.5475013578997519E-2</v>
      </c>
      <c r="K917" s="8"/>
      <c r="L917" s="8">
        <v>0.79890578797434786</v>
      </c>
      <c r="M917" s="8">
        <v>0.85812716134499012</v>
      </c>
      <c r="N917" s="8">
        <v>0.69345792821051189</v>
      </c>
      <c r="O917" s="8">
        <v>0.79624011629043923</v>
      </c>
      <c r="P917" s="8">
        <f t="shared" si="116"/>
        <v>0.82851647465966893</v>
      </c>
      <c r="Q917" s="8">
        <f t="shared" si="117"/>
        <v>0.74484902225047556</v>
      </c>
      <c r="R917" s="8">
        <f t="shared" si="118"/>
        <v>0.89901534252102644</v>
      </c>
      <c r="S917" s="22">
        <f t="shared" si="119"/>
        <v>-0.15358235802403009</v>
      </c>
      <c r="T917" s="25"/>
      <c r="U917" s="1" t="s">
        <v>2600</v>
      </c>
    </row>
    <row r="918" spans="1:21">
      <c r="A918" s="6" t="s">
        <v>2601</v>
      </c>
      <c r="B918" s="6" t="s">
        <v>2602</v>
      </c>
      <c r="C918" s="7">
        <v>0.96440394193949452</v>
      </c>
      <c r="D918" s="7">
        <v>0.82229825749616992</v>
      </c>
      <c r="E918" s="7">
        <v>0.88303519031975275</v>
      </c>
      <c r="F918" s="8">
        <v>0.93400229772887911</v>
      </c>
      <c r="G918" s="8">
        <f t="shared" si="112"/>
        <v>0.89335109971783222</v>
      </c>
      <c r="H918" s="8">
        <f t="shared" si="113"/>
        <v>0.90851874402431587</v>
      </c>
      <c r="I918" s="8">
        <f t="shared" si="114"/>
        <v>1.0169783686517813</v>
      </c>
      <c r="J918" s="22">
        <f t="shared" si="115"/>
        <v>2.4288993088534931E-2</v>
      </c>
      <c r="K918" s="8"/>
      <c r="L918" s="8">
        <v>0.66075531510521379</v>
      </c>
      <c r="M918" s="8">
        <v>0.89338814685340562</v>
      </c>
      <c r="N918" s="8">
        <v>0.7171798882403837</v>
      </c>
      <c r="O918" s="8">
        <v>0.93396137123636813</v>
      </c>
      <c r="P918" s="8">
        <f t="shared" si="116"/>
        <v>0.7770717309793097</v>
      </c>
      <c r="Q918" s="8">
        <f t="shared" si="117"/>
        <v>0.82557062973837592</v>
      </c>
      <c r="R918" s="8">
        <f t="shared" si="118"/>
        <v>1.0624123833432277</v>
      </c>
      <c r="S918" s="22">
        <f t="shared" si="119"/>
        <v>8.7343867764856337E-2</v>
      </c>
      <c r="T918" s="25"/>
      <c r="U918" s="1" t="s">
        <v>2603</v>
      </c>
    </row>
    <row r="919" spans="1:21">
      <c r="A919" s="6" t="s">
        <v>2604</v>
      </c>
      <c r="B919" s="6" t="s">
        <v>2605</v>
      </c>
      <c r="C919" s="7">
        <v>1.0248375882158363</v>
      </c>
      <c r="D919" s="7">
        <v>0.98236016675081639</v>
      </c>
      <c r="E919" s="7">
        <v>1.0435681484961838</v>
      </c>
      <c r="F919" s="8">
        <v>0.94005673168670112</v>
      </c>
      <c r="G919" s="8">
        <f t="shared" si="112"/>
        <v>1.0035988774833262</v>
      </c>
      <c r="H919" s="8">
        <f t="shared" si="113"/>
        <v>0.99181244009144254</v>
      </c>
      <c r="I919" s="8">
        <f t="shared" si="114"/>
        <v>0.98825582844269422</v>
      </c>
      <c r="J919" s="22">
        <f t="shared" si="115"/>
        <v>-1.70435362256506E-2</v>
      </c>
      <c r="K919" s="8"/>
      <c r="L919" s="8">
        <v>0.24392131836803571</v>
      </c>
      <c r="M919" s="8">
        <v>0.23665229175916708</v>
      </c>
      <c r="N919" s="8">
        <v>0.31900655519460702</v>
      </c>
      <c r="O919" s="8">
        <v>0.26928485290954246</v>
      </c>
      <c r="P919" s="8">
        <f t="shared" si="116"/>
        <v>0.24028680506360139</v>
      </c>
      <c r="Q919" s="8">
        <f t="shared" si="117"/>
        <v>0.29414570405207474</v>
      </c>
      <c r="R919" s="8">
        <f t="shared" si="118"/>
        <v>1.2241442220442253</v>
      </c>
      <c r="S919" s="22">
        <f t="shared" si="119"/>
        <v>0.2917735385622327</v>
      </c>
      <c r="T919" s="25"/>
      <c r="U919" s="1" t="s">
        <v>2606</v>
      </c>
    </row>
    <row r="920" spans="1:21">
      <c r="A920" s="6" t="s">
        <v>2607</v>
      </c>
      <c r="B920" s="6" t="s">
        <v>2608</v>
      </c>
      <c r="C920" s="7">
        <v>0.97549520127555467</v>
      </c>
      <c r="D920" s="7">
        <v>0.96299365315685559</v>
      </c>
      <c r="E920" s="7">
        <v>0.82007544634019047</v>
      </c>
      <c r="F920" s="8">
        <v>0.86255254827325778</v>
      </c>
      <c r="G920" s="8">
        <f t="shared" si="112"/>
        <v>0.96924442721620507</v>
      </c>
      <c r="H920" s="8">
        <f t="shared" si="113"/>
        <v>0.84131399730672407</v>
      </c>
      <c r="I920" s="8">
        <f t="shared" si="114"/>
        <v>0.86801014654588859</v>
      </c>
      <c r="J920" s="22">
        <f t="shared" si="115"/>
        <v>-0.20421618783295548</v>
      </c>
      <c r="K920" s="8"/>
      <c r="L920" s="8">
        <v>0.89034210603672925</v>
      </c>
      <c r="M920" s="8">
        <v>1.1618000412141947</v>
      </c>
      <c r="N920" s="8">
        <v>0.78806503507520764</v>
      </c>
      <c r="O920" s="8">
        <v>1.1311565814261222</v>
      </c>
      <c r="P920" s="8">
        <f t="shared" si="116"/>
        <v>1.0260710736254619</v>
      </c>
      <c r="Q920" s="8">
        <f t="shared" si="117"/>
        <v>0.95961080825066492</v>
      </c>
      <c r="R920" s="8">
        <f t="shared" si="118"/>
        <v>0.93522839978329175</v>
      </c>
      <c r="S920" s="22">
        <f t="shared" si="119"/>
        <v>-9.6609354491257834E-2</v>
      </c>
      <c r="T920" s="25"/>
      <c r="U920" s="1" t="s">
        <v>2609</v>
      </c>
    </row>
    <row r="921" spans="1:21">
      <c r="A921" s="6" t="s">
        <v>2610</v>
      </c>
      <c r="B921" s="6" t="s">
        <v>2611</v>
      </c>
      <c r="C921" s="7">
        <v>1.030422409612969</v>
      </c>
      <c r="D921" s="7">
        <v>0.97816060602368882</v>
      </c>
      <c r="E921" s="7">
        <v>0.82566316358774172</v>
      </c>
      <c r="F921" s="8">
        <v>0.87405968716978077</v>
      </c>
      <c r="G921" s="8">
        <f t="shared" si="112"/>
        <v>1.004291507818329</v>
      </c>
      <c r="H921" s="8">
        <f t="shared" si="113"/>
        <v>0.8498614253787613</v>
      </c>
      <c r="I921" s="8">
        <f t="shared" si="114"/>
        <v>0.84622982347521425</v>
      </c>
      <c r="J921" s="22">
        <f t="shared" si="115"/>
        <v>-0.24087856374095523</v>
      </c>
      <c r="K921" s="8"/>
      <c r="L921" s="8">
        <v>0.85749377477211464</v>
      </c>
      <c r="M921" s="8">
        <v>0.73286003876193928</v>
      </c>
      <c r="N921" s="8">
        <v>1.1670081401677748</v>
      </c>
      <c r="O921" s="8">
        <v>0.62853157246315405</v>
      </c>
      <c r="P921" s="8">
        <f t="shared" si="116"/>
        <v>0.7951769067670269</v>
      </c>
      <c r="Q921" s="8">
        <f t="shared" si="117"/>
        <v>0.89776985631546435</v>
      </c>
      <c r="R921" s="8">
        <f t="shared" si="118"/>
        <v>1.1290190254210883</v>
      </c>
      <c r="S921" s="22">
        <f t="shared" si="119"/>
        <v>0.17506979758069915</v>
      </c>
      <c r="T921" s="25"/>
      <c r="U921" s="1" t="s">
        <v>2612</v>
      </c>
    </row>
    <row r="922" spans="1:21">
      <c r="A922" s="6" t="s">
        <v>2613</v>
      </c>
      <c r="B922" s="6" t="s">
        <v>2614</v>
      </c>
      <c r="C922" s="7">
        <v>1.0220745713140968</v>
      </c>
      <c r="D922" s="7">
        <v>0.99544419142393781</v>
      </c>
      <c r="E922" s="7">
        <v>0.98384592309352892</v>
      </c>
      <c r="F922" s="8">
        <v>0.90792737356697117</v>
      </c>
      <c r="G922" s="8">
        <f t="shared" si="112"/>
        <v>1.0087593813690172</v>
      </c>
      <c r="H922" s="8">
        <f t="shared" si="113"/>
        <v>0.94588664833025005</v>
      </c>
      <c r="I922" s="8">
        <f t="shared" si="114"/>
        <v>0.93767321107493373</v>
      </c>
      <c r="J922" s="22">
        <f t="shared" si="115"/>
        <v>-9.284287886939234E-2</v>
      </c>
      <c r="K922" s="8"/>
      <c r="L922" s="8">
        <v>1.0674731194553109</v>
      </c>
      <c r="M922" s="8">
        <v>0.97618555441405419</v>
      </c>
      <c r="N922" s="8">
        <v>1.0061011962965143</v>
      </c>
      <c r="O922" s="8">
        <v>1.0432472671094917</v>
      </c>
      <c r="P922" s="8">
        <f t="shared" si="116"/>
        <v>1.0218293369346825</v>
      </c>
      <c r="Q922" s="8">
        <f t="shared" si="117"/>
        <v>1.0246742317030031</v>
      </c>
      <c r="R922" s="8">
        <f t="shared" si="118"/>
        <v>1.0027841192902671</v>
      </c>
      <c r="S922" s="22">
        <f t="shared" si="119"/>
        <v>4.0110540541417918E-3</v>
      </c>
      <c r="T922" s="25"/>
      <c r="U922" s="1" t="s">
        <v>2615</v>
      </c>
    </row>
    <row r="923" spans="1:21">
      <c r="A923" s="6" t="s">
        <v>2616</v>
      </c>
      <c r="B923" s="6" t="s">
        <v>2617</v>
      </c>
      <c r="C923" s="7">
        <v>1.0488098625169793</v>
      </c>
      <c r="D923" s="7">
        <v>1.0533752105072998</v>
      </c>
      <c r="E923" s="7">
        <v>0.92013475504920283</v>
      </c>
      <c r="F923" s="8">
        <v>0.9193305099169794</v>
      </c>
      <c r="G923" s="8">
        <f t="shared" si="112"/>
        <v>1.0510925365121395</v>
      </c>
      <c r="H923" s="8">
        <f t="shared" si="113"/>
        <v>0.91973263248309112</v>
      </c>
      <c r="I923" s="8">
        <f t="shared" si="114"/>
        <v>0.87502536697202471</v>
      </c>
      <c r="J923" s="22">
        <f t="shared" si="115"/>
        <v>-0.19260325362894803</v>
      </c>
      <c r="K923" s="8"/>
      <c r="L923" s="8">
        <v>0.89303715342942647</v>
      </c>
      <c r="M923" s="8">
        <v>0.69512748884872833</v>
      </c>
      <c r="N923" s="8">
        <v>0.79400722230162524</v>
      </c>
      <c r="O923" s="8">
        <v>1.1396171019953196</v>
      </c>
      <c r="P923" s="8">
        <f t="shared" si="116"/>
        <v>0.7940823211390774</v>
      </c>
      <c r="Q923" s="8">
        <f t="shared" si="117"/>
        <v>0.96681216214847243</v>
      </c>
      <c r="R923" s="8">
        <f t="shared" si="118"/>
        <v>1.2175213279671324</v>
      </c>
      <c r="S923" s="22">
        <f t="shared" si="119"/>
        <v>0.28394704498351692</v>
      </c>
      <c r="T923" s="25"/>
      <c r="U923" s="1" t="s">
        <v>2618</v>
      </c>
    </row>
    <row r="924" spans="1:21">
      <c r="A924" s="6" t="s">
        <v>2619</v>
      </c>
      <c r="B924" s="6" t="s">
        <v>2620</v>
      </c>
      <c r="C924" s="7">
        <v>0.9909106147226111</v>
      </c>
      <c r="D924" s="7">
        <v>0.93298330908434823</v>
      </c>
      <c r="E924" s="7">
        <v>0.84725461464015384</v>
      </c>
      <c r="F924" s="8">
        <v>0.88457880187441373</v>
      </c>
      <c r="G924" s="8">
        <f t="shared" si="112"/>
        <v>0.96194696190347972</v>
      </c>
      <c r="H924" s="8">
        <f t="shared" si="113"/>
        <v>0.86591670825728384</v>
      </c>
      <c r="I924" s="8">
        <f t="shared" si="114"/>
        <v>0.90017094762046623</v>
      </c>
      <c r="J924" s="22">
        <f t="shared" si="115"/>
        <v>-0.15172909137278487</v>
      </c>
      <c r="K924" s="8"/>
      <c r="L924" s="8">
        <v>0.83464445992098557</v>
      </c>
      <c r="M924" s="8">
        <v>1.3293309151192481</v>
      </c>
      <c r="N924" s="8">
        <v>0.72606977464211075</v>
      </c>
      <c r="O924" s="8">
        <v>0.91834194864708063</v>
      </c>
      <c r="P924" s="8">
        <f t="shared" si="116"/>
        <v>1.0819876875201169</v>
      </c>
      <c r="Q924" s="8">
        <f t="shared" si="117"/>
        <v>0.82220586164459575</v>
      </c>
      <c r="R924" s="8">
        <f t="shared" si="118"/>
        <v>0.75990315890661086</v>
      </c>
      <c r="S924" s="22">
        <f t="shared" si="119"/>
        <v>-0.39611251984058538</v>
      </c>
      <c r="T924" s="25"/>
      <c r="U924" s="1" t="s">
        <v>2621</v>
      </c>
    </row>
    <row r="925" spans="1:21">
      <c r="A925" s="6" t="s">
        <v>2622</v>
      </c>
      <c r="B925" s="6" t="s">
        <v>2623</v>
      </c>
      <c r="C925" s="7">
        <v>1.1482392792504934</v>
      </c>
      <c r="D925" s="7">
        <v>1.1648759071163168</v>
      </c>
      <c r="E925" s="7">
        <v>1.040882207158305</v>
      </c>
      <c r="F925" s="8">
        <v>1.1241412390177778</v>
      </c>
      <c r="G925" s="8">
        <f t="shared" si="112"/>
        <v>1.1565575931834051</v>
      </c>
      <c r="H925" s="8">
        <f t="shared" si="113"/>
        <v>1.0825117230880414</v>
      </c>
      <c r="I925" s="8">
        <f t="shared" si="114"/>
        <v>0.93597736028730427</v>
      </c>
      <c r="J925" s="22">
        <f t="shared" si="115"/>
        <v>-9.5454461014849029E-2</v>
      </c>
      <c r="K925" s="8"/>
      <c r="L925" s="8">
        <v>0.40925661711133354</v>
      </c>
      <c r="M925" s="8">
        <v>0.45097811839501495</v>
      </c>
      <c r="N925" s="8">
        <v>0.4952602503277963</v>
      </c>
      <c r="O925" s="8">
        <v>0.64665410764687858</v>
      </c>
      <c r="P925" s="8">
        <f t="shared" si="116"/>
        <v>0.43011736775317422</v>
      </c>
      <c r="Q925" s="8">
        <f t="shared" si="117"/>
        <v>0.57095717898733744</v>
      </c>
      <c r="R925" s="8">
        <f t="shared" si="118"/>
        <v>1.3274450691676909</v>
      </c>
      <c r="S925" s="22">
        <f t="shared" si="119"/>
        <v>0.4086521622881662</v>
      </c>
      <c r="T925" s="25"/>
      <c r="U925" s="1" t="s">
        <v>2624</v>
      </c>
    </row>
    <row r="926" spans="1:21">
      <c r="A926" s="6" t="s">
        <v>2625</v>
      </c>
      <c r="B926" s="6" t="s">
        <v>2626</v>
      </c>
      <c r="C926" s="7">
        <v>1.0424869302217459</v>
      </c>
      <c r="D926" s="7">
        <v>0.9680290815086442</v>
      </c>
      <c r="E926" s="7">
        <v>0.87943794745652237</v>
      </c>
      <c r="F926" s="8">
        <v>0.91465782407713891</v>
      </c>
      <c r="G926" s="8">
        <f t="shared" si="112"/>
        <v>1.005258005865195</v>
      </c>
      <c r="H926" s="8">
        <f t="shared" si="113"/>
        <v>0.8970478857668307</v>
      </c>
      <c r="I926" s="8">
        <f t="shared" si="114"/>
        <v>0.89235587335091038</v>
      </c>
      <c r="J926" s="22">
        <f t="shared" si="115"/>
        <v>-0.16430892024726296</v>
      </c>
      <c r="K926" s="8"/>
      <c r="L926" s="8">
        <v>0.90412981226313704</v>
      </c>
      <c r="M926" s="8">
        <v>0.74880162917287008</v>
      </c>
      <c r="N926" s="8">
        <v>0.70983403474000917</v>
      </c>
      <c r="O926" s="8">
        <v>0.82422491509624596</v>
      </c>
      <c r="P926" s="8">
        <f t="shared" si="116"/>
        <v>0.8264657207180035</v>
      </c>
      <c r="Q926" s="8">
        <f t="shared" si="117"/>
        <v>0.76702947491812756</v>
      </c>
      <c r="R926" s="8">
        <f t="shared" si="118"/>
        <v>0.92808383419914875</v>
      </c>
      <c r="S926" s="22">
        <f t="shared" si="119"/>
        <v>-0.10767296440455847</v>
      </c>
      <c r="T926" s="25"/>
      <c r="U926" s="1" t="s">
        <v>2627</v>
      </c>
    </row>
    <row r="927" spans="1:21">
      <c r="A927" s="6" t="s">
        <v>2628</v>
      </c>
      <c r="B927" s="6" t="s">
        <v>2629</v>
      </c>
      <c r="C927" s="7">
        <v>1.0912283773157863</v>
      </c>
      <c r="D927" s="7">
        <v>1.0026569201206097</v>
      </c>
      <c r="E927" s="7">
        <v>1.2401694617812722</v>
      </c>
      <c r="F927" s="8">
        <v>1.2702648168709774</v>
      </c>
      <c r="G927" s="8">
        <f t="shared" si="112"/>
        <v>1.0469426487181979</v>
      </c>
      <c r="H927" s="8">
        <f t="shared" si="113"/>
        <v>1.2552171393261249</v>
      </c>
      <c r="I927" s="8">
        <f t="shared" si="114"/>
        <v>1.1989359119746659</v>
      </c>
      <c r="J927" s="22">
        <f t="shared" si="115"/>
        <v>0.26175454286601951</v>
      </c>
      <c r="K927" s="8"/>
      <c r="L927" s="8">
        <v>1.1375834103233051</v>
      </c>
      <c r="M927" s="8">
        <v>1.2668415284180023</v>
      </c>
      <c r="N927" s="8">
        <v>1.4181708254544643</v>
      </c>
      <c r="O927" s="8">
        <v>1.417062101962727</v>
      </c>
      <c r="P927" s="8">
        <f t="shared" si="116"/>
        <v>1.2022124693706537</v>
      </c>
      <c r="Q927" s="8">
        <f t="shared" si="117"/>
        <v>1.4176164637085957</v>
      </c>
      <c r="R927" s="8">
        <f t="shared" si="118"/>
        <v>1.1791729830008366</v>
      </c>
      <c r="S927" s="22">
        <f t="shared" si="119"/>
        <v>0.23777537515516095</v>
      </c>
      <c r="T927" s="25"/>
      <c r="U927" s="1" t="s">
        <v>2630</v>
      </c>
    </row>
    <row r="928" spans="1:21">
      <c r="A928" s="6" t="s">
        <v>2631</v>
      </c>
      <c r="B928" s="6" t="s">
        <v>2632</v>
      </c>
      <c r="C928" s="7">
        <v>0.96676197764050609</v>
      </c>
      <c r="D928" s="7">
        <v>0.94420011333786402</v>
      </c>
      <c r="E928" s="7">
        <v>0.85887770602490299</v>
      </c>
      <c r="F928" s="8">
        <v>0.95401535917964275</v>
      </c>
      <c r="G928" s="8">
        <f t="shared" si="112"/>
        <v>0.95548104548918511</v>
      </c>
      <c r="H928" s="8">
        <f t="shared" si="113"/>
        <v>0.90644653260227281</v>
      </c>
      <c r="I928" s="8">
        <f t="shared" si="114"/>
        <v>0.94868081044788521</v>
      </c>
      <c r="J928" s="22">
        <f t="shared" si="115"/>
        <v>-7.6005329709627881E-2</v>
      </c>
      <c r="K928" s="8"/>
      <c r="L928" s="8">
        <v>0.87323441389178136</v>
      </c>
      <c r="M928" s="8">
        <v>0.89515943467684234</v>
      </c>
      <c r="N928" s="8">
        <v>0.84084288697598741</v>
      </c>
      <c r="O928" s="8">
        <v>1.4632194982041471</v>
      </c>
      <c r="P928" s="8">
        <f t="shared" si="116"/>
        <v>0.88419692428431185</v>
      </c>
      <c r="Q928" s="8">
        <f t="shared" si="117"/>
        <v>1.1520311925900673</v>
      </c>
      <c r="R928" s="8">
        <f t="shared" si="118"/>
        <v>1.302912463219148</v>
      </c>
      <c r="S928" s="22">
        <f t="shared" si="119"/>
        <v>0.38174015902352704</v>
      </c>
      <c r="T928" s="25"/>
      <c r="U928" s="1" t="s">
        <v>2633</v>
      </c>
    </row>
    <row r="929" spans="1:21">
      <c r="A929" s="6" t="s">
        <v>2634</v>
      </c>
      <c r="B929" s="6" t="s">
        <v>2635</v>
      </c>
      <c r="C929" s="7">
        <v>1.0077369304173642</v>
      </c>
      <c r="D929" s="7">
        <v>0.97895602844070495</v>
      </c>
      <c r="E929" s="7">
        <v>1.0316732654284351</v>
      </c>
      <c r="F929" s="8">
        <v>1.0765972177539</v>
      </c>
      <c r="G929" s="8">
        <f t="shared" si="112"/>
        <v>0.99334647942903453</v>
      </c>
      <c r="H929" s="8">
        <f t="shared" si="113"/>
        <v>1.0541352415911676</v>
      </c>
      <c r="I929" s="8">
        <f t="shared" si="114"/>
        <v>1.0611959305448726</v>
      </c>
      <c r="J929" s="22">
        <f t="shared" si="115"/>
        <v>8.5691048268778672E-2</v>
      </c>
      <c r="K929" s="8"/>
      <c r="L929" s="8">
        <v>1.0147048726794554</v>
      </c>
      <c r="M929" s="8">
        <v>1.1410800929539926</v>
      </c>
      <c r="N929" s="8">
        <v>1.3133637436656818</v>
      </c>
      <c r="O929" s="8">
        <v>0.99073196487820137</v>
      </c>
      <c r="P929" s="8">
        <f t="shared" si="116"/>
        <v>1.077892482816724</v>
      </c>
      <c r="Q929" s="8">
        <f t="shared" si="117"/>
        <v>1.1520478542719417</v>
      </c>
      <c r="R929" s="8">
        <f t="shared" si="118"/>
        <v>1.0687966310530681</v>
      </c>
      <c r="S929" s="22">
        <f t="shared" si="119"/>
        <v>9.5987365422084289E-2</v>
      </c>
      <c r="T929" s="25"/>
      <c r="U929" s="1" t="s">
        <v>2636</v>
      </c>
    </row>
    <row r="930" spans="1:21">
      <c r="A930" s="6" t="s">
        <v>2637</v>
      </c>
      <c r="B930" s="6" t="s">
        <v>2638</v>
      </c>
      <c r="C930" s="7">
        <v>0.97536456217854572</v>
      </c>
      <c r="D930" s="7">
        <v>0.97783030349458888</v>
      </c>
      <c r="E930" s="7">
        <v>0.98294261544120654</v>
      </c>
      <c r="F930" s="8">
        <v>0.95061299015794642</v>
      </c>
      <c r="G930" s="8">
        <f t="shared" si="112"/>
        <v>0.9765974328365673</v>
      </c>
      <c r="H930" s="8">
        <f t="shared" si="113"/>
        <v>0.96677780279957648</v>
      </c>
      <c r="I930" s="8">
        <f t="shared" si="114"/>
        <v>0.98994505851969183</v>
      </c>
      <c r="J930" s="22">
        <f t="shared" si="115"/>
        <v>-1.4579636362479368E-2</v>
      </c>
      <c r="K930" s="8"/>
      <c r="L930" s="8">
        <v>0.92072974185583756</v>
      </c>
      <c r="M930" s="8">
        <v>0.8362950091026301</v>
      </c>
      <c r="N930" s="8">
        <v>0.99164343367475805</v>
      </c>
      <c r="O930" s="8">
        <v>0.95518776603719469</v>
      </c>
      <c r="P930" s="8">
        <f t="shared" si="116"/>
        <v>0.87851237547923389</v>
      </c>
      <c r="Q930" s="8">
        <f t="shared" si="117"/>
        <v>0.97341559985597637</v>
      </c>
      <c r="R930" s="8">
        <f t="shared" si="118"/>
        <v>1.1080271912219475</v>
      </c>
      <c r="S930" s="22">
        <f t="shared" si="119"/>
        <v>0.14799328586337912</v>
      </c>
      <c r="T930" s="25"/>
      <c r="U930" s="1" t="s">
        <v>2639</v>
      </c>
    </row>
    <row r="931" spans="1:21">
      <c r="A931" s="6" t="s">
        <v>2640</v>
      </c>
      <c r="B931" s="6" t="s">
        <v>2641</v>
      </c>
      <c r="C931" s="7">
        <v>0.95475624462538333</v>
      </c>
      <c r="D931" s="7">
        <v>1.0162532507572331</v>
      </c>
      <c r="E931" s="7">
        <v>0.91572213713697348</v>
      </c>
      <c r="F931" s="8">
        <v>0.97275810381226202</v>
      </c>
      <c r="G931" s="8">
        <f t="shared" si="112"/>
        <v>0.98550474769130814</v>
      </c>
      <c r="H931" s="8">
        <f t="shared" si="113"/>
        <v>0.94424012047461781</v>
      </c>
      <c r="I931" s="8">
        <f t="shared" si="114"/>
        <v>0.95812843386766133</v>
      </c>
      <c r="J931" s="22">
        <f t="shared" si="115"/>
        <v>-6.1709037584994936E-2</v>
      </c>
      <c r="K931" s="8"/>
      <c r="L931" s="8">
        <v>0.65669321468723529</v>
      </c>
      <c r="M931" s="8">
        <v>0.88449051499614195</v>
      </c>
      <c r="N931" s="8">
        <v>0.86002632605339857</v>
      </c>
      <c r="O931" s="8">
        <v>0.80740399846162869</v>
      </c>
      <c r="P931" s="8">
        <f t="shared" si="116"/>
        <v>0.77059186484168862</v>
      </c>
      <c r="Q931" s="8">
        <f t="shared" si="117"/>
        <v>0.83371516225751363</v>
      </c>
      <c r="R931" s="8">
        <f t="shared" si="118"/>
        <v>1.0819153436414659</v>
      </c>
      <c r="S931" s="22">
        <f t="shared" si="119"/>
        <v>0.11358761738397091</v>
      </c>
      <c r="T931" s="25"/>
      <c r="U931" s="1" t="s">
        <v>2642</v>
      </c>
    </row>
    <row r="932" spans="1:21">
      <c r="A932" s="6" t="s">
        <v>2643</v>
      </c>
      <c r="B932" s="6" t="s">
        <v>2644</v>
      </c>
      <c r="C932" s="7">
        <v>0.85219148956365409</v>
      </c>
      <c r="D932" s="7">
        <v>0.9114462360134451</v>
      </c>
      <c r="E932" s="7">
        <v>1.0160852130211031</v>
      </c>
      <c r="F932" s="8">
        <v>1.0257176862482285</v>
      </c>
      <c r="G932" s="8">
        <f t="shared" si="112"/>
        <v>0.8818188627885496</v>
      </c>
      <c r="H932" s="8">
        <f t="shared" si="113"/>
        <v>1.0209014496346658</v>
      </c>
      <c r="I932" s="8">
        <f t="shared" si="114"/>
        <v>1.1577223993670305</v>
      </c>
      <c r="J932" s="22">
        <f t="shared" si="115"/>
        <v>0.21128936294014924</v>
      </c>
      <c r="K932" s="8"/>
      <c r="L932" s="8">
        <v>0.6527482902428523</v>
      </c>
      <c r="M932" s="8">
        <v>0.39392617338431934</v>
      </c>
      <c r="N932" s="8">
        <v>0.89596018266669541</v>
      </c>
      <c r="O932" s="8">
        <v>0.38097373687332553</v>
      </c>
      <c r="P932" s="8">
        <f t="shared" si="116"/>
        <v>0.52333723181358582</v>
      </c>
      <c r="Q932" s="8">
        <f t="shared" si="117"/>
        <v>0.63846695977001044</v>
      </c>
      <c r="R932" s="8">
        <f t="shared" si="118"/>
        <v>1.2199914719567175</v>
      </c>
      <c r="S932" s="22">
        <f t="shared" si="119"/>
        <v>0.28687106302688797</v>
      </c>
      <c r="T932" s="25"/>
      <c r="U932" s="1" t="s">
        <v>2645</v>
      </c>
    </row>
    <row r="933" spans="1:21">
      <c r="A933" s="6" t="s">
        <v>2646</v>
      </c>
      <c r="B933" s="6" t="s">
        <v>2647</v>
      </c>
      <c r="C933" s="7">
        <v>0.8871243841038482</v>
      </c>
      <c r="D933" s="7">
        <v>0.98639120577942363</v>
      </c>
      <c r="E933" s="7">
        <v>0.93391619215189015</v>
      </c>
      <c r="F933" s="8">
        <v>1.0147825613575365</v>
      </c>
      <c r="G933" s="8">
        <f t="shared" si="112"/>
        <v>0.93675779494163591</v>
      </c>
      <c r="H933" s="8">
        <f t="shared" si="113"/>
        <v>0.97434937675471334</v>
      </c>
      <c r="I933" s="8">
        <f t="shared" si="114"/>
        <v>1.0401294571724589</v>
      </c>
      <c r="J933" s="22">
        <f t="shared" si="115"/>
        <v>5.6763101056241209E-2</v>
      </c>
      <c r="K933" s="8"/>
      <c r="L933" s="8">
        <v>1.1400441057688113</v>
      </c>
      <c r="M933" s="8">
        <v>0.88280161265286494</v>
      </c>
      <c r="N933" s="8">
        <v>0.97858933732695885</v>
      </c>
      <c r="O933" s="8">
        <v>0.99313495296886101</v>
      </c>
      <c r="P933" s="8">
        <f t="shared" si="116"/>
        <v>1.0114228592108381</v>
      </c>
      <c r="Q933" s="8">
        <f t="shared" si="117"/>
        <v>0.98586214514790993</v>
      </c>
      <c r="R933" s="8">
        <f t="shared" si="118"/>
        <v>0.97472796483671342</v>
      </c>
      <c r="S933" s="22">
        <f t="shared" si="119"/>
        <v>-3.6928459145062792E-2</v>
      </c>
      <c r="T933" s="25"/>
      <c r="U933" s="1" t="s">
        <v>2648</v>
      </c>
    </row>
    <row r="934" spans="1:21">
      <c r="A934" s="6" t="s">
        <v>2649</v>
      </c>
      <c r="B934" s="6" t="s">
        <v>2650</v>
      </c>
      <c r="C934" s="7">
        <v>0.89971799305551137</v>
      </c>
      <c r="D934" s="7">
        <v>0.95771555355919769</v>
      </c>
      <c r="E934" s="7">
        <v>0.95035958897336803</v>
      </c>
      <c r="F934" s="8">
        <v>1.0024359733355732</v>
      </c>
      <c r="G934" s="8">
        <f t="shared" si="112"/>
        <v>0.92871677330735447</v>
      </c>
      <c r="H934" s="8">
        <f t="shared" si="113"/>
        <v>0.97639778115447062</v>
      </c>
      <c r="I934" s="8">
        <f t="shared" si="114"/>
        <v>1.0513407415667901</v>
      </c>
      <c r="J934" s="22">
        <f t="shared" si="115"/>
        <v>7.2230325340064225E-2</v>
      </c>
      <c r="K934" s="8"/>
      <c r="L934" s="8">
        <v>0.82698896297941071</v>
      </c>
      <c r="M934" s="8">
        <v>0.80943734257051925</v>
      </c>
      <c r="N934" s="8">
        <v>1.2685400006506578</v>
      </c>
      <c r="O934" s="8">
        <v>0.95688988260141183</v>
      </c>
      <c r="P934" s="8">
        <f t="shared" si="116"/>
        <v>0.81821315277496498</v>
      </c>
      <c r="Q934" s="8">
        <f t="shared" si="117"/>
        <v>1.1127149416260349</v>
      </c>
      <c r="R934" s="8">
        <f t="shared" si="118"/>
        <v>1.3599328461688363</v>
      </c>
      <c r="S934" s="22">
        <f t="shared" si="119"/>
        <v>0.44353541258502754</v>
      </c>
      <c r="T934" s="25"/>
      <c r="U934" s="1" t="s">
        <v>2651</v>
      </c>
    </row>
    <row r="935" spans="1:21">
      <c r="A935" s="6" t="s">
        <v>2652</v>
      </c>
      <c r="B935" s="6" t="s">
        <v>2653</v>
      </c>
      <c r="C935" s="7">
        <v>0.93659087818628839</v>
      </c>
      <c r="D935" s="7">
        <v>0.96757744335660967</v>
      </c>
      <c r="E935" s="7">
        <v>0.90122924533466953</v>
      </c>
      <c r="F935" s="8">
        <v>0.99611410425814195</v>
      </c>
      <c r="G935" s="8">
        <f t="shared" si="112"/>
        <v>0.95208416077144897</v>
      </c>
      <c r="H935" s="8">
        <f t="shared" si="113"/>
        <v>0.94867167479640568</v>
      </c>
      <c r="I935" s="8">
        <f t="shared" si="114"/>
        <v>0.99641577276920745</v>
      </c>
      <c r="J935" s="22">
        <f t="shared" si="115"/>
        <v>-5.1802359784109287E-3</v>
      </c>
      <c r="K935" s="8"/>
      <c r="L935" s="8">
        <v>0.99419907730023716</v>
      </c>
      <c r="M935" s="8">
        <v>0.72894672845434649</v>
      </c>
      <c r="N935" s="8">
        <v>0.73280737275710395</v>
      </c>
      <c r="O935" s="8">
        <v>0.75038309356035171</v>
      </c>
      <c r="P935" s="8">
        <f t="shared" si="116"/>
        <v>0.86157290287729182</v>
      </c>
      <c r="Q935" s="8">
        <f t="shared" si="117"/>
        <v>0.74159523315872788</v>
      </c>
      <c r="R935" s="8">
        <f t="shared" si="118"/>
        <v>0.86074577169513</v>
      </c>
      <c r="S935" s="22">
        <f t="shared" si="119"/>
        <v>-0.21634090613190474</v>
      </c>
      <c r="T935" s="25"/>
      <c r="U935" s="1" t="s">
        <v>2654</v>
      </c>
    </row>
    <row r="936" spans="1:21">
      <c r="A936" s="6" t="s">
        <v>2655</v>
      </c>
      <c r="B936" s="6" t="s">
        <v>2656</v>
      </c>
      <c r="C936" s="7">
        <v>0.99537847184031736</v>
      </c>
      <c r="D936" s="7">
        <v>0.96585178116376103</v>
      </c>
      <c r="E936" s="7">
        <v>1.1227234792333125</v>
      </c>
      <c r="F936" s="8">
        <v>0.98208118923197563</v>
      </c>
      <c r="G936" s="8">
        <f t="shared" si="112"/>
        <v>0.98061512650203919</v>
      </c>
      <c r="H936" s="8">
        <f t="shared" si="113"/>
        <v>1.0524023342326441</v>
      </c>
      <c r="I936" s="8">
        <f t="shared" si="114"/>
        <v>1.0732063026466638</v>
      </c>
      <c r="J936" s="22">
        <f t="shared" si="115"/>
        <v>0.10192743228877074</v>
      </c>
      <c r="K936" s="8"/>
      <c r="L936" s="8">
        <v>0.95525759540865485</v>
      </c>
      <c r="M936" s="8">
        <v>1.3114944586646406</v>
      </c>
      <c r="N936" s="8">
        <v>0.89146845059003332</v>
      </c>
      <c r="O936" s="8">
        <v>1.078090594424056</v>
      </c>
      <c r="P936" s="8">
        <f t="shared" si="116"/>
        <v>1.1333760270366477</v>
      </c>
      <c r="Q936" s="8">
        <f t="shared" si="117"/>
        <v>0.98477952250704459</v>
      </c>
      <c r="R936" s="8">
        <f t="shared" si="118"/>
        <v>0.86889037619921505</v>
      </c>
      <c r="S936" s="22">
        <f t="shared" si="119"/>
        <v>-0.20275392439554693</v>
      </c>
      <c r="T936" s="25"/>
      <c r="U936" s="1" t="s">
        <v>2657</v>
      </c>
    </row>
    <row r="937" spans="1:21">
      <c r="A937" s="6" t="s">
        <v>2658</v>
      </c>
      <c r="B937" s="6" t="s">
        <v>2659</v>
      </c>
      <c r="C937" s="7">
        <v>1.0722465165203854</v>
      </c>
      <c r="D937" s="7">
        <v>1.0761593441472537</v>
      </c>
      <c r="E937" s="7">
        <v>1.0403466176653351</v>
      </c>
      <c r="F937" s="8">
        <v>0.90481472592485168</v>
      </c>
      <c r="G937" s="8">
        <f t="shared" si="112"/>
        <v>1.0742029303338194</v>
      </c>
      <c r="H937" s="8">
        <f t="shared" si="113"/>
        <v>0.97258067179509333</v>
      </c>
      <c r="I937" s="8">
        <f t="shared" si="114"/>
        <v>0.90539752250801819</v>
      </c>
      <c r="J937" s="22">
        <f t="shared" si="115"/>
        <v>-0.1433767360266886</v>
      </c>
      <c r="K937" s="8"/>
      <c r="L937" s="8">
        <v>0.85444719945863079</v>
      </c>
      <c r="M937" s="8">
        <v>1.1355190730432028</v>
      </c>
      <c r="N937" s="8">
        <v>0.80734205190421582</v>
      </c>
      <c r="O937" s="8">
        <v>0.96439922038472314</v>
      </c>
      <c r="P937" s="8">
        <f t="shared" si="116"/>
        <v>0.99498313625091672</v>
      </c>
      <c r="Q937" s="8">
        <f t="shared" si="117"/>
        <v>0.88587063614446948</v>
      </c>
      <c r="R937" s="8">
        <f t="shared" si="118"/>
        <v>0.89033733725620545</v>
      </c>
      <c r="S937" s="22">
        <f t="shared" si="119"/>
        <v>-0.16757603681101266</v>
      </c>
      <c r="T937" s="25"/>
      <c r="U937" s="1" t="s">
        <v>2660</v>
      </c>
    </row>
    <row r="938" spans="1:21">
      <c r="A938" s="6" t="s">
        <v>2661</v>
      </c>
      <c r="B938" s="6" t="s">
        <v>2662</v>
      </c>
      <c r="C938" s="7">
        <v>1.0468110843327423</v>
      </c>
      <c r="D938" s="7">
        <v>1.1515155068576219</v>
      </c>
      <c r="E938" s="7">
        <v>1.0565501982959311</v>
      </c>
      <c r="F938" s="8">
        <v>1.0700524860767944</v>
      </c>
      <c r="G938" s="8">
        <f t="shared" si="112"/>
        <v>1.099163295595182</v>
      </c>
      <c r="H938" s="8">
        <f t="shared" si="113"/>
        <v>1.0633013421863629</v>
      </c>
      <c r="I938" s="8">
        <f t="shared" si="114"/>
        <v>0.96737340707014752</v>
      </c>
      <c r="J938" s="22">
        <f t="shared" si="115"/>
        <v>-4.785521599892107E-2</v>
      </c>
      <c r="K938" s="8"/>
      <c r="L938" s="8">
        <v>0.69223659334454712</v>
      </c>
      <c r="M938" s="8">
        <v>0.85005338428932486</v>
      </c>
      <c r="N938" s="8">
        <v>0.71498081107785116</v>
      </c>
      <c r="O938" s="8">
        <v>0.98677704697899071</v>
      </c>
      <c r="P938" s="8">
        <f t="shared" si="116"/>
        <v>0.77114498881693594</v>
      </c>
      <c r="Q938" s="8">
        <f t="shared" si="117"/>
        <v>0.85087892902842088</v>
      </c>
      <c r="R938" s="8">
        <f t="shared" si="118"/>
        <v>1.1033968207895768</v>
      </c>
      <c r="S938" s="22">
        <f t="shared" si="119"/>
        <v>0.14195172876135048</v>
      </c>
      <c r="T938" s="25"/>
      <c r="U938" s="1" t="s">
        <v>2663</v>
      </c>
    </row>
    <row r="939" spans="1:21">
      <c r="A939" s="6" t="s">
        <v>2664</v>
      </c>
      <c r="B939" s="6" t="s">
        <v>80</v>
      </c>
      <c r="C939" s="7">
        <v>1.1505319954030007</v>
      </c>
      <c r="D939" s="7">
        <v>1.0474836919270278</v>
      </c>
      <c r="E939" s="7">
        <v>1.0629293089733931</v>
      </c>
      <c r="F939" s="8">
        <v>1.0305686621678085</v>
      </c>
      <c r="G939" s="8">
        <f t="shared" si="112"/>
        <v>1.0990078436650141</v>
      </c>
      <c r="H939" s="8">
        <f t="shared" si="113"/>
        <v>1.0467489855706007</v>
      </c>
      <c r="I939" s="8">
        <f t="shared" si="114"/>
        <v>0.95244905812488234</v>
      </c>
      <c r="J939" s="22">
        <f t="shared" si="115"/>
        <v>-7.0286162970093935E-2</v>
      </c>
      <c r="K939" s="8"/>
      <c r="L939" s="8">
        <v>1.2899121759974987</v>
      </c>
      <c r="M939" s="8">
        <v>0.99785293569609457</v>
      </c>
      <c r="N939" s="8">
        <v>1.0302442562085732</v>
      </c>
      <c r="O939" s="8">
        <v>0.89831704789158384</v>
      </c>
      <c r="P939" s="8">
        <f t="shared" si="116"/>
        <v>1.1438825558467967</v>
      </c>
      <c r="Q939" s="8">
        <f t="shared" si="117"/>
        <v>0.96428065205007851</v>
      </c>
      <c r="R939" s="8">
        <f t="shared" si="118"/>
        <v>0.84298920996853388</v>
      </c>
      <c r="S939" s="22">
        <f t="shared" si="119"/>
        <v>-0.24641392970400439</v>
      </c>
      <c r="T939" s="25"/>
      <c r="U939" s="1">
        <v>0</v>
      </c>
    </row>
    <row r="940" spans="1:21">
      <c r="A940" s="6" t="s">
        <v>2665</v>
      </c>
      <c r="B940" s="6" t="s">
        <v>80</v>
      </c>
      <c r="C940" s="7">
        <v>1.2141924273754636</v>
      </c>
      <c r="D940" s="7">
        <v>1.0549525736054506</v>
      </c>
      <c r="E940" s="7">
        <v>1.0641923409120384</v>
      </c>
      <c r="F940" s="8">
        <v>1.0629208828872128</v>
      </c>
      <c r="G940" s="8">
        <f t="shared" si="112"/>
        <v>1.134572500490457</v>
      </c>
      <c r="H940" s="8">
        <f t="shared" si="113"/>
        <v>1.0635566118996256</v>
      </c>
      <c r="I940" s="8">
        <f t="shared" si="114"/>
        <v>0.93740735954720178</v>
      </c>
      <c r="J940" s="22">
        <f t="shared" si="115"/>
        <v>-9.3251973485645928E-2</v>
      </c>
      <c r="K940" s="8"/>
      <c r="L940" s="8">
        <v>1.5343412569177817</v>
      </c>
      <c r="M940" s="8">
        <v>1.6482039160779447</v>
      </c>
      <c r="N940" s="8">
        <v>1.2800968529729031</v>
      </c>
      <c r="O940" s="8">
        <v>1.2490531846241093</v>
      </c>
      <c r="P940" s="8">
        <f t="shared" si="116"/>
        <v>1.5912725864978632</v>
      </c>
      <c r="Q940" s="8">
        <f t="shared" si="117"/>
        <v>1.2645750187985061</v>
      </c>
      <c r="R940" s="8">
        <f t="shared" si="118"/>
        <v>0.79469415204445504</v>
      </c>
      <c r="S940" s="22">
        <f t="shared" si="119"/>
        <v>-0.33152836685165732</v>
      </c>
      <c r="T940" s="25"/>
      <c r="U940" s="1">
        <v>0</v>
      </c>
    </row>
    <row r="941" spans="1:21">
      <c r="A941" s="6" t="s">
        <v>2666</v>
      </c>
      <c r="B941" s="9" t="s">
        <v>2667</v>
      </c>
      <c r="C941" s="10">
        <v>0.95836188370283049</v>
      </c>
      <c r="D941" s="10">
        <v>0.93615151701653121</v>
      </c>
      <c r="E941" s="10">
        <v>1.0112249382192273</v>
      </c>
      <c r="F941" s="8">
        <v>0.9533542001339419</v>
      </c>
      <c r="G941" s="8">
        <f t="shared" si="112"/>
        <v>0.94725670035968079</v>
      </c>
      <c r="H941" s="8">
        <f t="shared" si="113"/>
        <v>0.98228956917658461</v>
      </c>
      <c r="I941" s="8">
        <f t="shared" si="114"/>
        <v>1.0369835006747397</v>
      </c>
      <c r="J941" s="22">
        <f t="shared" si="115"/>
        <v>5.2392939778817094E-2</v>
      </c>
      <c r="K941" s="8"/>
      <c r="L941" s="8">
        <v>1.1907813023356772</v>
      </c>
      <c r="M941" s="8">
        <v>1.0278412504742795</v>
      </c>
      <c r="N941" s="8">
        <v>1.2199731475717488</v>
      </c>
      <c r="O941" s="8">
        <v>1.1044734011694228</v>
      </c>
      <c r="P941" s="8">
        <f t="shared" si="116"/>
        <v>1.1093112764049784</v>
      </c>
      <c r="Q941" s="8">
        <f t="shared" si="117"/>
        <v>1.1622232743705858</v>
      </c>
      <c r="R941" s="8">
        <f t="shared" si="118"/>
        <v>1.0476980619336016</v>
      </c>
      <c r="S941" s="22">
        <f t="shared" si="119"/>
        <v>6.7223003789613947E-2</v>
      </c>
      <c r="T941" s="25"/>
      <c r="U941" s="1" t="s">
        <v>2668</v>
      </c>
    </row>
    <row r="942" spans="1:21">
      <c r="A942" s="6" t="s">
        <v>2669</v>
      </c>
      <c r="B942" s="11" t="s">
        <v>2670</v>
      </c>
      <c r="C942" s="12">
        <v>0.95680727844842384</v>
      </c>
      <c r="D942" s="12">
        <v>0.82786621441528296</v>
      </c>
      <c r="E942" s="12">
        <v>0.92631401890092979</v>
      </c>
      <c r="F942" s="8">
        <v>0.94123047471165311</v>
      </c>
      <c r="G942" s="8">
        <f t="shared" si="112"/>
        <v>0.89233674643185346</v>
      </c>
      <c r="H942" s="8">
        <f t="shared" si="113"/>
        <v>0.93377224680629145</v>
      </c>
      <c r="I942" s="8">
        <f t="shared" si="114"/>
        <v>1.0464348246781545</v>
      </c>
      <c r="J942" s="22">
        <f t="shared" si="115"/>
        <v>6.5482458710926936E-2</v>
      </c>
      <c r="K942" s="8"/>
      <c r="L942" s="8">
        <v>0.85893894511312618</v>
      </c>
      <c r="M942" s="8">
        <v>1.2744621853327884</v>
      </c>
      <c r="N942" s="8">
        <v>1.098556014874476</v>
      </c>
      <c r="O942" s="8">
        <v>0.69206057010996747</v>
      </c>
      <c r="P942" s="8">
        <f t="shared" si="116"/>
        <v>1.0667005652229573</v>
      </c>
      <c r="Q942" s="8">
        <f t="shared" si="117"/>
        <v>0.89530829249222177</v>
      </c>
      <c r="R942" s="8">
        <f t="shared" si="118"/>
        <v>0.83932485055455852</v>
      </c>
      <c r="S942" s="22">
        <f t="shared" si="119"/>
        <v>-0.25269879843235327</v>
      </c>
      <c r="T942" s="25"/>
      <c r="U942" s="1" t="s">
        <v>2671</v>
      </c>
    </row>
    <row r="943" spans="1:21">
      <c r="A943" s="6" t="s">
        <v>2672</v>
      </c>
      <c r="B943" s="11" t="s">
        <v>2673</v>
      </c>
      <c r="C943" s="12">
        <v>0.97909430839815126</v>
      </c>
      <c r="D943" s="12">
        <v>0.92691652793761503</v>
      </c>
      <c r="E943" s="12">
        <v>0.94258155051576087</v>
      </c>
      <c r="F943" s="8">
        <v>0.87775920632437621</v>
      </c>
      <c r="G943" s="8">
        <f t="shared" si="112"/>
        <v>0.95300541816788309</v>
      </c>
      <c r="H943" s="8">
        <f t="shared" si="113"/>
        <v>0.91017037842006854</v>
      </c>
      <c r="I943" s="8">
        <f t="shared" si="114"/>
        <v>0.9550526797317026</v>
      </c>
      <c r="J943" s="22">
        <f t="shared" si="115"/>
        <v>-6.6347781957215593E-2</v>
      </c>
      <c r="K943" s="8"/>
      <c r="L943" s="8">
        <v>1.0416553466064282</v>
      </c>
      <c r="M943" s="8">
        <v>1.1393088051305558</v>
      </c>
      <c r="N943" s="8">
        <v>0.79138704525690562</v>
      </c>
      <c r="O943" s="8">
        <v>0.82137136673858768</v>
      </c>
      <c r="P943" s="8">
        <f t="shared" si="116"/>
        <v>1.0904820758684921</v>
      </c>
      <c r="Q943" s="8">
        <f t="shared" si="117"/>
        <v>0.8063792059977466</v>
      </c>
      <c r="R943" s="8">
        <f t="shared" si="118"/>
        <v>0.73947039006168203</v>
      </c>
      <c r="S943" s="22">
        <f t="shared" si="119"/>
        <v>-0.43543571492802557</v>
      </c>
      <c r="T943" s="25"/>
      <c r="U943" s="1" t="s">
        <v>2674</v>
      </c>
    </row>
    <row r="944" spans="1:21">
      <c r="A944" s="6" t="s">
        <v>2675</v>
      </c>
      <c r="B944" s="6" t="s">
        <v>2676</v>
      </c>
      <c r="C944" s="7">
        <v>0.96386178968690739</v>
      </c>
      <c r="D944" s="7">
        <v>0.93578751014772721</v>
      </c>
      <c r="E944" s="7">
        <v>0.8808928323478733</v>
      </c>
      <c r="F944" s="8">
        <v>0.86019763347003142</v>
      </c>
      <c r="G944" s="8">
        <f t="shared" si="112"/>
        <v>0.9498246499173173</v>
      </c>
      <c r="H944" s="8">
        <f t="shared" si="113"/>
        <v>0.87054523290895236</v>
      </c>
      <c r="I944" s="8">
        <f t="shared" si="114"/>
        <v>0.91653257575988767</v>
      </c>
      <c r="J944" s="22">
        <f t="shared" si="115"/>
        <v>-0.12574193637856537</v>
      </c>
      <c r="K944" s="8"/>
      <c r="L944" s="8">
        <v>0.80331941631311299</v>
      </c>
      <c r="M944" s="8">
        <v>0.6323497529669232</v>
      </c>
      <c r="N944" s="8">
        <v>0.7910127342505171</v>
      </c>
      <c r="O944" s="8">
        <v>0.78112131622003922</v>
      </c>
      <c r="P944" s="8">
        <f t="shared" si="116"/>
        <v>0.71783458464001804</v>
      </c>
      <c r="Q944" s="8">
        <f t="shared" si="117"/>
        <v>0.78606702523527816</v>
      </c>
      <c r="R944" s="8">
        <f t="shared" si="118"/>
        <v>1.0950531529899434</v>
      </c>
      <c r="S944" s="22">
        <f t="shared" si="119"/>
        <v>0.13100089877064142</v>
      </c>
      <c r="T944" s="25"/>
      <c r="U944" s="1" t="s">
        <v>2677</v>
      </c>
    </row>
    <row r="945" spans="1:21">
      <c r="A945" s="6" t="s">
        <v>2678</v>
      </c>
      <c r="B945" s="6" t="s">
        <v>2679</v>
      </c>
      <c r="C945" s="7">
        <v>1.0061104736596029</v>
      </c>
      <c r="D945" s="7">
        <v>0.99439935689311154</v>
      </c>
      <c r="E945" s="7">
        <v>0.83794175256090175</v>
      </c>
      <c r="F945" s="8">
        <v>0.83858739005493443</v>
      </c>
      <c r="G945" s="8">
        <f t="shared" si="112"/>
        <v>1.0002549152763573</v>
      </c>
      <c r="H945" s="8">
        <f t="shared" si="113"/>
        <v>0.83826457130791809</v>
      </c>
      <c r="I945" s="8">
        <f t="shared" si="114"/>
        <v>0.83805093932111951</v>
      </c>
      <c r="J945" s="22">
        <f t="shared" si="115"/>
        <v>-0.25489015684286848</v>
      </c>
      <c r="K945" s="8"/>
      <c r="L945" s="8">
        <v>0.92026103796145542</v>
      </c>
      <c r="M945" s="8">
        <v>0.68190461928307256</v>
      </c>
      <c r="N945" s="8">
        <v>0.73028077346398157</v>
      </c>
      <c r="O945" s="8">
        <v>0.8731857974434355</v>
      </c>
      <c r="P945" s="8">
        <f t="shared" si="116"/>
        <v>0.80108282862226399</v>
      </c>
      <c r="Q945" s="8">
        <f t="shared" si="117"/>
        <v>0.80173328545370848</v>
      </c>
      <c r="R945" s="8">
        <f t="shared" si="118"/>
        <v>1.0008119720061448</v>
      </c>
      <c r="S945" s="22">
        <f t="shared" si="119"/>
        <v>1.1709526605231774E-3</v>
      </c>
      <c r="T945" s="25"/>
      <c r="U945" s="1" t="s">
        <v>2680</v>
      </c>
    </row>
    <row r="946" spans="1:21">
      <c r="A946" s="6" t="s">
        <v>2681</v>
      </c>
      <c r="B946" s="6" t="s">
        <v>2682</v>
      </c>
      <c r="C946" s="7">
        <v>1.0166007931494219</v>
      </c>
      <c r="D946" s="7">
        <v>1.0774872951315944</v>
      </c>
      <c r="E946" s="7">
        <v>0.96517223569684818</v>
      </c>
      <c r="F946" s="8">
        <v>0.97359755293770234</v>
      </c>
      <c r="G946" s="8">
        <f t="shared" si="112"/>
        <v>1.0470440441405082</v>
      </c>
      <c r="H946" s="8">
        <f t="shared" si="113"/>
        <v>0.96938489431727526</v>
      </c>
      <c r="I946" s="8">
        <f t="shared" si="114"/>
        <v>0.92583010212623729</v>
      </c>
      <c r="J946" s="22">
        <f t="shared" si="115"/>
        <v>-0.11118062419725326</v>
      </c>
      <c r="K946" s="8"/>
      <c r="L946" s="8">
        <v>0.8561657804046986</v>
      </c>
      <c r="M946" s="8">
        <v>0.5975006948593069</v>
      </c>
      <c r="N946" s="8">
        <v>0.74497248046473052</v>
      </c>
      <c r="O946" s="8">
        <v>1.0957125070888931</v>
      </c>
      <c r="P946" s="8">
        <f t="shared" si="116"/>
        <v>0.7268332376320028</v>
      </c>
      <c r="Q946" s="8">
        <f t="shared" si="117"/>
        <v>0.92034249377681188</v>
      </c>
      <c r="R946" s="8">
        <f t="shared" si="118"/>
        <v>1.2662361132180133</v>
      </c>
      <c r="S946" s="22">
        <f t="shared" si="119"/>
        <v>0.34054644711023258</v>
      </c>
      <c r="T946" s="25"/>
      <c r="U946" s="1" t="s">
        <v>2683</v>
      </c>
    </row>
    <row r="947" spans="1:21">
      <c r="A947" s="6" t="s">
        <v>2684</v>
      </c>
      <c r="B947" s="6" t="s">
        <v>2685</v>
      </c>
      <c r="C947" s="7">
        <v>1.0360790825134567</v>
      </c>
      <c r="D947" s="7">
        <v>0.99604412867067038</v>
      </c>
      <c r="E947" s="7">
        <v>0.87194768842797354</v>
      </c>
      <c r="F947" s="8">
        <v>0.88661428028477351</v>
      </c>
      <c r="G947" s="8">
        <f t="shared" si="112"/>
        <v>1.0160616055920635</v>
      </c>
      <c r="H947" s="8">
        <f t="shared" si="113"/>
        <v>0.87928098435637358</v>
      </c>
      <c r="I947" s="8">
        <f t="shared" si="114"/>
        <v>0.86538156694151702</v>
      </c>
      <c r="J947" s="22">
        <f t="shared" si="115"/>
        <v>-0.20859170392335766</v>
      </c>
      <c r="K947" s="8"/>
      <c r="L947" s="8">
        <v>1.2746402407722142</v>
      </c>
      <c r="M947" s="8">
        <v>1.1701621674504192</v>
      </c>
      <c r="N947" s="8">
        <v>0.83073648980349768</v>
      </c>
      <c r="O947" s="8">
        <v>1.2893032351426579</v>
      </c>
      <c r="P947" s="8">
        <f t="shared" si="116"/>
        <v>1.2224012041113168</v>
      </c>
      <c r="Q947" s="8">
        <f t="shared" si="117"/>
        <v>1.0600198624730779</v>
      </c>
      <c r="R947" s="8">
        <f t="shared" si="118"/>
        <v>0.86716199142139272</v>
      </c>
      <c r="S947" s="22">
        <f t="shared" si="119"/>
        <v>-0.20562657157839867</v>
      </c>
      <c r="T947" s="25"/>
      <c r="U947" s="1" t="s">
        <v>2686</v>
      </c>
    </row>
    <row r="948" spans="1:21">
      <c r="A948" s="6" t="s">
        <v>2687</v>
      </c>
      <c r="B948" s="6" t="s">
        <v>2688</v>
      </c>
      <c r="C948" s="7">
        <v>1.0711556800603605</v>
      </c>
      <c r="D948" s="7">
        <v>1.0932002583016334</v>
      </c>
      <c r="E948" s="7">
        <v>0.93210158297421619</v>
      </c>
      <c r="F948" s="8">
        <v>1.0622300088282222</v>
      </c>
      <c r="G948" s="8">
        <f t="shared" si="112"/>
        <v>1.082177969180997</v>
      </c>
      <c r="H948" s="8">
        <f t="shared" si="113"/>
        <v>0.99716579590121923</v>
      </c>
      <c r="I948" s="8">
        <f t="shared" si="114"/>
        <v>0.92144344488539554</v>
      </c>
      <c r="J948" s="22">
        <f t="shared" si="115"/>
        <v>-0.11803247410705572</v>
      </c>
      <c r="K948" s="8"/>
      <c r="L948" s="8">
        <v>0.16963175110846743</v>
      </c>
      <c r="M948" s="8">
        <v>0.18689146174261809</v>
      </c>
      <c r="N948" s="8">
        <v>0.13381618478389204</v>
      </c>
      <c r="O948" s="8">
        <v>0.17822161672392101</v>
      </c>
      <c r="P948" s="8">
        <f t="shared" si="116"/>
        <v>0.17826160642554276</v>
      </c>
      <c r="Q948" s="8">
        <f t="shared" si="117"/>
        <v>0.15601890075390651</v>
      </c>
      <c r="R948" s="8">
        <f t="shared" si="118"/>
        <v>0.87522436200569809</v>
      </c>
      <c r="S948" s="22">
        <f t="shared" si="119"/>
        <v>-0.19227519855803329</v>
      </c>
      <c r="T948" s="25"/>
      <c r="U948" s="1" t="s">
        <v>2689</v>
      </c>
    </row>
    <row r="949" spans="1:21">
      <c r="A949" s="6" t="s">
        <v>2690</v>
      </c>
      <c r="B949" s="6" t="s">
        <v>2691</v>
      </c>
      <c r="C949" s="7">
        <v>0.99620149815147374</v>
      </c>
      <c r="D949" s="7">
        <v>0.95508661506227988</v>
      </c>
      <c r="E949" s="7">
        <v>0.92959150684298419</v>
      </c>
      <c r="F949" s="8">
        <v>0.84993109637836273</v>
      </c>
      <c r="G949" s="8">
        <f t="shared" si="112"/>
        <v>0.97564405660687681</v>
      </c>
      <c r="H949" s="8">
        <f t="shared" si="113"/>
        <v>0.88976130161067346</v>
      </c>
      <c r="I949" s="8">
        <f t="shared" si="114"/>
        <v>0.91197327097457148</v>
      </c>
      <c r="J949" s="22">
        <f t="shared" si="115"/>
        <v>-0.13293655382797301</v>
      </c>
      <c r="K949" s="8"/>
      <c r="L949" s="8">
        <v>0.80992032949232795</v>
      </c>
      <c r="M949" s="8">
        <v>0.8856027189782999</v>
      </c>
      <c r="N949" s="8">
        <v>0.85389698332378672</v>
      </c>
      <c r="O949" s="8">
        <v>0.91874244666219052</v>
      </c>
      <c r="P949" s="8">
        <f t="shared" si="116"/>
        <v>0.84776152423531392</v>
      </c>
      <c r="Q949" s="8">
        <f t="shared" si="117"/>
        <v>0.88631971499298867</v>
      </c>
      <c r="R949" s="8">
        <f t="shared" si="118"/>
        <v>1.0454823551852681</v>
      </c>
      <c r="S949" s="22">
        <f t="shared" si="119"/>
        <v>6.4168713480315165E-2</v>
      </c>
      <c r="T949" s="25"/>
      <c r="U949" s="1" t="s">
        <v>2692</v>
      </c>
    </row>
    <row r="950" spans="1:21">
      <c r="A950" s="6" t="s">
        <v>2693</v>
      </c>
      <c r="B950" s="6" t="s">
        <v>2694</v>
      </c>
      <c r="C950" s="7">
        <v>0.98490774821504978</v>
      </c>
      <c r="D950" s="7">
        <v>0.97791793477781941</v>
      </c>
      <c r="E950" s="7">
        <v>0.94764167214337169</v>
      </c>
      <c r="F950" s="8">
        <v>0.90297239510087646</v>
      </c>
      <c r="G950" s="8">
        <f t="shared" si="112"/>
        <v>0.9814128414964346</v>
      </c>
      <c r="H950" s="8">
        <f t="shared" si="113"/>
        <v>0.92530703362212408</v>
      </c>
      <c r="I950" s="8">
        <f t="shared" si="114"/>
        <v>0.94283159390011473</v>
      </c>
      <c r="J950" s="22">
        <f t="shared" si="115"/>
        <v>-8.4927991370007755E-2</v>
      </c>
      <c r="K950" s="8"/>
      <c r="L950" s="8">
        <v>0.97830220354910968</v>
      </c>
      <c r="M950" s="8">
        <v>0.90747606396073988</v>
      </c>
      <c r="N950" s="8">
        <v>0.86124283682416114</v>
      </c>
      <c r="O950" s="8">
        <v>1.003047278842832</v>
      </c>
      <c r="P950" s="8">
        <f t="shared" si="116"/>
        <v>0.94288913375492478</v>
      </c>
      <c r="Q950" s="8">
        <f t="shared" si="117"/>
        <v>0.93214505783349655</v>
      </c>
      <c r="R950" s="8">
        <f t="shared" si="118"/>
        <v>0.98860515458626463</v>
      </c>
      <c r="S950" s="22">
        <f t="shared" si="119"/>
        <v>-1.6533666179598797E-2</v>
      </c>
      <c r="T950" s="25"/>
      <c r="U950" s="1" t="s">
        <v>2695</v>
      </c>
    </row>
    <row r="951" spans="1:21">
      <c r="A951" s="6" t="s">
        <v>2696</v>
      </c>
      <c r="B951" s="6" t="s">
        <v>2697</v>
      </c>
      <c r="C951" s="7">
        <v>1.0048367424637656</v>
      </c>
      <c r="D951" s="7">
        <v>0.94062071246129142</v>
      </c>
      <c r="E951" s="7">
        <v>1.0298986256159082</v>
      </c>
      <c r="F951" s="8">
        <v>1.04353926546886</v>
      </c>
      <c r="G951" s="8">
        <f t="shared" si="112"/>
        <v>0.97272872746252848</v>
      </c>
      <c r="H951" s="8">
        <f t="shared" si="113"/>
        <v>1.036718945542384</v>
      </c>
      <c r="I951" s="8">
        <f t="shared" si="114"/>
        <v>1.0657842379619866</v>
      </c>
      <c r="J951" s="22">
        <f t="shared" si="115"/>
        <v>9.1915402141691679E-2</v>
      </c>
      <c r="K951" s="8"/>
      <c r="L951" s="8">
        <v>1.3035827062503109</v>
      </c>
      <c r="M951" s="8">
        <v>0.91810379090136041</v>
      </c>
      <c r="N951" s="8">
        <v>0.86985198997109692</v>
      </c>
      <c r="O951" s="8">
        <v>0.95398627199186481</v>
      </c>
      <c r="P951" s="8">
        <f t="shared" si="116"/>
        <v>1.1108432485758357</v>
      </c>
      <c r="Q951" s="8">
        <f t="shared" si="117"/>
        <v>0.91191913098148092</v>
      </c>
      <c r="R951" s="8">
        <f t="shared" si="118"/>
        <v>0.82092512345968993</v>
      </c>
      <c r="S951" s="22">
        <f t="shared" si="119"/>
        <v>-0.28467745502760378</v>
      </c>
      <c r="T951" s="25"/>
      <c r="U951" s="1" t="s">
        <v>2698</v>
      </c>
    </row>
    <row r="952" spans="1:21">
      <c r="A952" s="6" t="s">
        <v>2699</v>
      </c>
      <c r="B952" s="6" t="s">
        <v>2700</v>
      </c>
      <c r="C952" s="7">
        <v>0.92962781431571118</v>
      </c>
      <c r="D952" s="7">
        <v>0.91236973492133677</v>
      </c>
      <c r="E952" s="7">
        <v>0.91970308590561523</v>
      </c>
      <c r="F952" s="8">
        <v>0.94759691630901921</v>
      </c>
      <c r="G952" s="8">
        <f t="shared" si="112"/>
        <v>0.92099877461852397</v>
      </c>
      <c r="H952" s="8">
        <f t="shared" si="113"/>
        <v>0.93365000110731722</v>
      </c>
      <c r="I952" s="8">
        <f t="shared" si="114"/>
        <v>1.0137364205441353</v>
      </c>
      <c r="J952" s="22">
        <f t="shared" si="115"/>
        <v>1.9682589022229031E-2</v>
      </c>
      <c r="K952" s="8"/>
      <c r="L952" s="8">
        <v>1.0119707666288931</v>
      </c>
      <c r="M952" s="8">
        <v>0.97927500992004846</v>
      </c>
      <c r="N952" s="8">
        <v>0.8889886401727094</v>
      </c>
      <c r="O952" s="8">
        <v>1.0902056593811313</v>
      </c>
      <c r="P952" s="8">
        <f t="shared" si="116"/>
        <v>0.99562288827447076</v>
      </c>
      <c r="Q952" s="8">
        <f t="shared" si="117"/>
        <v>0.98959714977692037</v>
      </c>
      <c r="R952" s="8">
        <f t="shared" si="118"/>
        <v>0.99394777021649861</v>
      </c>
      <c r="S952" s="22">
        <f t="shared" si="119"/>
        <v>-8.7580515800742761E-3</v>
      </c>
      <c r="T952" s="25"/>
      <c r="U952" s="1" t="s">
        <v>2701</v>
      </c>
    </row>
    <row r="953" spans="1:21">
      <c r="A953" s="6" t="s">
        <v>2702</v>
      </c>
      <c r="B953" s="6" t="s">
        <v>2703</v>
      </c>
      <c r="C953" s="7">
        <v>0.89954163027454925</v>
      </c>
      <c r="D953" s="7">
        <v>1.0082316179076634</v>
      </c>
      <c r="E953" s="7">
        <v>0.92449141585022643</v>
      </c>
      <c r="F953" s="8">
        <v>1.0337333110831852</v>
      </c>
      <c r="G953" s="8">
        <f t="shared" si="112"/>
        <v>0.95388662409110636</v>
      </c>
      <c r="H953" s="8">
        <f t="shared" si="113"/>
        <v>0.97911236346670583</v>
      </c>
      <c r="I953" s="8">
        <f t="shared" si="114"/>
        <v>1.0264452176375105</v>
      </c>
      <c r="J953" s="22">
        <f t="shared" si="115"/>
        <v>3.7656631487702687E-2</v>
      </c>
      <c r="K953" s="8"/>
      <c r="L953" s="8">
        <v>1.2485490573182754</v>
      </c>
      <c r="M953" s="8">
        <v>0.85903340162674846</v>
      </c>
      <c r="N953" s="8">
        <v>0.93643256023245303</v>
      </c>
      <c r="O953" s="8">
        <v>0.97376086148791785</v>
      </c>
      <c r="P953" s="8">
        <f t="shared" si="116"/>
        <v>1.053791229472512</v>
      </c>
      <c r="Q953" s="8">
        <f t="shared" si="117"/>
        <v>0.95509671086018544</v>
      </c>
      <c r="R953" s="8">
        <f t="shared" si="118"/>
        <v>0.90634338581302354</v>
      </c>
      <c r="S953" s="22">
        <f t="shared" si="119"/>
        <v>-0.14187034798058204</v>
      </c>
      <c r="T953" s="25"/>
      <c r="U953" s="1" t="s">
        <v>2704</v>
      </c>
    </row>
    <row r="954" spans="1:21">
      <c r="A954" s="6" t="s">
        <v>2705</v>
      </c>
      <c r="B954" s="9" t="s">
        <v>2706</v>
      </c>
      <c r="C954" s="10">
        <v>0.91686437453793646</v>
      </c>
      <c r="D954" s="10">
        <v>0.88035735307040741</v>
      </c>
      <c r="E954" s="10">
        <v>0.90044584577778819</v>
      </c>
      <c r="F954" s="8">
        <v>0.96810770423238901</v>
      </c>
      <c r="G954" s="8">
        <f t="shared" si="112"/>
        <v>0.89861086380417188</v>
      </c>
      <c r="H954" s="8">
        <f t="shared" si="113"/>
        <v>0.93427677500508866</v>
      </c>
      <c r="I954" s="8">
        <f t="shared" si="114"/>
        <v>1.0396900512085165</v>
      </c>
      <c r="J954" s="22">
        <f t="shared" si="115"/>
        <v>5.6153501221261289E-2</v>
      </c>
      <c r="K954" s="8"/>
      <c r="L954" s="8">
        <v>0.95014091122831645</v>
      </c>
      <c r="M954" s="8">
        <v>0.70830916567430424</v>
      </c>
      <c r="N954" s="8">
        <v>0.85375661669639102</v>
      </c>
      <c r="O954" s="8">
        <v>0.95678975809763434</v>
      </c>
      <c r="P954" s="8">
        <f t="shared" si="116"/>
        <v>0.82922503845131035</v>
      </c>
      <c r="Q954" s="8">
        <f t="shared" si="117"/>
        <v>0.90527318739701268</v>
      </c>
      <c r="R954" s="8">
        <f t="shared" si="118"/>
        <v>1.0917099043315581</v>
      </c>
      <c r="S954" s="22">
        <f t="shared" si="119"/>
        <v>0.12658954565054942</v>
      </c>
      <c r="T954" s="25"/>
      <c r="U954" s="1" t="s">
        <v>2707</v>
      </c>
    </row>
    <row r="955" spans="1:21">
      <c r="A955" s="6" t="s">
        <v>2708</v>
      </c>
      <c r="B955" s="6" t="s">
        <v>2709</v>
      </c>
      <c r="C955" s="7">
        <v>0.92532325606926613</v>
      </c>
      <c r="D955" s="7">
        <v>0.93920513019372032</v>
      </c>
      <c r="E955" s="7">
        <v>0.94649854830016733</v>
      </c>
      <c r="F955" s="8">
        <v>0.97104949054809142</v>
      </c>
      <c r="G955" s="8">
        <f t="shared" si="112"/>
        <v>0.93226419313149322</v>
      </c>
      <c r="H955" s="8">
        <f t="shared" si="113"/>
        <v>0.95877401942412943</v>
      </c>
      <c r="I955" s="8">
        <f t="shared" si="114"/>
        <v>1.028435958913738</v>
      </c>
      <c r="J955" s="22">
        <f t="shared" si="115"/>
        <v>4.0451959507826867E-2</v>
      </c>
      <c r="K955" s="8"/>
      <c r="L955" s="8">
        <v>0.90651239039291287</v>
      </c>
      <c r="M955" s="8">
        <v>1.0506620284785579</v>
      </c>
      <c r="N955" s="8">
        <v>0.88945652893069505</v>
      </c>
      <c r="O955" s="8">
        <v>0.86162141725713615</v>
      </c>
      <c r="P955" s="8">
        <f t="shared" si="116"/>
        <v>0.97858720943573541</v>
      </c>
      <c r="Q955" s="8">
        <f t="shared" si="117"/>
        <v>0.8755389730939156</v>
      </c>
      <c r="R955" s="8">
        <f t="shared" si="118"/>
        <v>0.89469693109800752</v>
      </c>
      <c r="S955" s="22">
        <f t="shared" si="119"/>
        <v>-0.16052902708932149</v>
      </c>
      <c r="T955" s="25"/>
      <c r="U955" s="1" t="s">
        <v>2710</v>
      </c>
    </row>
    <row r="956" spans="1:21">
      <c r="A956" s="6" t="s">
        <v>2711</v>
      </c>
      <c r="B956" s="6" t="s">
        <v>2712</v>
      </c>
      <c r="C956" s="7">
        <v>0.84504553095726442</v>
      </c>
      <c r="D956" s="7">
        <v>1.0039039806896604</v>
      </c>
      <c r="E956" s="7">
        <v>0.89165258544544712</v>
      </c>
      <c r="F956" s="8">
        <v>0.95489938082501791</v>
      </c>
      <c r="G956" s="8">
        <f t="shared" si="112"/>
        <v>0.92447475582346239</v>
      </c>
      <c r="H956" s="8">
        <f t="shared" si="113"/>
        <v>0.92327598313523251</v>
      </c>
      <c r="I956" s="8">
        <f t="shared" si="114"/>
        <v>0.99870329321522455</v>
      </c>
      <c r="J956" s="22">
        <f t="shared" si="115"/>
        <v>-1.8719664061239173E-3</v>
      </c>
      <c r="K956" s="8"/>
      <c r="L956" s="8">
        <v>0.80371000289176475</v>
      </c>
      <c r="M956" s="8">
        <v>1.0535867130242325</v>
      </c>
      <c r="N956" s="8">
        <v>0.83798876555227508</v>
      </c>
      <c r="O956" s="8">
        <v>0.95929287069207148</v>
      </c>
      <c r="P956" s="8">
        <f t="shared" si="116"/>
        <v>0.9286483579579986</v>
      </c>
      <c r="Q956" s="8">
        <f t="shared" si="117"/>
        <v>0.89864081812217322</v>
      </c>
      <c r="R956" s="8">
        <f t="shared" si="118"/>
        <v>0.96768686491643741</v>
      </c>
      <c r="S956" s="22">
        <f t="shared" si="119"/>
        <v>-4.7387815483420435E-2</v>
      </c>
      <c r="T956" s="25"/>
      <c r="U956" s="1" t="s">
        <v>2713</v>
      </c>
    </row>
    <row r="957" spans="1:21">
      <c r="A957" s="6" t="s">
        <v>2714</v>
      </c>
      <c r="B957" s="6" t="s">
        <v>2715</v>
      </c>
      <c r="C957" s="7">
        <v>0.80714059696011664</v>
      </c>
      <c r="D957" s="7">
        <v>0.91398080235919144</v>
      </c>
      <c r="E957" s="7">
        <v>0.94240568530911406</v>
      </c>
      <c r="F957" s="8">
        <v>1.0728902698459821</v>
      </c>
      <c r="G957" s="8">
        <f t="shared" si="112"/>
        <v>0.86056069965965398</v>
      </c>
      <c r="H957" s="8">
        <f t="shared" si="113"/>
        <v>1.0076479775775482</v>
      </c>
      <c r="I957" s="8">
        <f t="shared" si="114"/>
        <v>1.1709202825275036</v>
      </c>
      <c r="J957" s="22">
        <f t="shared" si="115"/>
        <v>0.22764285900130887</v>
      </c>
      <c r="K957" s="8"/>
      <c r="L957" s="8">
        <v>0.85968105961256458</v>
      </c>
      <c r="M957" s="8">
        <v>0.74311703104184057</v>
      </c>
      <c r="N957" s="8">
        <v>0.99772598752857133</v>
      </c>
      <c r="O957" s="8">
        <v>0.97606372507479999</v>
      </c>
      <c r="P957" s="8">
        <f t="shared" si="116"/>
        <v>0.80139904532720263</v>
      </c>
      <c r="Q957" s="8">
        <f t="shared" si="117"/>
        <v>0.98689485630168572</v>
      </c>
      <c r="R957" s="8">
        <f t="shared" si="118"/>
        <v>1.2314649762263532</v>
      </c>
      <c r="S957" s="22">
        <f t="shared" si="119"/>
        <v>0.30037559710761502</v>
      </c>
      <c r="T957" s="25"/>
      <c r="U957" s="1" t="s">
        <v>2716</v>
      </c>
    </row>
    <row r="958" spans="1:21">
      <c r="A958" s="6" t="s">
        <v>2717</v>
      </c>
      <c r="B958" s="9" t="s">
        <v>2718</v>
      </c>
      <c r="C958" s="10">
        <v>0.83453561560289413</v>
      </c>
      <c r="D958" s="10">
        <v>0.85391966900653193</v>
      </c>
      <c r="E958" s="10">
        <v>0.90922311836407044</v>
      </c>
      <c r="F958" s="8">
        <v>0.92790329125112236</v>
      </c>
      <c r="G958" s="8">
        <f t="shared" si="112"/>
        <v>0.84422764230471303</v>
      </c>
      <c r="H958" s="8">
        <f t="shared" si="113"/>
        <v>0.91856320480759646</v>
      </c>
      <c r="I958" s="8">
        <f t="shared" si="114"/>
        <v>1.0880515618985773</v>
      </c>
      <c r="J958" s="22">
        <f t="shared" si="115"/>
        <v>0.12174692637938485</v>
      </c>
      <c r="K958" s="8"/>
      <c r="L958" s="8">
        <v>0.75043399356366214</v>
      </c>
      <c r="M958" s="8">
        <v>0.939647593963161</v>
      </c>
      <c r="N958" s="8">
        <v>1.1340219827297873</v>
      </c>
      <c r="O958" s="8">
        <v>0.99608862583029678</v>
      </c>
      <c r="P958" s="8">
        <f t="shared" si="116"/>
        <v>0.84504079376341157</v>
      </c>
      <c r="Q958" s="8">
        <f t="shared" si="117"/>
        <v>1.0650553042800421</v>
      </c>
      <c r="R958" s="8">
        <f t="shared" si="118"/>
        <v>1.2603596325057753</v>
      </c>
      <c r="S958" s="22">
        <f t="shared" si="119"/>
        <v>0.33383545277469107</v>
      </c>
      <c r="T958" s="25"/>
      <c r="U958" s="1" t="s">
        <v>2719</v>
      </c>
    </row>
    <row r="959" spans="1:21">
      <c r="A959" s="6" t="s">
        <v>2720</v>
      </c>
      <c r="B959" s="6" t="s">
        <v>2721</v>
      </c>
      <c r="C959" s="7">
        <v>0.89164449686035807</v>
      </c>
      <c r="D959" s="7">
        <v>0.93560550671332521</v>
      </c>
      <c r="E959" s="7">
        <v>0.98573247712846757</v>
      </c>
      <c r="F959" s="8">
        <v>0.95431993806586446</v>
      </c>
      <c r="G959" s="8">
        <f t="shared" si="112"/>
        <v>0.9136250017868417</v>
      </c>
      <c r="H959" s="8">
        <f t="shared" si="113"/>
        <v>0.97002620759716596</v>
      </c>
      <c r="I959" s="8">
        <f t="shared" si="114"/>
        <v>1.061733430783983</v>
      </c>
      <c r="J959" s="22">
        <f t="shared" si="115"/>
        <v>8.6421594428379198E-2</v>
      </c>
      <c r="K959" s="8"/>
      <c r="L959" s="8">
        <v>0.68032370269566789</v>
      </c>
      <c r="M959" s="8">
        <v>0.79703832780646189</v>
      </c>
      <c r="N959" s="8">
        <v>1.0273901347848606</v>
      </c>
      <c r="O959" s="8">
        <v>0.91218429166476533</v>
      </c>
      <c r="P959" s="8">
        <f t="shared" si="116"/>
        <v>0.73868101525106489</v>
      </c>
      <c r="Q959" s="8">
        <f t="shared" si="117"/>
        <v>0.96978721322481298</v>
      </c>
      <c r="R959" s="8">
        <f t="shared" si="118"/>
        <v>1.3128633242255443</v>
      </c>
      <c r="S959" s="22">
        <f t="shared" si="119"/>
        <v>0.39271673212915542</v>
      </c>
      <c r="T959" s="25"/>
      <c r="U959" s="1" t="s">
        <v>2722</v>
      </c>
    </row>
    <row r="960" spans="1:21">
      <c r="A960" s="6" t="s">
        <v>2723</v>
      </c>
      <c r="B960" s="6" t="s">
        <v>2724</v>
      </c>
      <c r="C960" s="7">
        <v>0.29711249832746234</v>
      </c>
      <c r="D960" s="7">
        <v>0.29615329211175562</v>
      </c>
      <c r="E960" s="7">
        <v>0.49205486045174956</v>
      </c>
      <c r="F960" s="8">
        <v>0.49131545848891955</v>
      </c>
      <c r="G960" s="8">
        <f t="shared" si="112"/>
        <v>0.29663289521960901</v>
      </c>
      <c r="H960" s="8">
        <f t="shared" si="113"/>
        <v>0.49168515947033453</v>
      </c>
      <c r="I960" s="8">
        <f t="shared" si="114"/>
        <v>1.6575543960029135</v>
      </c>
      <c r="J960" s="22">
        <f t="shared" si="115"/>
        <v>0.72905621607297322</v>
      </c>
      <c r="K960" s="8"/>
      <c r="L960" s="8">
        <v>1.1508633539974655</v>
      </c>
      <c r="M960" s="8">
        <v>1.1447462468211058</v>
      </c>
      <c r="N960" s="8">
        <v>1.4288854780123355</v>
      </c>
      <c r="O960" s="8">
        <v>1.3406170433286182</v>
      </c>
      <c r="P960" s="8">
        <f t="shared" si="116"/>
        <v>1.1478048004092858</v>
      </c>
      <c r="Q960" s="8">
        <f t="shared" si="117"/>
        <v>1.3847512606704768</v>
      </c>
      <c r="R960" s="8">
        <f t="shared" si="118"/>
        <v>1.2064344566050782</v>
      </c>
      <c r="S960" s="22">
        <f t="shared" si="119"/>
        <v>0.27074953867891655</v>
      </c>
      <c r="T960" s="25"/>
      <c r="U960" s="1" t="s">
        <v>2725</v>
      </c>
    </row>
    <row r="961" spans="1:21">
      <c r="A961" s="6" t="s">
        <v>2726</v>
      </c>
      <c r="B961" s="6" t="s">
        <v>2727</v>
      </c>
      <c r="C961" s="7">
        <v>1.1311124936326198</v>
      </c>
      <c r="D961" s="7">
        <v>0.98543400253182789</v>
      </c>
      <c r="E961" s="7">
        <v>0.92319640841946349</v>
      </c>
      <c r="F961" s="8">
        <v>0.8339444192283838</v>
      </c>
      <c r="G961" s="8">
        <f t="shared" si="112"/>
        <v>1.0582732480822239</v>
      </c>
      <c r="H961" s="8">
        <f t="shared" si="113"/>
        <v>0.87857041382392365</v>
      </c>
      <c r="I961" s="8">
        <f t="shared" si="114"/>
        <v>0.83019240580449971</v>
      </c>
      <c r="J961" s="22">
        <f t="shared" si="115"/>
        <v>-0.26848235995655984</v>
      </c>
      <c r="K961" s="8"/>
      <c r="L961" s="8">
        <v>0.99193367514405684</v>
      </c>
      <c r="M961" s="8">
        <v>1.2399838618858916</v>
      </c>
      <c r="N961" s="8">
        <v>0.97508017164206662</v>
      </c>
      <c r="O961" s="8">
        <v>0.91063236185621443</v>
      </c>
      <c r="P961" s="8">
        <f t="shared" si="116"/>
        <v>1.1159587685149743</v>
      </c>
      <c r="Q961" s="8">
        <f t="shared" si="117"/>
        <v>0.94285626674914047</v>
      </c>
      <c r="R961" s="8">
        <f t="shared" si="118"/>
        <v>0.84488450053026209</v>
      </c>
      <c r="S961" s="22">
        <f t="shared" si="119"/>
        <v>-0.24317396284314788</v>
      </c>
      <c r="T961" s="25"/>
      <c r="U961" s="1" t="s">
        <v>2728</v>
      </c>
    </row>
    <row r="962" spans="1:21">
      <c r="A962" s="6" t="s">
        <v>2729</v>
      </c>
      <c r="B962" s="6" t="s">
        <v>2730</v>
      </c>
      <c r="C962" s="7">
        <v>1.1208834523368187</v>
      </c>
      <c r="D962" s="7">
        <v>0.99921907747079408</v>
      </c>
      <c r="E962" s="7">
        <v>0.99200766745654734</v>
      </c>
      <c r="F962" s="8">
        <v>0.92225000997271434</v>
      </c>
      <c r="G962" s="8">
        <f t="shared" si="112"/>
        <v>1.0600512649038065</v>
      </c>
      <c r="H962" s="8">
        <f t="shared" si="113"/>
        <v>0.95712883871463084</v>
      </c>
      <c r="I962" s="8">
        <f t="shared" si="114"/>
        <v>0.90290806718813232</v>
      </c>
      <c r="J962" s="22">
        <f t="shared" si="115"/>
        <v>-0.1473489928553125</v>
      </c>
      <c r="K962" s="8"/>
      <c r="L962" s="8">
        <v>1.2510488114216467</v>
      </c>
      <c r="M962" s="8">
        <v>0.84449236437853503</v>
      </c>
      <c r="N962" s="8">
        <v>0.87434372204775901</v>
      </c>
      <c r="O962" s="8">
        <v>0.86337359607324204</v>
      </c>
      <c r="P962" s="8">
        <f t="shared" si="116"/>
        <v>1.0477705879000909</v>
      </c>
      <c r="Q962" s="8">
        <f t="shared" si="117"/>
        <v>0.86885865906050053</v>
      </c>
      <c r="R962" s="8">
        <f t="shared" si="118"/>
        <v>0.82924513161019331</v>
      </c>
      <c r="S962" s="22">
        <f t="shared" si="119"/>
        <v>-0.27012945772326419</v>
      </c>
      <c r="T962" s="25"/>
      <c r="U962" s="1" t="s">
        <v>2731</v>
      </c>
    </row>
    <row r="963" spans="1:21">
      <c r="A963" s="6" t="s">
        <v>2732</v>
      </c>
      <c r="B963" s="6" t="s">
        <v>80</v>
      </c>
      <c r="C963" s="7">
        <v>1.0683273436101168</v>
      </c>
      <c r="D963" s="7">
        <v>1.0159836160396003</v>
      </c>
      <c r="E963" s="7">
        <v>0.98346221718811766</v>
      </c>
      <c r="F963" s="8">
        <v>0.94796835397514323</v>
      </c>
      <c r="G963" s="8">
        <f t="shared" si="112"/>
        <v>1.0421554798248587</v>
      </c>
      <c r="H963" s="8">
        <f t="shared" si="113"/>
        <v>0.96571528558163044</v>
      </c>
      <c r="I963" s="8">
        <f t="shared" si="114"/>
        <v>0.92665183293372455</v>
      </c>
      <c r="J963" s="22">
        <f t="shared" si="115"/>
        <v>-0.10990071207910868</v>
      </c>
      <c r="K963" s="8"/>
      <c r="L963" s="8">
        <v>0.89291997745583096</v>
      </c>
      <c r="M963" s="8">
        <v>0.90739367848057995</v>
      </c>
      <c r="N963" s="8">
        <v>1.0406313866358543</v>
      </c>
      <c r="O963" s="8">
        <v>1.0916074024340161</v>
      </c>
      <c r="P963" s="8">
        <f t="shared" si="116"/>
        <v>0.90015682796820551</v>
      </c>
      <c r="Q963" s="8">
        <f t="shared" si="117"/>
        <v>1.0661193945349352</v>
      </c>
      <c r="R963" s="8">
        <f t="shared" si="118"/>
        <v>1.1843707245340049</v>
      </c>
      <c r="S963" s="22">
        <f t="shared" si="119"/>
        <v>0.24412073530085077</v>
      </c>
      <c r="T963" s="25"/>
      <c r="U963" s="1">
        <v>0</v>
      </c>
    </row>
    <row r="964" spans="1:21">
      <c r="A964" s="6" t="s">
        <v>2733</v>
      </c>
      <c r="B964" s="6" t="s">
        <v>80</v>
      </c>
      <c r="C964" s="7">
        <v>1.1019211874059691</v>
      </c>
      <c r="D964" s="7">
        <v>1.0958022333267881</v>
      </c>
      <c r="E964" s="7">
        <v>1.0513301992077322</v>
      </c>
      <c r="F964" s="8">
        <v>1.0210078566417755</v>
      </c>
      <c r="G964" s="8">
        <f t="shared" si="112"/>
        <v>1.0988617103663785</v>
      </c>
      <c r="H964" s="8">
        <f t="shared" si="113"/>
        <v>1.0361690279247537</v>
      </c>
      <c r="I964" s="8">
        <f t="shared" si="114"/>
        <v>0.94294761401712512</v>
      </c>
      <c r="J964" s="22">
        <f t="shared" si="115"/>
        <v>-8.4750471491792198E-2</v>
      </c>
      <c r="K964" s="8"/>
      <c r="L964" s="8">
        <v>1.5371144216262094</v>
      </c>
      <c r="M964" s="8">
        <v>1.6143434837322468</v>
      </c>
      <c r="N964" s="8">
        <v>1.3121004440191206</v>
      </c>
      <c r="O964" s="8">
        <v>1.1512816066853966</v>
      </c>
      <c r="P964" s="8">
        <f t="shared" si="116"/>
        <v>1.5757289526792282</v>
      </c>
      <c r="Q964" s="8">
        <f t="shared" si="117"/>
        <v>1.2316910253522586</v>
      </c>
      <c r="R964" s="8">
        <f t="shared" si="118"/>
        <v>0.7816642724359425</v>
      </c>
      <c r="S964" s="22">
        <f t="shared" si="119"/>
        <v>-0.3553789969358338</v>
      </c>
      <c r="T964" s="25"/>
      <c r="U964" s="1">
        <v>0</v>
      </c>
    </row>
    <row r="965" spans="1:21">
      <c r="A965" s="6" t="s">
        <v>2734</v>
      </c>
      <c r="B965" s="6" t="s">
        <v>2735</v>
      </c>
      <c r="C965" s="7">
        <v>0.91123382945685061</v>
      </c>
      <c r="D965" s="7">
        <v>0.96438227195266346</v>
      </c>
      <c r="E965" s="7">
        <v>0.94892868570110533</v>
      </c>
      <c r="F965" s="8">
        <v>0.98307664217718804</v>
      </c>
      <c r="G965" s="8">
        <f t="shared" si="112"/>
        <v>0.93780805070475703</v>
      </c>
      <c r="H965" s="8">
        <f t="shared" si="113"/>
        <v>0.96600266393914669</v>
      </c>
      <c r="I965" s="8">
        <f t="shared" si="114"/>
        <v>1.0300643753412029</v>
      </c>
      <c r="J965" s="22">
        <f t="shared" si="115"/>
        <v>4.2734503508787297E-2</v>
      </c>
      <c r="K965" s="8"/>
      <c r="L965" s="8">
        <v>1.1047741377165556</v>
      </c>
      <c r="M965" s="8">
        <v>1.2178221677228922</v>
      </c>
      <c r="N965" s="8">
        <v>1.3253884847459128</v>
      </c>
      <c r="O965" s="8">
        <v>1.300717428573291</v>
      </c>
      <c r="P965" s="8">
        <f t="shared" si="116"/>
        <v>1.1612981527197239</v>
      </c>
      <c r="Q965" s="8">
        <f t="shared" si="117"/>
        <v>1.3130529566596019</v>
      </c>
      <c r="R965" s="8">
        <f t="shared" si="118"/>
        <v>1.130676866732693</v>
      </c>
      <c r="S965" s="22">
        <f t="shared" si="119"/>
        <v>0.17718668408410973</v>
      </c>
      <c r="T965" s="25"/>
      <c r="U965" s="1" t="s">
        <v>2736</v>
      </c>
    </row>
    <row r="966" spans="1:21">
      <c r="A966" s="6" t="s">
        <v>2737</v>
      </c>
      <c r="B966" s="6" t="s">
        <v>2738</v>
      </c>
      <c r="C966" s="7">
        <v>0.97146498513282842</v>
      </c>
      <c r="D966" s="7">
        <v>0.78539874638814999</v>
      </c>
      <c r="E966" s="7">
        <v>0.76715600688555574</v>
      </c>
      <c r="F966" s="8">
        <v>0.85929132556468868</v>
      </c>
      <c r="G966" s="8">
        <f t="shared" ref="G966:G1029" si="120">AVERAGE(C966:D966)</f>
        <v>0.87843186576048926</v>
      </c>
      <c r="H966" s="8">
        <f t="shared" ref="H966:H1029" si="121">AVERAGE(E966:F966)</f>
        <v>0.81322366622512221</v>
      </c>
      <c r="I966" s="8">
        <f t="shared" ref="I966:I1029" si="122">H966/G966</f>
        <v>0.92576749310099993</v>
      </c>
      <c r="J966" s="22">
        <f t="shared" ref="J966:J1029" si="123">LOG(I966,2)</f>
        <v>-0.11127818938149424</v>
      </c>
      <c r="K966" s="8"/>
      <c r="L966" s="8">
        <v>0.96635025424236531</v>
      </c>
      <c r="M966" s="8">
        <v>1.0475725729725636</v>
      </c>
      <c r="N966" s="8">
        <v>0.99229847793593795</v>
      </c>
      <c r="O966" s="8">
        <v>0.70607800063881521</v>
      </c>
      <c r="P966" s="8">
        <f t="shared" ref="P966:P1029" si="124">AVERAGE(L966:M966)</f>
        <v>1.0069614136074645</v>
      </c>
      <c r="Q966" s="8">
        <f t="shared" ref="Q966:Q1029" si="125">AVERAGE(N966:O966)</f>
        <v>0.84918823928737663</v>
      </c>
      <c r="R966" s="8">
        <f t="shared" ref="R966:R1029" si="126">Q966/P966</f>
        <v>0.84331755697086597</v>
      </c>
      <c r="S966" s="22">
        <f t="shared" ref="S966:S1029" si="127">LOG(R966,2)</f>
        <v>-0.24585210476535269</v>
      </c>
      <c r="T966" s="25"/>
      <c r="U966" s="1" t="s">
        <v>2739</v>
      </c>
    </row>
    <row r="967" spans="1:21">
      <c r="A967" s="6" t="s">
        <v>2740</v>
      </c>
      <c r="B967" s="13" t="s">
        <v>2741</v>
      </c>
      <c r="C967" s="14">
        <v>0.92260596285147989</v>
      </c>
      <c r="D967" s="14">
        <v>0.65558311158393934</v>
      </c>
      <c r="E967" s="14">
        <v>0.62257082540277975</v>
      </c>
      <c r="F967" s="8">
        <v>0.71596095896074208</v>
      </c>
      <c r="G967" s="8">
        <f t="shared" si="120"/>
        <v>0.78909453721770961</v>
      </c>
      <c r="H967" s="8">
        <f t="shared" si="121"/>
        <v>0.66926589218176091</v>
      </c>
      <c r="I967" s="8">
        <f t="shared" si="122"/>
        <v>0.84814412040101572</v>
      </c>
      <c r="J967" s="22">
        <f t="shared" si="123"/>
        <v>-0.23761866014447677</v>
      </c>
      <c r="K967" s="8"/>
      <c r="L967" s="8">
        <v>0.89139668979908904</v>
      </c>
      <c r="M967" s="8">
        <v>0.41864181743227413</v>
      </c>
      <c r="N967" s="8">
        <v>1.0174708931155652</v>
      </c>
      <c r="O967" s="8">
        <v>0.44450273452013894</v>
      </c>
      <c r="P967" s="8">
        <f t="shared" si="124"/>
        <v>0.65501925361568158</v>
      </c>
      <c r="Q967" s="8">
        <f t="shared" si="125"/>
        <v>0.73098681381785202</v>
      </c>
      <c r="R967" s="8">
        <f t="shared" si="126"/>
        <v>1.1159775988000846</v>
      </c>
      <c r="S967" s="22">
        <f t="shared" si="127"/>
        <v>0.15830806800546171</v>
      </c>
      <c r="T967" s="25"/>
      <c r="U967" s="1" t="s">
        <v>2742</v>
      </c>
    </row>
    <row r="968" spans="1:21">
      <c r="A968" s="6" t="s">
        <v>2743</v>
      </c>
      <c r="B968" s="6" t="s">
        <v>2744</v>
      </c>
      <c r="C968" s="7">
        <v>0.95673542694506897</v>
      </c>
      <c r="D968" s="7">
        <v>0.88449624598606769</v>
      </c>
      <c r="E968" s="7">
        <v>0.70249356795073103</v>
      </c>
      <c r="F968" s="8">
        <v>0.94189163375735385</v>
      </c>
      <c r="G968" s="8">
        <f t="shared" si="120"/>
        <v>0.92061583646556833</v>
      </c>
      <c r="H968" s="8">
        <f t="shared" si="121"/>
        <v>0.82219260085404244</v>
      </c>
      <c r="I968" s="8">
        <f t="shared" si="122"/>
        <v>0.89308978651791093</v>
      </c>
      <c r="J968" s="22">
        <f t="shared" si="123"/>
        <v>-0.16312287132972084</v>
      </c>
      <c r="K968" s="8"/>
      <c r="L968" s="8">
        <v>1.0226728388839519</v>
      </c>
      <c r="M968" s="8">
        <v>0.97873950429900947</v>
      </c>
      <c r="N968" s="8">
        <v>1.4145212931421765</v>
      </c>
      <c r="O968" s="8">
        <v>0.87593922129731627</v>
      </c>
      <c r="P968" s="8">
        <f t="shared" si="124"/>
        <v>1.0007061715914807</v>
      </c>
      <c r="Q968" s="8">
        <f t="shared" si="125"/>
        <v>1.1452302572197464</v>
      </c>
      <c r="R968" s="8">
        <f t="shared" si="126"/>
        <v>1.1444220988448794</v>
      </c>
      <c r="S968" s="22">
        <f t="shared" si="127"/>
        <v>0.19461926155221534</v>
      </c>
      <c r="T968" s="25"/>
      <c r="U968" s="1" t="s">
        <v>2745</v>
      </c>
    </row>
    <row r="969" spans="1:21">
      <c r="A969" s="6" t="s">
        <v>2746</v>
      </c>
      <c r="B969" s="6" t="s">
        <v>2747</v>
      </c>
      <c r="C969" s="7">
        <v>0.88464877321552859</v>
      </c>
      <c r="D969" s="7">
        <v>0.91997343395857578</v>
      </c>
      <c r="E969" s="7">
        <v>1.0126398537454313</v>
      </c>
      <c r="F969" s="8">
        <v>0.93759038558363739</v>
      </c>
      <c r="G969" s="8">
        <f t="shared" si="120"/>
        <v>0.90231110358705213</v>
      </c>
      <c r="H969" s="8">
        <f t="shared" si="121"/>
        <v>0.97511511966453435</v>
      </c>
      <c r="I969" s="8">
        <f t="shared" si="122"/>
        <v>1.0806861577875488</v>
      </c>
      <c r="J969" s="22">
        <f t="shared" si="123"/>
        <v>0.11194761063693971</v>
      </c>
      <c r="K969" s="8"/>
      <c r="L969" s="8">
        <v>0.60111274454508723</v>
      </c>
      <c r="M969" s="8">
        <v>0.30041865340289042</v>
      </c>
      <c r="N969" s="8">
        <v>0.90948216777248037</v>
      </c>
      <c r="O969" s="8">
        <v>0.35253837780052016</v>
      </c>
      <c r="P969" s="8">
        <f t="shared" si="124"/>
        <v>0.45076569897398883</v>
      </c>
      <c r="Q969" s="8">
        <f t="shared" si="125"/>
        <v>0.63101027278650024</v>
      </c>
      <c r="R969" s="8">
        <f t="shared" si="126"/>
        <v>1.3998631089782905</v>
      </c>
      <c r="S969" s="22">
        <f t="shared" si="127"/>
        <v>0.48528575456016548</v>
      </c>
      <c r="T969" s="25"/>
      <c r="U969" s="1" t="s">
        <v>2748</v>
      </c>
    </row>
    <row r="970" spans="1:21">
      <c r="A970" s="6" t="s">
        <v>2749</v>
      </c>
      <c r="B970" s="6" t="s">
        <v>2750</v>
      </c>
      <c r="C970" s="7">
        <v>0.98398674258113661</v>
      </c>
      <c r="D970" s="7">
        <v>0.97786400783429295</v>
      </c>
      <c r="E970" s="7">
        <v>0.99404610507904456</v>
      </c>
      <c r="F970" s="8">
        <v>0.89308472442865439</v>
      </c>
      <c r="G970" s="8">
        <f t="shared" si="120"/>
        <v>0.98092537520771472</v>
      </c>
      <c r="H970" s="8">
        <f t="shared" si="121"/>
        <v>0.94356541475384947</v>
      </c>
      <c r="I970" s="8">
        <f t="shared" si="122"/>
        <v>0.96191355489610597</v>
      </c>
      <c r="J970" s="22">
        <f t="shared" si="123"/>
        <v>-5.6020846969399872E-2</v>
      </c>
      <c r="K970" s="8"/>
      <c r="L970" s="8">
        <v>1.2005459668019718</v>
      </c>
      <c r="M970" s="8">
        <v>0.94290182042947501</v>
      </c>
      <c r="N970" s="8">
        <v>1.3317049829787186</v>
      </c>
      <c r="O970" s="8">
        <v>0.89546349953392557</v>
      </c>
      <c r="P970" s="8">
        <f t="shared" si="124"/>
        <v>1.0717238936157234</v>
      </c>
      <c r="Q970" s="8">
        <f t="shared" si="125"/>
        <v>1.1135842412563222</v>
      </c>
      <c r="R970" s="8">
        <f t="shared" si="126"/>
        <v>1.0390588918376846</v>
      </c>
      <c r="S970" s="22">
        <f t="shared" si="127"/>
        <v>5.5277425709269308E-2</v>
      </c>
      <c r="T970" s="25"/>
      <c r="U970" s="1" t="s">
        <v>2751</v>
      </c>
    </row>
    <row r="971" spans="1:21">
      <c r="A971" s="6" t="s">
        <v>2752</v>
      </c>
      <c r="B971" s="6" t="s">
        <v>2753</v>
      </c>
      <c r="C971" s="7">
        <v>0.17804149335865191</v>
      </c>
      <c r="D971" s="7">
        <v>0.1742042501944758</v>
      </c>
      <c r="E971" s="7">
        <v>0.24330951339587845</v>
      </c>
      <c r="F971" s="8">
        <v>0.23471146122378417</v>
      </c>
      <c r="G971" s="8">
        <f t="shared" si="120"/>
        <v>0.17612287177656386</v>
      </c>
      <c r="H971" s="8">
        <f t="shared" si="121"/>
        <v>0.23901048730983132</v>
      </c>
      <c r="I971" s="8">
        <f t="shared" si="122"/>
        <v>1.3570667165423527</v>
      </c>
      <c r="J971" s="22">
        <f t="shared" si="123"/>
        <v>0.4404916487293406</v>
      </c>
      <c r="K971" s="8"/>
      <c r="L971" s="8">
        <v>0.60232356293890765</v>
      </c>
      <c r="M971" s="8">
        <v>0.49291232779637828</v>
      </c>
      <c r="N971" s="8">
        <v>0.52272532042155317</v>
      </c>
      <c r="O971" s="8">
        <v>0.68184787072466413</v>
      </c>
      <c r="P971" s="8">
        <f t="shared" si="124"/>
        <v>0.54761794536764297</v>
      </c>
      <c r="Q971" s="8">
        <f t="shared" si="125"/>
        <v>0.60228659557310871</v>
      </c>
      <c r="R971" s="8">
        <f t="shared" si="126"/>
        <v>1.0998299100091835</v>
      </c>
      <c r="S971" s="22">
        <f t="shared" si="127"/>
        <v>0.13728042651352743</v>
      </c>
      <c r="T971" s="25"/>
      <c r="U971" s="1" t="s">
        <v>2754</v>
      </c>
    </row>
    <row r="972" spans="1:21">
      <c r="A972" s="6" t="s">
        <v>2755</v>
      </c>
      <c r="B972" s="6" t="s">
        <v>2756</v>
      </c>
      <c r="C972" s="7">
        <v>0.87062466615161749</v>
      </c>
      <c r="D972" s="7">
        <v>0.99658339810593555</v>
      </c>
      <c r="E972" s="7">
        <v>0.76531741608879356</v>
      </c>
      <c r="F972" s="8">
        <v>0.79304170343480396</v>
      </c>
      <c r="G972" s="8">
        <f t="shared" si="120"/>
        <v>0.93360403212877652</v>
      </c>
      <c r="H972" s="8">
        <f t="shared" si="121"/>
        <v>0.77917955976179876</v>
      </c>
      <c r="I972" s="8">
        <f t="shared" si="122"/>
        <v>0.83459318184941467</v>
      </c>
      <c r="J972" s="22">
        <f t="shared" si="123"/>
        <v>-0.26085496023407323</v>
      </c>
      <c r="K972" s="8"/>
      <c r="L972" s="8">
        <v>1.2992471952272762</v>
      </c>
      <c r="M972" s="8">
        <v>1.2848427558329294</v>
      </c>
      <c r="N972" s="8">
        <v>1.4691707000748988</v>
      </c>
      <c r="O972" s="8">
        <v>0.93180869440515224</v>
      </c>
      <c r="P972" s="8">
        <f t="shared" si="124"/>
        <v>1.2920449755301027</v>
      </c>
      <c r="Q972" s="8">
        <f t="shared" si="125"/>
        <v>1.2004896972400254</v>
      </c>
      <c r="R972" s="8">
        <f t="shared" si="126"/>
        <v>0.92913924822739724</v>
      </c>
      <c r="S972" s="22">
        <f t="shared" si="127"/>
        <v>-0.10603326827655758</v>
      </c>
      <c r="T972" s="25"/>
      <c r="U972" s="1" t="s">
        <v>2757</v>
      </c>
    </row>
    <row r="973" spans="1:21">
      <c r="A973" s="6" t="s">
        <v>2758</v>
      </c>
      <c r="B973" s="6" t="s">
        <v>2759</v>
      </c>
      <c r="C973" s="7">
        <v>0.95798303032150445</v>
      </c>
      <c r="D973" s="7">
        <v>1.0097887584019916</v>
      </c>
      <c r="E973" s="7">
        <v>0.89082921652341873</v>
      </c>
      <c r="F973" s="8">
        <v>0.85335575166002642</v>
      </c>
      <c r="G973" s="8">
        <f t="shared" si="120"/>
        <v>0.983885894361748</v>
      </c>
      <c r="H973" s="8">
        <f t="shared" si="121"/>
        <v>0.87209248409172258</v>
      </c>
      <c r="I973" s="8">
        <f t="shared" si="122"/>
        <v>0.88637563470452396</v>
      </c>
      <c r="J973" s="22">
        <f t="shared" si="123"/>
        <v>-0.17400987073636826</v>
      </c>
      <c r="K973" s="8"/>
      <c r="L973" s="8">
        <v>0.9842000608867516</v>
      </c>
      <c r="M973" s="8">
        <v>1.2782931101602215</v>
      </c>
      <c r="N973" s="8">
        <v>1.1627035635943068</v>
      </c>
      <c r="O973" s="8">
        <v>0.98907991056587286</v>
      </c>
      <c r="P973" s="8">
        <f t="shared" si="124"/>
        <v>1.1312465855234866</v>
      </c>
      <c r="Q973" s="8">
        <f t="shared" si="125"/>
        <v>1.0758917370800898</v>
      </c>
      <c r="R973" s="8">
        <f t="shared" si="126"/>
        <v>0.95106738959324133</v>
      </c>
      <c r="S973" s="22">
        <f t="shared" si="127"/>
        <v>-7.2380525423549835E-2</v>
      </c>
      <c r="T973" s="25"/>
      <c r="U973" s="1" t="s">
        <v>2760</v>
      </c>
    </row>
    <row r="974" spans="1:21">
      <c r="A974" s="6" t="s">
        <v>2761</v>
      </c>
      <c r="B974" s="9" t="s">
        <v>2762</v>
      </c>
      <c r="C974" s="10">
        <v>1.0587188380251082</v>
      </c>
      <c r="D974" s="10">
        <v>1.0492969854031069</v>
      </c>
      <c r="E974" s="10">
        <v>0.87599258818085046</v>
      </c>
      <c r="F974" s="8">
        <v>1.0007199313180801</v>
      </c>
      <c r="G974" s="8">
        <f t="shared" si="120"/>
        <v>1.0540079117141077</v>
      </c>
      <c r="H974" s="8">
        <f t="shared" si="121"/>
        <v>0.93835625974946524</v>
      </c>
      <c r="I974" s="8">
        <f t="shared" si="122"/>
        <v>0.89027439862708346</v>
      </c>
      <c r="J974" s="22">
        <f t="shared" si="123"/>
        <v>-0.16767802563465412</v>
      </c>
      <c r="K974" s="8"/>
      <c r="L974" s="8">
        <v>1.1884768415216318</v>
      </c>
      <c r="M974" s="8">
        <v>1.1357662294836821</v>
      </c>
      <c r="N974" s="8">
        <v>1.2777106203071762</v>
      </c>
      <c r="O974" s="8">
        <v>1.3902287349503615</v>
      </c>
      <c r="P974" s="8">
        <f t="shared" si="124"/>
        <v>1.1621215355026568</v>
      </c>
      <c r="Q974" s="8">
        <f t="shared" si="125"/>
        <v>1.3339696776287688</v>
      </c>
      <c r="R974" s="8">
        <f t="shared" si="126"/>
        <v>1.1478745009675617</v>
      </c>
      <c r="S974" s="22">
        <f t="shared" si="127"/>
        <v>0.19896491838207028</v>
      </c>
      <c r="T974" s="25"/>
      <c r="U974" s="1" t="s">
        <v>2763</v>
      </c>
    </row>
    <row r="975" spans="1:21">
      <c r="A975" s="6" t="s">
        <v>2764</v>
      </c>
      <c r="B975" s="6" t="s">
        <v>2765</v>
      </c>
      <c r="C975" s="7">
        <v>1.0411152197031519</v>
      </c>
      <c r="D975" s="7">
        <v>1.080736393479067</v>
      </c>
      <c r="E975" s="7">
        <v>1.0411460049682753</v>
      </c>
      <c r="F975" s="8">
        <v>1.1485669799420952</v>
      </c>
      <c r="G975" s="8">
        <f t="shared" si="120"/>
        <v>1.0609258065911096</v>
      </c>
      <c r="H975" s="8">
        <f t="shared" si="121"/>
        <v>1.0948564924551851</v>
      </c>
      <c r="I975" s="8">
        <f t="shared" si="122"/>
        <v>1.0319821477178495</v>
      </c>
      <c r="J975" s="22">
        <f t="shared" si="123"/>
        <v>4.5418013763398227E-2</v>
      </c>
      <c r="K975" s="8"/>
      <c r="L975" s="8">
        <v>1.1941794055699477</v>
      </c>
      <c r="M975" s="8">
        <v>0.81013761915187787</v>
      </c>
      <c r="N975" s="8">
        <v>1.377792025640304</v>
      </c>
      <c r="O975" s="8">
        <v>0.6399958281456759</v>
      </c>
      <c r="P975" s="8">
        <f t="shared" si="124"/>
        <v>1.0021585123609129</v>
      </c>
      <c r="Q975" s="8">
        <f t="shared" si="125"/>
        <v>1.00889392689299</v>
      </c>
      <c r="R975" s="8">
        <f t="shared" si="126"/>
        <v>1.0067209073704413</v>
      </c>
      <c r="S975" s="22">
        <f t="shared" si="127"/>
        <v>9.6637812989698538E-3</v>
      </c>
      <c r="T975" s="25"/>
      <c r="U975" s="1" t="s">
        <v>2766</v>
      </c>
    </row>
    <row r="976" spans="1:21">
      <c r="A976" s="6" t="s">
        <v>2767</v>
      </c>
      <c r="B976" s="6" t="s">
        <v>2768</v>
      </c>
      <c r="C976" s="7">
        <v>0.98708288918024878</v>
      </c>
      <c r="D976" s="7">
        <v>0.92304052887164656</v>
      </c>
      <c r="E976" s="7">
        <v>0.93458767748635985</v>
      </c>
      <c r="F976" s="8">
        <v>1.0041223003397763</v>
      </c>
      <c r="G976" s="8">
        <f t="shared" si="120"/>
        <v>0.95506170902594767</v>
      </c>
      <c r="H976" s="8">
        <f t="shared" si="121"/>
        <v>0.96935498891306815</v>
      </c>
      <c r="I976" s="8">
        <f t="shared" si="122"/>
        <v>1.0149658181791186</v>
      </c>
      <c r="J976" s="22">
        <f t="shared" si="123"/>
        <v>2.143114142635542E-2</v>
      </c>
      <c r="K976" s="8"/>
      <c r="L976" s="8">
        <v>0.88592847769796412</v>
      </c>
      <c r="M976" s="8">
        <v>0.79020033295319436</v>
      </c>
      <c r="N976" s="8">
        <v>1.4522799159116173</v>
      </c>
      <c r="O976" s="8">
        <v>0.89441219224426205</v>
      </c>
      <c r="P976" s="8">
        <f t="shared" si="124"/>
        <v>0.83806440532557924</v>
      </c>
      <c r="Q976" s="8">
        <f t="shared" si="125"/>
        <v>1.1733460540779397</v>
      </c>
      <c r="R976" s="8">
        <f t="shared" si="126"/>
        <v>1.4000666853546979</v>
      </c>
      <c r="S976" s="22">
        <f t="shared" si="127"/>
        <v>0.48549554455546978</v>
      </c>
      <c r="T976" s="25"/>
      <c r="U976" s="1" t="s">
        <v>2769</v>
      </c>
    </row>
    <row r="977" spans="1:21">
      <c r="A977" s="6" t="s">
        <v>2770</v>
      </c>
      <c r="B977" s="6" t="s">
        <v>2771</v>
      </c>
      <c r="C977" s="7">
        <v>0.91854308693450148</v>
      </c>
      <c r="D977" s="7">
        <v>0.92203613954846508</v>
      </c>
      <c r="E977" s="7">
        <v>0.86261883860266264</v>
      </c>
      <c r="F977" s="8">
        <v>0.92987191088157972</v>
      </c>
      <c r="G977" s="8">
        <f t="shared" si="120"/>
        <v>0.92028961324148328</v>
      </c>
      <c r="H977" s="8">
        <f t="shared" si="121"/>
        <v>0.89624537474212118</v>
      </c>
      <c r="I977" s="8">
        <f t="shared" si="122"/>
        <v>0.97387318279658464</v>
      </c>
      <c r="J977" s="22">
        <f t="shared" si="123"/>
        <v>-3.8194177263859971E-2</v>
      </c>
      <c r="K977" s="8"/>
      <c r="L977" s="8">
        <v>1.1037586126120611</v>
      </c>
      <c r="M977" s="8">
        <v>0.93919447382228183</v>
      </c>
      <c r="N977" s="8">
        <v>1.669333510741154</v>
      </c>
      <c r="O977" s="8">
        <v>0.97436160851058273</v>
      </c>
      <c r="P977" s="8">
        <f t="shared" si="124"/>
        <v>1.0214765432171715</v>
      </c>
      <c r="Q977" s="8">
        <f t="shared" si="125"/>
        <v>1.3218475596258683</v>
      </c>
      <c r="R977" s="8">
        <f t="shared" si="126"/>
        <v>1.2940557161133326</v>
      </c>
      <c r="S977" s="22">
        <f t="shared" si="127"/>
        <v>0.37189973450967168</v>
      </c>
      <c r="T977" s="25"/>
      <c r="U977" s="1" t="s">
        <v>2772</v>
      </c>
    </row>
    <row r="978" spans="1:21">
      <c r="A978" s="6" t="s">
        <v>2773</v>
      </c>
      <c r="B978" s="6" t="s">
        <v>2774</v>
      </c>
      <c r="C978" s="7">
        <v>0.93993523906971754</v>
      </c>
      <c r="D978" s="7">
        <v>0.91354264594303847</v>
      </c>
      <c r="E978" s="7">
        <v>0.95963248168747328</v>
      </c>
      <c r="F978" s="8">
        <v>0.99211000621732481</v>
      </c>
      <c r="G978" s="8">
        <f t="shared" si="120"/>
        <v>0.92673894250637801</v>
      </c>
      <c r="H978" s="8">
        <f t="shared" si="121"/>
        <v>0.9758712439523991</v>
      </c>
      <c r="I978" s="8">
        <f t="shared" si="122"/>
        <v>1.0530163341503078</v>
      </c>
      <c r="J978" s="22">
        <f t="shared" si="123"/>
        <v>7.4527815295136288E-2</v>
      </c>
      <c r="K978" s="8"/>
      <c r="L978" s="8">
        <v>1.2730388357997418</v>
      </c>
      <c r="M978" s="8">
        <v>0.82665590792392774</v>
      </c>
      <c r="N978" s="8">
        <v>1.3340912156444455</v>
      </c>
      <c r="O978" s="8">
        <v>1.0304313306259736</v>
      </c>
      <c r="P978" s="8">
        <f t="shared" si="124"/>
        <v>1.0498473718618349</v>
      </c>
      <c r="Q978" s="8">
        <f t="shared" si="125"/>
        <v>1.1822612731352096</v>
      </c>
      <c r="R978" s="8">
        <f t="shared" si="126"/>
        <v>1.1261268112130884</v>
      </c>
      <c r="S978" s="22">
        <f t="shared" si="127"/>
        <v>0.17136929598566217</v>
      </c>
      <c r="T978" s="25"/>
      <c r="U978" s="1" t="s">
        <v>2775</v>
      </c>
    </row>
    <row r="979" spans="1:21">
      <c r="A979" s="6" t="s">
        <v>2776</v>
      </c>
      <c r="B979" s="6" t="s">
        <v>2777</v>
      </c>
      <c r="C979" s="7">
        <v>9.3681296465120356E-2</v>
      </c>
      <c r="D979" s="7">
        <v>9.1069125880407387E-2</v>
      </c>
      <c r="E979" s="7">
        <v>0.13948509049001817</v>
      </c>
      <c r="F979" s="8">
        <v>0.18169244876123797</v>
      </c>
      <c r="G979" s="8">
        <f t="shared" si="120"/>
        <v>9.2375211172763871E-2</v>
      </c>
      <c r="H979" s="8">
        <f t="shared" si="121"/>
        <v>0.16058876962562807</v>
      </c>
      <c r="I979" s="8">
        <f t="shared" si="122"/>
        <v>1.7384400813470231</v>
      </c>
      <c r="J979" s="22">
        <f t="shared" si="123"/>
        <v>0.79779334268634972</v>
      </c>
      <c r="K979" s="8"/>
      <c r="L979" s="8">
        <v>0.81409960588390207</v>
      </c>
      <c r="M979" s="8">
        <v>0.62320496466917985</v>
      </c>
      <c r="N979" s="8">
        <v>0.564882097516059</v>
      </c>
      <c r="O979" s="8">
        <v>0.3978947780117203</v>
      </c>
      <c r="P979" s="8">
        <f t="shared" si="124"/>
        <v>0.7186522852765409</v>
      </c>
      <c r="Q979" s="8">
        <f t="shared" si="125"/>
        <v>0.48138843776388962</v>
      </c>
      <c r="R979" s="8">
        <f t="shared" si="126"/>
        <v>0.66984889302710415</v>
      </c>
      <c r="S979" s="22">
        <f t="shared" si="127"/>
        <v>-0.57809241105927545</v>
      </c>
      <c r="T979" s="25"/>
      <c r="U979" s="1" t="s">
        <v>2778</v>
      </c>
    </row>
    <row r="980" spans="1:21">
      <c r="A980" s="6" t="s">
        <v>2779</v>
      </c>
      <c r="B980" s="6" t="s">
        <v>2780</v>
      </c>
      <c r="C980" s="7">
        <v>0.79178397110671417</v>
      </c>
      <c r="D980" s="7">
        <v>0.91639403308200318</v>
      </c>
      <c r="E980" s="7">
        <v>0.97782653670238995</v>
      </c>
      <c r="F980" s="8">
        <v>0.94885980437384099</v>
      </c>
      <c r="G980" s="8">
        <f t="shared" si="120"/>
        <v>0.85408900209435867</v>
      </c>
      <c r="H980" s="8">
        <f t="shared" si="121"/>
        <v>0.96334317053811547</v>
      </c>
      <c r="I980" s="8">
        <f t="shared" si="122"/>
        <v>1.1279189501045543</v>
      </c>
      <c r="J980" s="22">
        <f t="shared" si="123"/>
        <v>0.17366340241462666</v>
      </c>
      <c r="K980" s="8"/>
      <c r="L980" s="8">
        <v>1.3274866048637997</v>
      </c>
      <c r="M980" s="8">
        <v>1.062154802960857</v>
      </c>
      <c r="N980" s="8">
        <v>1.5393072248969457</v>
      </c>
      <c r="O980" s="8">
        <v>0.99173320991597624</v>
      </c>
      <c r="P980" s="8">
        <f t="shared" si="124"/>
        <v>1.1948207039123284</v>
      </c>
      <c r="Q980" s="8">
        <f t="shared" si="125"/>
        <v>1.265520217406461</v>
      </c>
      <c r="R980" s="8">
        <f t="shared" si="126"/>
        <v>1.0591716508281399</v>
      </c>
      <c r="S980" s="22">
        <f t="shared" si="127"/>
        <v>8.2936413438854786E-2</v>
      </c>
      <c r="T980" s="25"/>
      <c r="U980" s="1" t="s">
        <v>2781</v>
      </c>
    </row>
    <row r="981" spans="1:21">
      <c r="A981" s="6" t="s">
        <v>2782</v>
      </c>
      <c r="B981" s="6" t="s">
        <v>2783</v>
      </c>
      <c r="C981" s="7">
        <v>0.77128016483115891</v>
      </c>
      <c r="D981" s="7">
        <v>0.94728068998681636</v>
      </c>
      <c r="E981" s="7">
        <v>0.94131052470408616</v>
      </c>
      <c r="F981" s="8">
        <v>0.89750483265553049</v>
      </c>
      <c r="G981" s="8">
        <f t="shared" si="120"/>
        <v>0.85928042740898758</v>
      </c>
      <c r="H981" s="8">
        <f t="shared" si="121"/>
        <v>0.91940767867980833</v>
      </c>
      <c r="I981" s="8">
        <f t="shared" si="122"/>
        <v>1.0699739565256061</v>
      </c>
      <c r="J981" s="22">
        <f t="shared" si="123"/>
        <v>9.7575681440797826E-2</v>
      </c>
      <c r="K981" s="8"/>
      <c r="L981" s="8">
        <v>1.3653344443351572</v>
      </c>
      <c r="M981" s="8">
        <v>0.95447698039193385</v>
      </c>
      <c r="N981" s="8">
        <v>1.4995834693439651</v>
      </c>
      <c r="O981" s="8">
        <v>0.92985626658149123</v>
      </c>
      <c r="P981" s="8">
        <f t="shared" si="124"/>
        <v>1.1599057123635454</v>
      </c>
      <c r="Q981" s="8">
        <f t="shared" si="125"/>
        <v>1.2147198679627282</v>
      </c>
      <c r="R981" s="8">
        <f t="shared" si="126"/>
        <v>1.0472574236120347</v>
      </c>
      <c r="S981" s="22">
        <f t="shared" si="127"/>
        <v>6.6616110960519545E-2</v>
      </c>
      <c r="T981" s="25"/>
      <c r="U981" s="1" t="s">
        <v>2784</v>
      </c>
    </row>
    <row r="982" spans="1:21">
      <c r="A982" s="6" t="s">
        <v>2785</v>
      </c>
      <c r="B982" s="6" t="s">
        <v>2786</v>
      </c>
      <c r="C982" s="7">
        <v>0.66085093612949075</v>
      </c>
      <c r="D982" s="7">
        <v>0.87015167900801393</v>
      </c>
      <c r="E982" s="7">
        <v>0.953189420025776</v>
      </c>
      <c r="F982" s="8">
        <v>0.94008644669999097</v>
      </c>
      <c r="G982" s="8">
        <f t="shared" si="120"/>
        <v>0.76550130756875234</v>
      </c>
      <c r="H982" s="8">
        <f t="shared" si="121"/>
        <v>0.94663793336288349</v>
      </c>
      <c r="I982" s="8">
        <f t="shared" si="122"/>
        <v>1.2366248417908321</v>
      </c>
      <c r="J982" s="22">
        <f t="shared" si="123"/>
        <v>0.30640789240954214</v>
      </c>
      <c r="K982" s="8"/>
      <c r="L982" s="8">
        <v>0.85597048711537271</v>
      </c>
      <c r="M982" s="8">
        <v>1.1789362210874432</v>
      </c>
      <c r="N982" s="8">
        <v>1.0611717031114236</v>
      </c>
      <c r="O982" s="8">
        <v>1.1075271985346362</v>
      </c>
      <c r="P982" s="8">
        <f t="shared" si="124"/>
        <v>1.0174533541014079</v>
      </c>
      <c r="Q982" s="8">
        <f t="shared" si="125"/>
        <v>1.08434945082303</v>
      </c>
      <c r="R982" s="8">
        <f t="shared" si="126"/>
        <v>1.0657485637567172</v>
      </c>
      <c r="S982" s="22">
        <f t="shared" si="127"/>
        <v>9.1867111072473209E-2</v>
      </c>
      <c r="T982" s="25"/>
      <c r="U982" s="1" t="s">
        <v>2787</v>
      </c>
    </row>
    <row r="983" spans="1:21">
      <c r="A983" s="6" t="s">
        <v>2788</v>
      </c>
      <c r="B983" s="6" t="s">
        <v>2789</v>
      </c>
      <c r="C983" s="7">
        <v>0.76362471374643426</v>
      </c>
      <c r="D983" s="7">
        <v>0.96256897847658429</v>
      </c>
      <c r="E983" s="7">
        <v>0.85179513452085365</v>
      </c>
      <c r="F983" s="8">
        <v>0.94715861986299288</v>
      </c>
      <c r="G983" s="8">
        <f t="shared" si="120"/>
        <v>0.86309684611150927</v>
      </c>
      <c r="H983" s="8">
        <f t="shared" si="121"/>
        <v>0.89947687719192326</v>
      </c>
      <c r="I983" s="8">
        <f t="shared" si="122"/>
        <v>1.0421505781701279</v>
      </c>
      <c r="J983" s="22">
        <f t="shared" si="123"/>
        <v>5.9563744683976731E-2</v>
      </c>
      <c r="K983" s="8"/>
      <c r="L983" s="8">
        <v>1.2963568545452531</v>
      </c>
      <c r="M983" s="8">
        <v>1.308610966859046</v>
      </c>
      <c r="N983" s="8">
        <v>1.433657943343789</v>
      </c>
      <c r="O983" s="8">
        <v>0.97290980320580922</v>
      </c>
      <c r="P983" s="8">
        <f t="shared" si="124"/>
        <v>1.3024839107021495</v>
      </c>
      <c r="Q983" s="8">
        <f t="shared" si="125"/>
        <v>1.203283873274799</v>
      </c>
      <c r="R983" s="8">
        <f t="shared" si="126"/>
        <v>0.92383780205478838</v>
      </c>
      <c r="S983" s="22">
        <f t="shared" si="127"/>
        <v>-0.11428851457919517</v>
      </c>
      <c r="T983" s="25"/>
      <c r="U983" s="1" t="s">
        <v>2790</v>
      </c>
    </row>
    <row r="984" spans="1:21">
      <c r="A984" s="6" t="s">
        <v>2791</v>
      </c>
      <c r="B984" s="6" t="s">
        <v>2792</v>
      </c>
      <c r="C984" s="7">
        <v>0.9384916770477687</v>
      </c>
      <c r="D984" s="7">
        <v>0.8930301847991392</v>
      </c>
      <c r="E984" s="7">
        <v>0.94612283626778548</v>
      </c>
      <c r="F984" s="8">
        <v>0.92365404435066323</v>
      </c>
      <c r="G984" s="8">
        <f t="shared" si="120"/>
        <v>0.91576093092345401</v>
      </c>
      <c r="H984" s="8">
        <f t="shared" si="121"/>
        <v>0.93488844030922436</v>
      </c>
      <c r="I984" s="8">
        <f t="shared" si="122"/>
        <v>1.0208870118170275</v>
      </c>
      <c r="J984" s="22">
        <f t="shared" si="123"/>
        <v>2.98232026393495E-2</v>
      </c>
      <c r="K984" s="8"/>
      <c r="L984" s="8">
        <v>1.2521424538418717</v>
      </c>
      <c r="M984" s="8">
        <v>1.1204013374338704</v>
      </c>
      <c r="N984" s="8">
        <v>1.4051167291066651</v>
      </c>
      <c r="O984" s="8">
        <v>0.8790430809144183</v>
      </c>
      <c r="P984" s="8">
        <f t="shared" si="124"/>
        <v>1.1862718956378711</v>
      </c>
      <c r="Q984" s="8">
        <f t="shared" si="125"/>
        <v>1.1420799050105417</v>
      </c>
      <c r="R984" s="8">
        <f t="shared" si="126"/>
        <v>0.96274716547712957</v>
      </c>
      <c r="S984" s="22">
        <f t="shared" si="127"/>
        <v>-5.4771124445582783E-2</v>
      </c>
      <c r="T984" s="25"/>
      <c r="U984" s="1" t="s">
        <v>2793</v>
      </c>
    </row>
    <row r="985" spans="1:21">
      <c r="A985" s="6" t="s">
        <v>2794</v>
      </c>
      <c r="B985" s="6" t="s">
        <v>2795</v>
      </c>
      <c r="C985" s="7">
        <v>0.89366287090914631</v>
      </c>
      <c r="D985" s="7">
        <v>0.83811907455326218</v>
      </c>
      <c r="E985" s="7">
        <v>0.94116663498955688</v>
      </c>
      <c r="F985" s="8">
        <v>0.91075772858283643</v>
      </c>
      <c r="G985" s="8">
        <f t="shared" si="120"/>
        <v>0.8658909727312043</v>
      </c>
      <c r="H985" s="8">
        <f t="shared" si="121"/>
        <v>0.92596218178619671</v>
      </c>
      <c r="I985" s="8">
        <f t="shared" si="122"/>
        <v>1.0693750263563957</v>
      </c>
      <c r="J985" s="22">
        <f t="shared" si="123"/>
        <v>9.6767890272131965E-2</v>
      </c>
      <c r="K985" s="8"/>
      <c r="L985" s="8">
        <v>1.2666722745677179</v>
      </c>
      <c r="M985" s="8">
        <v>0.86611855292049555</v>
      </c>
      <c r="N985" s="8">
        <v>1.6436464179277426</v>
      </c>
      <c r="O985" s="8">
        <v>0.84530112314140626</v>
      </c>
      <c r="P985" s="8">
        <f t="shared" si="124"/>
        <v>1.0663954137441067</v>
      </c>
      <c r="Q985" s="8">
        <f t="shared" si="125"/>
        <v>1.2444737705345745</v>
      </c>
      <c r="R985" s="8">
        <f t="shared" si="126"/>
        <v>1.1669909252190385</v>
      </c>
      <c r="S985" s="22">
        <f t="shared" si="127"/>
        <v>0.22279334237140166</v>
      </c>
      <c r="T985" s="25"/>
      <c r="U985" s="1" t="s">
        <v>2796</v>
      </c>
    </row>
    <row r="986" spans="1:21">
      <c r="A986" s="6" t="s">
        <v>2797</v>
      </c>
      <c r="B986" s="6" t="s">
        <v>2798</v>
      </c>
      <c r="C986" s="7">
        <v>0.95689219386147972</v>
      </c>
      <c r="D986" s="7">
        <v>1.0114267893116096</v>
      </c>
      <c r="E986" s="7">
        <v>0.97038424091201758</v>
      </c>
      <c r="F986" s="8">
        <v>0.81914634261000185</v>
      </c>
      <c r="G986" s="8">
        <f t="shared" si="120"/>
        <v>0.98415949158654459</v>
      </c>
      <c r="H986" s="8">
        <f t="shared" si="121"/>
        <v>0.89476529176100972</v>
      </c>
      <c r="I986" s="8">
        <f t="shared" si="122"/>
        <v>0.9091669586182376</v>
      </c>
      <c r="J986" s="22">
        <f t="shared" si="123"/>
        <v>-0.13738284089416264</v>
      </c>
      <c r="K986" s="8"/>
      <c r="L986" s="8">
        <v>1.1612138983317377</v>
      </c>
      <c r="M986" s="8">
        <v>0.76029440365516909</v>
      </c>
      <c r="N986" s="8">
        <v>1.5270953283135205</v>
      </c>
      <c r="O986" s="8">
        <v>1.3715054527439718</v>
      </c>
      <c r="P986" s="8">
        <f t="shared" si="124"/>
        <v>0.9607541509934534</v>
      </c>
      <c r="Q986" s="8">
        <f t="shared" si="125"/>
        <v>1.4493003905287463</v>
      </c>
      <c r="R986" s="8">
        <f t="shared" si="126"/>
        <v>1.5085028662432725</v>
      </c>
      <c r="S986" s="22">
        <f t="shared" si="127"/>
        <v>0.59311743769179226</v>
      </c>
      <c r="T986" s="25"/>
      <c r="U986" s="1" t="s">
        <v>2799</v>
      </c>
    </row>
    <row r="987" spans="1:21">
      <c r="A987" s="6" t="s">
        <v>2800</v>
      </c>
      <c r="B987" s="6" t="s">
        <v>80</v>
      </c>
      <c r="C987" s="7">
        <v>1.0805225033159025</v>
      </c>
      <c r="D987" s="7">
        <v>1.0840798639777112</v>
      </c>
      <c r="E987" s="7">
        <v>0.98200733229676662</v>
      </c>
      <c r="F987" s="8">
        <v>1.0084904072933951</v>
      </c>
      <c r="G987" s="8">
        <f t="shared" si="120"/>
        <v>1.0823011836468068</v>
      </c>
      <c r="H987" s="8">
        <f t="shared" si="121"/>
        <v>0.99524886979508087</v>
      </c>
      <c r="I987" s="8">
        <f t="shared" si="122"/>
        <v>0.91956738552349748</v>
      </c>
      <c r="J987" s="22">
        <f t="shared" si="123"/>
        <v>-0.12097279627136936</v>
      </c>
      <c r="K987" s="8"/>
      <c r="L987" s="8">
        <v>1.1369584717974621</v>
      </c>
      <c r="M987" s="8">
        <v>1.1281455725688962</v>
      </c>
      <c r="N987" s="8">
        <v>1.4318331771876449</v>
      </c>
      <c r="O987" s="8">
        <v>0.90307296182101437</v>
      </c>
      <c r="P987" s="8">
        <f t="shared" si="124"/>
        <v>1.1325520221831793</v>
      </c>
      <c r="Q987" s="8">
        <f t="shared" si="125"/>
        <v>1.1674530695043297</v>
      </c>
      <c r="R987" s="8">
        <f t="shared" si="126"/>
        <v>1.0308162862610699</v>
      </c>
      <c r="S987" s="22">
        <f t="shared" si="127"/>
        <v>4.3787236181403559E-2</v>
      </c>
      <c r="T987" s="25"/>
      <c r="U987" s="1">
        <v>0</v>
      </c>
    </row>
    <row r="988" spans="1:21">
      <c r="A988" s="6" t="s">
        <v>2801</v>
      </c>
      <c r="B988" s="6" t="s">
        <v>80</v>
      </c>
      <c r="C988" s="7">
        <v>1.1339930857216671</v>
      </c>
      <c r="D988" s="7">
        <v>1.1258934678145851</v>
      </c>
      <c r="E988" s="7">
        <v>1.171030453949983</v>
      </c>
      <c r="F988" s="8">
        <v>1.0473205009100028</v>
      </c>
      <c r="G988" s="8">
        <f t="shared" si="120"/>
        <v>1.1299432767681261</v>
      </c>
      <c r="H988" s="8">
        <f t="shared" si="121"/>
        <v>1.1091754774299929</v>
      </c>
      <c r="I988" s="8">
        <f t="shared" si="122"/>
        <v>0.98162049390874428</v>
      </c>
      <c r="J988" s="22">
        <f t="shared" si="123"/>
        <v>-2.6762725519925746E-2</v>
      </c>
      <c r="K988" s="8"/>
      <c r="L988" s="8">
        <v>1.4513806676121439</v>
      </c>
      <c r="M988" s="8">
        <v>1.5963834490573996</v>
      </c>
      <c r="N988" s="8">
        <v>1.6133272264102734</v>
      </c>
      <c r="O988" s="8">
        <v>1.1757119856071025</v>
      </c>
      <c r="P988" s="8">
        <f t="shared" si="124"/>
        <v>1.5238820583347716</v>
      </c>
      <c r="Q988" s="8">
        <f t="shared" si="125"/>
        <v>1.394519606008688</v>
      </c>
      <c r="R988" s="8">
        <f t="shared" si="126"/>
        <v>0.9151099314946689</v>
      </c>
      <c r="S988" s="22">
        <f t="shared" si="127"/>
        <v>-0.12798303116750628</v>
      </c>
      <c r="T988" s="25"/>
      <c r="U988" s="1">
        <v>0</v>
      </c>
    </row>
    <row r="989" spans="1:21">
      <c r="A989" s="6" t="s">
        <v>2802</v>
      </c>
      <c r="B989" s="6" t="s">
        <v>2803</v>
      </c>
      <c r="C989" s="7">
        <v>1.01321724053689</v>
      </c>
      <c r="D989" s="7">
        <v>0.88413897998520452</v>
      </c>
      <c r="E989" s="7">
        <v>1.008546990754378</v>
      </c>
      <c r="F989" s="8">
        <v>1.0356202144270954</v>
      </c>
      <c r="G989" s="8">
        <f t="shared" si="120"/>
        <v>0.94867811026104731</v>
      </c>
      <c r="H989" s="8">
        <f t="shared" si="121"/>
        <v>1.0220836025907367</v>
      </c>
      <c r="I989" s="8">
        <f t="shared" si="122"/>
        <v>1.0773766059696375</v>
      </c>
      <c r="J989" s="22">
        <f t="shared" si="123"/>
        <v>0.10752264411736612</v>
      </c>
      <c r="K989" s="8"/>
      <c r="L989" s="8">
        <v>1.1317636703013936</v>
      </c>
      <c r="M989" s="8">
        <v>1.1281867653089761</v>
      </c>
      <c r="N989" s="8">
        <v>1.362445274378375</v>
      </c>
      <c r="O989" s="8">
        <v>1.1737595577834417</v>
      </c>
      <c r="P989" s="8">
        <f t="shared" si="124"/>
        <v>1.129975217805185</v>
      </c>
      <c r="Q989" s="8">
        <f t="shared" si="125"/>
        <v>1.2681024160809082</v>
      </c>
      <c r="R989" s="8">
        <f t="shared" si="126"/>
        <v>1.1222391394954798</v>
      </c>
      <c r="S989" s="22">
        <f t="shared" si="127"/>
        <v>0.16638013459444401</v>
      </c>
      <c r="T989" s="25"/>
      <c r="U989" s="1" t="s">
        <v>2804</v>
      </c>
    </row>
    <row r="990" spans="1:21">
      <c r="A990" s="6" t="s">
        <v>2805</v>
      </c>
      <c r="B990" s="6" t="s">
        <v>2806</v>
      </c>
      <c r="C990" s="7">
        <v>1.0833051160821934</v>
      </c>
      <c r="D990" s="7">
        <v>0.89201231374007617</v>
      </c>
      <c r="E990" s="7">
        <v>1.0666944231702409</v>
      </c>
      <c r="F990" s="8">
        <v>0.9793028354893677</v>
      </c>
      <c r="G990" s="8">
        <f t="shared" si="120"/>
        <v>0.98765871491113477</v>
      </c>
      <c r="H990" s="8">
        <f t="shared" si="121"/>
        <v>1.0229986293298043</v>
      </c>
      <c r="I990" s="8">
        <f t="shared" si="122"/>
        <v>1.0357815041624467</v>
      </c>
      <c r="J990" s="22">
        <f t="shared" si="123"/>
        <v>5.0719701763133715E-2</v>
      </c>
      <c r="K990" s="8"/>
      <c r="L990" s="8">
        <v>1.0727460382671099</v>
      </c>
      <c r="M990" s="8">
        <v>1.0797852957150647</v>
      </c>
      <c r="N990" s="8">
        <v>1.3773241368823184</v>
      </c>
      <c r="O990" s="8">
        <v>0.97671453434935362</v>
      </c>
      <c r="P990" s="8">
        <f t="shared" si="124"/>
        <v>1.0762656669910873</v>
      </c>
      <c r="Q990" s="8">
        <f t="shared" si="125"/>
        <v>1.177019335615836</v>
      </c>
      <c r="R990" s="8">
        <f t="shared" si="126"/>
        <v>1.0936141249459583</v>
      </c>
      <c r="S990" s="22">
        <f t="shared" si="127"/>
        <v>0.12910378179644869</v>
      </c>
      <c r="T990" s="25"/>
      <c r="U990" s="1" t="s">
        <v>2807</v>
      </c>
    </row>
    <row r="991" spans="1:21">
      <c r="A991" s="6" t="s">
        <v>2808</v>
      </c>
      <c r="B991" s="6" t="s">
        <v>2809</v>
      </c>
      <c r="C991" s="7">
        <v>0.83995713812876571</v>
      </c>
      <c r="D991" s="7">
        <v>0.67623039008665498</v>
      </c>
      <c r="E991" s="7">
        <v>0.88966211106112625</v>
      </c>
      <c r="F991" s="8">
        <v>0.82956145476812015</v>
      </c>
      <c r="G991" s="8">
        <f t="shared" si="120"/>
        <v>0.75809376410771034</v>
      </c>
      <c r="H991" s="8">
        <f t="shared" si="121"/>
        <v>0.85961178291462326</v>
      </c>
      <c r="I991" s="8">
        <f t="shared" si="122"/>
        <v>1.1339122198510647</v>
      </c>
      <c r="J991" s="22">
        <f t="shared" si="123"/>
        <v>0.18130896048538414</v>
      </c>
      <c r="K991" s="8"/>
      <c r="L991" s="8">
        <v>0.91506623646538676</v>
      </c>
      <c r="M991" s="8">
        <v>0.78694610648688035</v>
      </c>
      <c r="N991" s="8">
        <v>1.2484207840572754</v>
      </c>
      <c r="O991" s="8">
        <v>0.68354998728888128</v>
      </c>
      <c r="P991" s="8">
        <f t="shared" si="124"/>
        <v>0.85100617147613355</v>
      </c>
      <c r="Q991" s="8">
        <f t="shared" si="125"/>
        <v>0.96598538567307835</v>
      </c>
      <c r="R991" s="8">
        <f t="shared" si="126"/>
        <v>1.1351097301650643</v>
      </c>
      <c r="S991" s="22">
        <f t="shared" si="127"/>
        <v>0.18283176845276569</v>
      </c>
      <c r="T991" s="25"/>
      <c r="U991" s="1" t="s">
        <v>2810</v>
      </c>
    </row>
    <row r="992" spans="1:21">
      <c r="A992" s="6" t="s">
        <v>2811</v>
      </c>
      <c r="B992" s="6" t="s">
        <v>2812</v>
      </c>
      <c r="C992" s="7">
        <v>0.80088951616823822</v>
      </c>
      <c r="D992" s="7">
        <v>0.75436379038863877</v>
      </c>
      <c r="E992" s="7">
        <v>0.9630938287092039</v>
      </c>
      <c r="F992" s="8">
        <v>0.79170452783675749</v>
      </c>
      <c r="G992" s="8">
        <f t="shared" si="120"/>
        <v>0.7776266532784385</v>
      </c>
      <c r="H992" s="8">
        <f t="shared" si="121"/>
        <v>0.87739917827298064</v>
      </c>
      <c r="I992" s="8">
        <f t="shared" si="122"/>
        <v>1.1283038905288363</v>
      </c>
      <c r="J992" s="22">
        <f t="shared" si="123"/>
        <v>0.17415568680829219</v>
      </c>
      <c r="K992" s="8"/>
      <c r="L992" s="8">
        <v>1.0716523958468849</v>
      </c>
      <c r="M992" s="8">
        <v>0.79547300368342477</v>
      </c>
      <c r="N992" s="8">
        <v>1.3517306218205041</v>
      </c>
      <c r="O992" s="8">
        <v>0.85771656160981424</v>
      </c>
      <c r="P992" s="8">
        <f t="shared" si="124"/>
        <v>0.93356269976515482</v>
      </c>
      <c r="Q992" s="8">
        <f t="shared" si="125"/>
        <v>1.1047235917151592</v>
      </c>
      <c r="R992" s="8">
        <f t="shared" si="126"/>
        <v>1.1833416137909765</v>
      </c>
      <c r="S992" s="22">
        <f t="shared" si="127"/>
        <v>0.24286661922014757</v>
      </c>
      <c r="T992" s="25"/>
      <c r="U992" s="1" t="s">
        <v>2813</v>
      </c>
    </row>
    <row r="993" spans="1:21">
      <c r="A993" s="6" t="s">
        <v>2814</v>
      </c>
      <c r="B993" s="6" t="s">
        <v>2815</v>
      </c>
      <c r="C993" s="7">
        <v>1.0520431801679508</v>
      </c>
      <c r="D993" s="7">
        <v>0.88905981358199937</v>
      </c>
      <c r="E993" s="7">
        <v>1.1575527840224127</v>
      </c>
      <c r="F993" s="8">
        <v>0.83549702867278242</v>
      </c>
      <c r="G993" s="8">
        <f t="shared" si="120"/>
        <v>0.97055149687497511</v>
      </c>
      <c r="H993" s="8">
        <f t="shared" si="121"/>
        <v>0.99652490634759761</v>
      </c>
      <c r="I993" s="8">
        <f t="shared" si="122"/>
        <v>1.0267614954551643</v>
      </c>
      <c r="J993" s="22">
        <f t="shared" si="123"/>
        <v>3.8101099587063245E-2</v>
      </c>
      <c r="K993" s="8"/>
      <c r="L993" s="8">
        <v>1.0178295653086697</v>
      </c>
      <c r="M993" s="8">
        <v>1.3200625486012652</v>
      </c>
      <c r="N993" s="8">
        <v>1.3009646915790625</v>
      </c>
      <c r="O993" s="8">
        <v>1.1819197048413066</v>
      </c>
      <c r="P993" s="8">
        <f t="shared" si="124"/>
        <v>1.1689460569549674</v>
      </c>
      <c r="Q993" s="8">
        <f t="shared" si="125"/>
        <v>1.2414421982101844</v>
      </c>
      <c r="R993" s="8">
        <f t="shared" si="126"/>
        <v>1.0620183804238708</v>
      </c>
      <c r="S993" s="22">
        <f t="shared" si="127"/>
        <v>8.6808735178693419E-2</v>
      </c>
      <c r="T993" s="25"/>
      <c r="U993" s="1" t="s">
        <v>2816</v>
      </c>
    </row>
    <row r="994" spans="1:21">
      <c r="A994" s="6" t="s">
        <v>2817</v>
      </c>
      <c r="B994" s="6" t="s">
        <v>2818</v>
      </c>
      <c r="C994" s="7">
        <v>0.90913707194985682</v>
      </c>
      <c r="D994" s="7">
        <v>0.94690994225007152</v>
      </c>
      <c r="E994" s="7">
        <v>0.94390853343864145</v>
      </c>
      <c r="F994" s="8">
        <v>1.0017673855365499</v>
      </c>
      <c r="G994" s="8">
        <f t="shared" si="120"/>
        <v>0.92802350709996417</v>
      </c>
      <c r="H994" s="8">
        <f t="shared" si="121"/>
        <v>0.97283795948759566</v>
      </c>
      <c r="I994" s="8">
        <f t="shared" si="122"/>
        <v>1.0482902125267008</v>
      </c>
      <c r="J994" s="22">
        <f t="shared" si="123"/>
        <v>6.8038173184654854E-2</v>
      </c>
      <c r="K994" s="8"/>
      <c r="L994" s="8">
        <v>1.1266860447789204</v>
      </c>
      <c r="M994" s="8">
        <v>1.1303699805332121</v>
      </c>
      <c r="N994" s="8">
        <v>1.4054910401130536</v>
      </c>
      <c r="O994" s="8">
        <v>0.84304832180641287</v>
      </c>
      <c r="P994" s="8">
        <f t="shared" si="124"/>
        <v>1.1285280126560662</v>
      </c>
      <c r="Q994" s="8">
        <f t="shared" si="125"/>
        <v>1.1242696809597332</v>
      </c>
      <c r="R994" s="8">
        <f t="shared" si="126"/>
        <v>0.99622664953942019</v>
      </c>
      <c r="S994" s="22">
        <f t="shared" si="127"/>
        <v>-5.4540905782082582E-3</v>
      </c>
      <c r="T994" s="25"/>
      <c r="U994" s="1" t="s">
        <v>2819</v>
      </c>
    </row>
    <row r="995" spans="1:21">
      <c r="A995" s="6" t="s">
        <v>2820</v>
      </c>
      <c r="B995" s="6" t="s">
        <v>2821</v>
      </c>
      <c r="C995" s="7">
        <v>1.0054964699036608</v>
      </c>
      <c r="D995" s="7">
        <v>0.96877057698213387</v>
      </c>
      <c r="E995" s="7">
        <v>0.9228766534982874</v>
      </c>
      <c r="F995" s="8">
        <v>0.82153097242651829</v>
      </c>
      <c r="G995" s="8">
        <f t="shared" si="120"/>
        <v>0.98713352344289729</v>
      </c>
      <c r="H995" s="8">
        <f t="shared" si="121"/>
        <v>0.87220381296240279</v>
      </c>
      <c r="I995" s="8">
        <f t="shared" si="122"/>
        <v>0.88357227492422119</v>
      </c>
      <c r="J995" s="22">
        <f t="shared" si="123"/>
        <v>-0.17857994493215251</v>
      </c>
      <c r="K995" s="8"/>
      <c r="L995" s="8">
        <v>1.1482073652626335</v>
      </c>
      <c r="M995" s="8">
        <v>1.1140164627214819</v>
      </c>
      <c r="N995" s="8">
        <v>1.465708323265805</v>
      </c>
      <c r="O995" s="8">
        <v>0.94367344810278397</v>
      </c>
      <c r="P995" s="8">
        <f t="shared" si="124"/>
        <v>1.1311119139920578</v>
      </c>
      <c r="Q995" s="8">
        <f t="shared" si="125"/>
        <v>1.2046908856842946</v>
      </c>
      <c r="R995" s="8">
        <f t="shared" si="126"/>
        <v>1.0650501252635143</v>
      </c>
      <c r="S995" s="22">
        <f t="shared" si="127"/>
        <v>9.09213307021461E-2</v>
      </c>
      <c r="T995" s="25"/>
      <c r="U995" s="1" t="s">
        <v>2822</v>
      </c>
    </row>
    <row r="996" spans="1:21">
      <c r="A996" s="6" t="s">
        <v>2823</v>
      </c>
      <c r="B996" s="6" t="s">
        <v>2824</v>
      </c>
      <c r="C996" s="7">
        <v>0.93217527670738576</v>
      </c>
      <c r="D996" s="7">
        <v>0.96223193507954352</v>
      </c>
      <c r="E996" s="7">
        <v>0.77314341778457718</v>
      </c>
      <c r="F996" s="8">
        <v>0.94076246325233681</v>
      </c>
      <c r="G996" s="8">
        <f t="shared" si="120"/>
        <v>0.94720360589346464</v>
      </c>
      <c r="H996" s="8">
        <f t="shared" si="121"/>
        <v>0.85695294051845705</v>
      </c>
      <c r="I996" s="8">
        <f t="shared" si="122"/>
        <v>0.90471883255778229</v>
      </c>
      <c r="J996" s="22">
        <f t="shared" si="123"/>
        <v>-0.14445859208378636</v>
      </c>
      <c r="K996" s="8"/>
      <c r="L996" s="8">
        <v>1.1221161818086947</v>
      </c>
      <c r="M996" s="8">
        <v>1.1291341983308143</v>
      </c>
      <c r="N996" s="8">
        <v>1.4797449860053742</v>
      </c>
      <c r="O996" s="8">
        <v>0.89215939090926866</v>
      </c>
      <c r="P996" s="8">
        <f t="shared" si="124"/>
        <v>1.1256251900697545</v>
      </c>
      <c r="Q996" s="8">
        <f t="shared" si="125"/>
        <v>1.1859521884573214</v>
      </c>
      <c r="R996" s="8">
        <f t="shared" si="126"/>
        <v>1.0535942149480757</v>
      </c>
      <c r="S996" s="22">
        <f t="shared" si="127"/>
        <v>7.5319329210637845E-2</v>
      </c>
      <c r="T996" s="25"/>
      <c r="U996" s="1" t="s">
        <v>2825</v>
      </c>
    </row>
    <row r="997" spans="1:21">
      <c r="A997" s="6" t="s">
        <v>2826</v>
      </c>
      <c r="B997" s="6" t="s">
        <v>2827</v>
      </c>
      <c r="C997" s="7">
        <v>0.986560332792213</v>
      </c>
      <c r="D997" s="7">
        <v>0.88258858035881715</v>
      </c>
      <c r="E997" s="7">
        <v>0.91012642601639282</v>
      </c>
      <c r="F997" s="8">
        <v>1.0080521108473688</v>
      </c>
      <c r="G997" s="8">
        <f t="shared" si="120"/>
        <v>0.93457445657551508</v>
      </c>
      <c r="H997" s="8">
        <f t="shared" si="121"/>
        <v>0.9590892684318808</v>
      </c>
      <c r="I997" s="8">
        <f t="shared" si="122"/>
        <v>1.0262309885358876</v>
      </c>
      <c r="J997" s="22">
        <f t="shared" si="123"/>
        <v>3.7355495572824207E-2</v>
      </c>
      <c r="K997" s="8"/>
      <c r="L997" s="8">
        <v>0.56263996654788695</v>
      </c>
      <c r="M997" s="8">
        <v>0.58485452365477009</v>
      </c>
      <c r="N997" s="8">
        <v>0.53503079475657545</v>
      </c>
      <c r="O997" s="8">
        <v>0.74122170146471189</v>
      </c>
      <c r="P997" s="8">
        <f t="shared" si="124"/>
        <v>0.57374724510132857</v>
      </c>
      <c r="Q997" s="8">
        <f t="shared" si="125"/>
        <v>0.63812624811064367</v>
      </c>
      <c r="R997" s="8">
        <f t="shared" si="126"/>
        <v>1.1122079514263206</v>
      </c>
      <c r="S997" s="22">
        <f t="shared" si="127"/>
        <v>0.15342655644542444</v>
      </c>
      <c r="T997" s="25"/>
      <c r="U997" s="1" t="s">
        <v>2828</v>
      </c>
    </row>
    <row r="998" spans="1:21">
      <c r="A998" s="6" t="s">
        <v>2829</v>
      </c>
      <c r="B998" s="6" t="s">
        <v>2830</v>
      </c>
      <c r="C998" s="7">
        <v>1.0341782836519764</v>
      </c>
      <c r="D998" s="7">
        <v>1.0019221655150607</v>
      </c>
      <c r="E998" s="7">
        <v>0.91984697562014439</v>
      </c>
      <c r="F998" s="8">
        <v>0.97004660884955651</v>
      </c>
      <c r="G998" s="8">
        <f t="shared" si="120"/>
        <v>1.0180502245835186</v>
      </c>
      <c r="H998" s="8">
        <f t="shared" si="121"/>
        <v>0.94494679223485045</v>
      </c>
      <c r="I998" s="8">
        <f t="shared" si="122"/>
        <v>0.92819270544478827</v>
      </c>
      <c r="J998" s="22">
        <f t="shared" si="123"/>
        <v>-0.10750373530209967</v>
      </c>
      <c r="K998" s="8"/>
      <c r="L998" s="8">
        <v>1.1495353596300495</v>
      </c>
      <c r="M998" s="8">
        <v>1.0125999366447076</v>
      </c>
      <c r="N998" s="8">
        <v>1.3951974874373696</v>
      </c>
      <c r="O998" s="8">
        <v>1.4330820225671244</v>
      </c>
      <c r="P998" s="8">
        <f t="shared" si="124"/>
        <v>1.0810676481373784</v>
      </c>
      <c r="Q998" s="8">
        <f t="shared" si="125"/>
        <v>1.414139755002247</v>
      </c>
      <c r="R998" s="8">
        <f t="shared" si="126"/>
        <v>1.3080955270826335</v>
      </c>
      <c r="S998" s="22">
        <f t="shared" si="127"/>
        <v>0.38746790124582803</v>
      </c>
      <c r="T998" s="25"/>
      <c r="U998" s="1" t="s">
        <v>2831</v>
      </c>
    </row>
    <row r="999" spans="1:21">
      <c r="A999" s="6" t="s">
        <v>2832</v>
      </c>
      <c r="B999" s="6" t="s">
        <v>2833</v>
      </c>
      <c r="C999" s="7">
        <v>1.1322686496411489</v>
      </c>
      <c r="D999" s="7">
        <v>1.1060213891250632</v>
      </c>
      <c r="E999" s="7">
        <v>1.1113242162933867</v>
      </c>
      <c r="F999" s="8">
        <v>1.1884891002971074</v>
      </c>
      <c r="G999" s="8">
        <f t="shared" si="120"/>
        <v>1.1191450193831061</v>
      </c>
      <c r="H999" s="8">
        <f t="shared" si="121"/>
        <v>1.1499066582952471</v>
      </c>
      <c r="I999" s="8">
        <f t="shared" si="122"/>
        <v>1.0274867317276697</v>
      </c>
      <c r="J999" s="22">
        <f t="shared" si="123"/>
        <v>3.9119764034174283E-2</v>
      </c>
      <c r="K999" s="8"/>
      <c r="L999" s="8">
        <v>0.51987073618551727</v>
      </c>
      <c r="M999" s="8">
        <v>0.49814380578652867</v>
      </c>
      <c r="N999" s="8">
        <v>0.61592876101229199</v>
      </c>
      <c r="O999" s="8">
        <v>0.6478055394403196</v>
      </c>
      <c r="P999" s="8">
        <f t="shared" si="124"/>
        <v>0.50900727098602294</v>
      </c>
      <c r="Q999" s="8">
        <f t="shared" si="125"/>
        <v>0.6318671502263058</v>
      </c>
      <c r="R999" s="8">
        <f t="shared" si="126"/>
        <v>1.2413715603753261</v>
      </c>
      <c r="S999" s="22">
        <f t="shared" si="127"/>
        <v>0.31193499949677983</v>
      </c>
      <c r="T999" s="25"/>
      <c r="U999" s="1" t="s">
        <v>2834</v>
      </c>
    </row>
    <row r="1000" spans="1:21">
      <c r="A1000" s="6" t="s">
        <v>2835</v>
      </c>
      <c r="B1000" s="6" t="s">
        <v>2836</v>
      </c>
      <c r="C1000" s="7">
        <v>1.049097268530399</v>
      </c>
      <c r="D1000" s="7">
        <v>0.95230937747066424</v>
      </c>
      <c r="E1000" s="7">
        <v>1.0220166668089188</v>
      </c>
      <c r="F1000" s="8">
        <v>0.98309892843715541</v>
      </c>
      <c r="G1000" s="8">
        <f t="shared" si="120"/>
        <v>1.0007033230005316</v>
      </c>
      <c r="H1000" s="8">
        <f t="shared" si="121"/>
        <v>1.0025577976230371</v>
      </c>
      <c r="I1000" s="8">
        <f t="shared" si="122"/>
        <v>1.0018531712445453</v>
      </c>
      <c r="J1000" s="22">
        <f t="shared" si="123"/>
        <v>2.6710867375794155E-3</v>
      </c>
      <c r="K1000" s="8"/>
      <c r="L1000" s="8">
        <v>1.3461566433233547</v>
      </c>
      <c r="M1000" s="8">
        <v>0.8633174465950606</v>
      </c>
      <c r="N1000" s="8">
        <v>1.6008813854478554</v>
      </c>
      <c r="O1000" s="8">
        <v>0.9389675964252423</v>
      </c>
      <c r="P1000" s="8">
        <f t="shared" si="124"/>
        <v>1.1047370449592075</v>
      </c>
      <c r="Q1000" s="8">
        <f t="shared" si="125"/>
        <v>1.2699244909365488</v>
      </c>
      <c r="R1000" s="8">
        <f t="shared" si="126"/>
        <v>1.1495264839095178</v>
      </c>
      <c r="S1000" s="22">
        <f t="shared" si="127"/>
        <v>0.20103970465094506</v>
      </c>
      <c r="T1000" s="25"/>
      <c r="U1000" s="1" t="s">
        <v>2837</v>
      </c>
    </row>
    <row r="1001" spans="1:21">
      <c r="A1001" s="6" t="s">
        <v>2838</v>
      </c>
      <c r="B1001" s="6" t="s">
        <v>2839</v>
      </c>
      <c r="C1001" s="7">
        <v>0.87896597249563913</v>
      </c>
      <c r="D1001" s="7">
        <v>0.85859783135745738</v>
      </c>
      <c r="E1001" s="7">
        <v>1.0403466176653351</v>
      </c>
      <c r="F1001" s="8">
        <v>1.0580253344476978</v>
      </c>
      <c r="G1001" s="8">
        <f t="shared" si="120"/>
        <v>0.86878190192654825</v>
      </c>
      <c r="H1001" s="8">
        <f t="shared" si="121"/>
        <v>1.0491859760565165</v>
      </c>
      <c r="I1001" s="8">
        <f t="shared" si="122"/>
        <v>1.2076517405921063</v>
      </c>
      <c r="J1001" s="22">
        <f t="shared" si="123"/>
        <v>0.2722044740679837</v>
      </c>
      <c r="K1001" s="8"/>
      <c r="L1001" s="8">
        <v>2.2528643270055935</v>
      </c>
      <c r="M1001" s="8">
        <v>2.6606802745024125</v>
      </c>
      <c r="N1001" s="8">
        <v>2.7995655945312579</v>
      </c>
      <c r="O1001" s="8">
        <v>3.1188782926686178</v>
      </c>
      <c r="P1001" s="8">
        <f t="shared" si="124"/>
        <v>2.456772300754003</v>
      </c>
      <c r="Q1001" s="8">
        <f t="shared" si="125"/>
        <v>2.9592219435999381</v>
      </c>
      <c r="R1001" s="8">
        <f t="shared" si="126"/>
        <v>1.204516162402079</v>
      </c>
      <c r="S1001" s="22">
        <f t="shared" si="127"/>
        <v>0.2684537520329125</v>
      </c>
      <c r="T1001" s="25"/>
      <c r="U1001" s="1" t="s">
        <v>2840</v>
      </c>
    </row>
    <row r="1002" spans="1:21">
      <c r="A1002" s="6" t="s">
        <v>2841</v>
      </c>
      <c r="B1002" s="6" t="s">
        <v>2842</v>
      </c>
      <c r="C1002" s="7">
        <v>0.94341677100500621</v>
      </c>
      <c r="D1002" s="7">
        <v>1.074042711613838</v>
      </c>
      <c r="E1002" s="7">
        <v>1.0407063419516582</v>
      </c>
      <c r="F1002" s="8">
        <v>1.0025919771553453</v>
      </c>
      <c r="G1002" s="8">
        <f t="shared" si="120"/>
        <v>1.0087297413094221</v>
      </c>
      <c r="H1002" s="8">
        <f t="shared" si="121"/>
        <v>1.0216491595535018</v>
      </c>
      <c r="I1002" s="8">
        <f t="shared" si="122"/>
        <v>1.0128076111122779</v>
      </c>
      <c r="J1002" s="22">
        <f t="shared" si="123"/>
        <v>1.836015157782591E-2</v>
      </c>
      <c r="K1002" s="8"/>
      <c r="L1002" s="8">
        <v>1.1811728725008435</v>
      </c>
      <c r="M1002" s="8">
        <v>0.99093255536266722</v>
      </c>
      <c r="N1002" s="8">
        <v>1.3529471325912665</v>
      </c>
      <c r="O1002" s="8">
        <v>0.92550085066717069</v>
      </c>
      <c r="P1002" s="8">
        <f t="shared" si="124"/>
        <v>1.0860527139317553</v>
      </c>
      <c r="Q1002" s="8">
        <f t="shared" si="125"/>
        <v>1.1392239916292186</v>
      </c>
      <c r="R1002" s="8">
        <f t="shared" si="126"/>
        <v>1.048958284451011</v>
      </c>
      <c r="S1002" s="22">
        <f t="shared" si="127"/>
        <v>6.8957305167487395E-2</v>
      </c>
      <c r="T1002" s="25"/>
      <c r="U1002" s="1" t="s">
        <v>2843</v>
      </c>
    </row>
    <row r="1003" spans="1:21">
      <c r="A1003" s="6" t="s">
        <v>2844</v>
      </c>
      <c r="B1003" s="6" t="s">
        <v>2845</v>
      </c>
      <c r="C1003" s="7">
        <v>0.91919628241954621</v>
      </c>
      <c r="D1003" s="7">
        <v>0.87021234681948123</v>
      </c>
      <c r="E1003" s="7">
        <v>0.98167958350256124</v>
      </c>
      <c r="F1003" s="8">
        <v>0.94142362229803755</v>
      </c>
      <c r="G1003" s="8">
        <f t="shared" si="120"/>
        <v>0.89470431461951372</v>
      </c>
      <c r="H1003" s="8">
        <f t="shared" si="121"/>
        <v>0.9615516029002994</v>
      </c>
      <c r="I1003" s="8">
        <f t="shared" si="122"/>
        <v>1.0747143913229182</v>
      </c>
      <c r="J1003" s="22">
        <f t="shared" si="123"/>
        <v>0.10395331007660452</v>
      </c>
      <c r="K1003" s="8"/>
      <c r="L1003" s="8">
        <v>1.3377590318823416</v>
      </c>
      <c r="M1003" s="8">
        <v>0.86191689343234323</v>
      </c>
      <c r="N1003" s="8">
        <v>1.3909864886154988</v>
      </c>
      <c r="O1003" s="8">
        <v>1.0407441545150544</v>
      </c>
      <c r="P1003" s="8">
        <f t="shared" si="124"/>
        <v>1.0998379626573425</v>
      </c>
      <c r="Q1003" s="8">
        <f t="shared" si="125"/>
        <v>1.2158653215652766</v>
      </c>
      <c r="R1003" s="8">
        <f t="shared" si="126"/>
        <v>1.1054949573004353</v>
      </c>
      <c r="S1003" s="22">
        <f t="shared" si="127"/>
        <v>0.14469244433618569</v>
      </c>
      <c r="T1003" s="25"/>
      <c r="U1003" s="1" t="s">
        <v>2846</v>
      </c>
    </row>
    <row r="1004" spans="1:21">
      <c r="A1004" s="6" t="s">
        <v>2847</v>
      </c>
      <c r="B1004" s="6" t="s">
        <v>2848</v>
      </c>
      <c r="C1004" s="7">
        <v>1.0889879168020828</v>
      </c>
      <c r="D1004" s="7">
        <v>0.97540359103589558</v>
      </c>
      <c r="E1004" s="7">
        <v>1.1926938498596595</v>
      </c>
      <c r="F1004" s="8">
        <v>1.1454691898066205</v>
      </c>
      <c r="G1004" s="8">
        <f t="shared" si="120"/>
        <v>1.0321957539189892</v>
      </c>
      <c r="H1004" s="8">
        <f t="shared" si="121"/>
        <v>1.1690815198331399</v>
      </c>
      <c r="I1004" s="8">
        <f t="shared" si="122"/>
        <v>1.1326160908862777</v>
      </c>
      <c r="J1004" s="22">
        <f t="shared" si="123"/>
        <v>0.17965893120948592</v>
      </c>
      <c r="K1004" s="8"/>
      <c r="L1004" s="8">
        <v>0.91459753257100462</v>
      </c>
      <c r="M1004" s="8">
        <v>1.1596992114701183</v>
      </c>
      <c r="N1004" s="8">
        <v>1.2260089125497635</v>
      </c>
      <c r="O1004" s="8">
        <v>1.4461983325619747</v>
      </c>
      <c r="P1004" s="8">
        <f t="shared" si="124"/>
        <v>1.0371483720205614</v>
      </c>
      <c r="Q1004" s="8">
        <f t="shared" si="125"/>
        <v>1.3361036225558691</v>
      </c>
      <c r="R1004" s="8">
        <f t="shared" si="126"/>
        <v>1.2882473314332898</v>
      </c>
      <c r="S1004" s="22">
        <f t="shared" si="127"/>
        <v>0.36540960399340916</v>
      </c>
      <c r="T1004" s="25"/>
      <c r="U1004" s="1" t="s">
        <v>2849</v>
      </c>
    </row>
    <row r="1005" spans="1:21">
      <c r="A1005" s="6" t="s">
        <v>2850</v>
      </c>
      <c r="B1005" s="6" t="s">
        <v>2851</v>
      </c>
      <c r="C1005" s="7">
        <v>0.86554933723281957</v>
      </c>
      <c r="D1005" s="7">
        <v>1.0101123200631508</v>
      </c>
      <c r="E1005" s="7">
        <v>1.008906715040701</v>
      </c>
      <c r="F1005" s="8">
        <v>0.91854306206479641</v>
      </c>
      <c r="G1005" s="8">
        <f t="shared" si="120"/>
        <v>0.93783082864798517</v>
      </c>
      <c r="H1005" s="8">
        <f t="shared" si="121"/>
        <v>0.96372488855274874</v>
      </c>
      <c r="I1005" s="8">
        <f t="shared" si="122"/>
        <v>1.0276105872336203</v>
      </c>
      <c r="J1005" s="22">
        <f t="shared" si="123"/>
        <v>3.9293659180442489E-2</v>
      </c>
      <c r="K1005" s="8"/>
      <c r="L1005" s="8">
        <v>0.95236725472663164</v>
      </c>
      <c r="M1005" s="8">
        <v>0.8635234102954602</v>
      </c>
      <c r="N1005" s="8">
        <v>1.7279599721167542</v>
      </c>
      <c r="O1005" s="8">
        <v>0.89606424655659056</v>
      </c>
      <c r="P1005" s="8">
        <f t="shared" si="124"/>
        <v>0.90794533251104592</v>
      </c>
      <c r="Q1005" s="8">
        <f t="shared" si="125"/>
        <v>1.3120121093366723</v>
      </c>
      <c r="R1005" s="8">
        <f t="shared" si="126"/>
        <v>1.4450342574129711</v>
      </c>
      <c r="S1005" s="22">
        <f t="shared" si="127"/>
        <v>0.53110369508856126</v>
      </c>
      <c r="T1005" s="25"/>
      <c r="U1005" s="1" t="s">
        <v>2852</v>
      </c>
    </row>
    <row r="1006" spans="1:21">
      <c r="A1006" s="6" t="s">
        <v>2853</v>
      </c>
      <c r="B1006" s="6" t="s">
        <v>2854</v>
      </c>
      <c r="C1006" s="7">
        <v>1.0968393265323209</v>
      </c>
      <c r="D1006" s="7">
        <v>1.0705846463602</v>
      </c>
      <c r="E1006" s="7">
        <v>1.2049404633407019</v>
      </c>
      <c r="F1006" s="8">
        <v>1.1907251550471742</v>
      </c>
      <c r="G1006" s="8">
        <f t="shared" si="120"/>
        <v>1.0837119864462603</v>
      </c>
      <c r="H1006" s="8">
        <f t="shared" si="121"/>
        <v>1.1978328091939381</v>
      </c>
      <c r="I1006" s="8">
        <f t="shared" si="122"/>
        <v>1.105305490919138</v>
      </c>
      <c r="J1006" s="22">
        <f t="shared" si="123"/>
        <v>0.14444516538380248</v>
      </c>
      <c r="K1006" s="8"/>
      <c r="L1006" s="8">
        <v>1.0291175174317062</v>
      </c>
      <c r="M1006" s="8">
        <v>1.1067665404674152</v>
      </c>
      <c r="N1006" s="8">
        <v>0.95580315481305833</v>
      </c>
      <c r="O1006" s="8">
        <v>0.90527570090411902</v>
      </c>
      <c r="P1006" s="8">
        <f t="shared" si="124"/>
        <v>1.0679420289495607</v>
      </c>
      <c r="Q1006" s="8">
        <f t="shared" si="125"/>
        <v>0.93053942785858867</v>
      </c>
      <c r="R1006" s="8">
        <f t="shared" si="126"/>
        <v>0.87133889540228815</v>
      </c>
      <c r="S1006" s="22">
        <f t="shared" si="127"/>
        <v>-0.19869415031808516</v>
      </c>
      <c r="T1006" s="25"/>
      <c r="U1006" s="1" t="s">
        <v>2855</v>
      </c>
    </row>
    <row r="1007" spans="1:21">
      <c r="A1007" s="6" t="s">
        <v>2856</v>
      </c>
      <c r="B1007" s="6" t="s">
        <v>2857</v>
      </c>
      <c r="C1007" s="7">
        <v>0.99108697750357322</v>
      </c>
      <c r="D1007" s="7">
        <v>0.98829887140667416</v>
      </c>
      <c r="E1007" s="7">
        <v>1.0077955666896143</v>
      </c>
      <c r="F1007" s="8">
        <v>0.92396605199020743</v>
      </c>
      <c r="G1007" s="8">
        <f t="shared" si="120"/>
        <v>0.98969292445512369</v>
      </c>
      <c r="H1007" s="8">
        <f t="shared" si="121"/>
        <v>0.96588080933991094</v>
      </c>
      <c r="I1007" s="8">
        <f t="shared" si="122"/>
        <v>0.97593989557081806</v>
      </c>
      <c r="J1007" s="22">
        <f t="shared" si="123"/>
        <v>-3.5135794468057167E-2</v>
      </c>
      <c r="K1007" s="8"/>
      <c r="L1007" s="8">
        <v>1.2162084886059081</v>
      </c>
      <c r="M1007" s="8">
        <v>1.0677570156117266</v>
      </c>
      <c r="N1007" s="8">
        <v>1.523399007125434</v>
      </c>
      <c r="O1007" s="8">
        <v>0.92995639108526873</v>
      </c>
      <c r="P1007" s="8">
        <f t="shared" si="124"/>
        <v>1.1419827521088175</v>
      </c>
      <c r="Q1007" s="8">
        <f t="shared" si="125"/>
        <v>1.2266776991053514</v>
      </c>
      <c r="R1007" s="8">
        <f t="shared" si="126"/>
        <v>1.0741648215265369</v>
      </c>
      <c r="S1007" s="22">
        <f t="shared" si="127"/>
        <v>0.10321537968721192</v>
      </c>
      <c r="T1007" s="25"/>
      <c r="U1007" s="1" t="s">
        <v>2858</v>
      </c>
    </row>
    <row r="1008" spans="1:21">
      <c r="A1008" s="6" t="s">
        <v>2859</v>
      </c>
      <c r="B1008" s="6" t="s">
        <v>2860</v>
      </c>
      <c r="C1008" s="7">
        <v>0.25046127678556512</v>
      </c>
      <c r="D1008" s="7">
        <v>0.27105029990016144</v>
      </c>
      <c r="E1008" s="7">
        <v>0.62308243327666146</v>
      </c>
      <c r="F1008" s="8">
        <v>0.6087417622573752</v>
      </c>
      <c r="G1008" s="8">
        <f t="shared" si="120"/>
        <v>0.26075578834286328</v>
      </c>
      <c r="H1008" s="8">
        <f t="shared" si="121"/>
        <v>0.61591209776701827</v>
      </c>
      <c r="I1008" s="8">
        <f t="shared" si="122"/>
        <v>2.3620265601052202</v>
      </c>
      <c r="J1008" s="22">
        <f t="shared" si="123"/>
        <v>1.2400251873924155</v>
      </c>
      <c r="K1008" s="8"/>
      <c r="L1008" s="8">
        <v>0.9765055052873115</v>
      </c>
      <c r="M1008" s="8">
        <v>1.1514194707140535</v>
      </c>
      <c r="N1008" s="8">
        <v>1.2401391530409296</v>
      </c>
      <c r="O1008" s="8">
        <v>1.3611425666030024</v>
      </c>
      <c r="P1008" s="8">
        <f t="shared" si="124"/>
        <v>1.0639624880006826</v>
      </c>
      <c r="Q1008" s="8">
        <f t="shared" si="125"/>
        <v>1.3006408598219661</v>
      </c>
      <c r="R1008" s="8">
        <f t="shared" si="126"/>
        <v>1.222449921393405</v>
      </c>
      <c r="S1008" s="22">
        <f t="shared" si="127"/>
        <v>0.28977536526976277</v>
      </c>
      <c r="T1008" s="25"/>
      <c r="U1008" s="1" t="s">
        <v>2861</v>
      </c>
    </row>
    <row r="1009" spans="1:21">
      <c r="A1009" s="6" t="s">
        <v>2862</v>
      </c>
      <c r="B1009" s="6" t="s">
        <v>2863</v>
      </c>
      <c r="C1009" s="7">
        <v>0.99771037972192711</v>
      </c>
      <c r="D1009" s="7">
        <v>0.96058716330198468</v>
      </c>
      <c r="E1009" s="7">
        <v>0.97197502164486838</v>
      </c>
      <c r="F1009" s="8">
        <v>0.94091846707210891</v>
      </c>
      <c r="G1009" s="8">
        <f t="shared" si="120"/>
        <v>0.9791487715119559</v>
      </c>
      <c r="H1009" s="8">
        <f t="shared" si="121"/>
        <v>0.95644674435848864</v>
      </c>
      <c r="I1009" s="8">
        <f t="shared" si="122"/>
        <v>0.9768145272567601</v>
      </c>
      <c r="J1009" s="22">
        <f t="shared" si="123"/>
        <v>-3.38434385368237E-2</v>
      </c>
      <c r="K1009" s="8"/>
      <c r="L1009" s="8">
        <v>1.1190305478373455</v>
      </c>
      <c r="M1009" s="8">
        <v>1.1853622885399115</v>
      </c>
      <c r="N1009" s="8">
        <v>1.3859800789050525</v>
      </c>
      <c r="O1009" s="8">
        <v>0.90622688369000515</v>
      </c>
      <c r="P1009" s="8">
        <f t="shared" si="124"/>
        <v>1.1521964181886286</v>
      </c>
      <c r="Q1009" s="8">
        <f t="shared" si="125"/>
        <v>1.1461034812975288</v>
      </c>
      <c r="R1009" s="8">
        <f t="shared" si="126"/>
        <v>0.9947118939141657</v>
      </c>
      <c r="S1009" s="22">
        <f t="shared" si="127"/>
        <v>-7.6493676324014895E-3</v>
      </c>
      <c r="T1009" s="25"/>
      <c r="U1009" s="1" t="s">
        <v>2864</v>
      </c>
    </row>
    <row r="1010" spans="1:21">
      <c r="A1010" s="6" t="s">
        <v>2865</v>
      </c>
      <c r="B1010" s="6" t="s">
        <v>2866</v>
      </c>
      <c r="C1010" s="7">
        <v>0.98100817116933248</v>
      </c>
      <c r="D1010" s="7">
        <v>0.94628978239951667</v>
      </c>
      <c r="E1010" s="7">
        <v>1.0341673538136082</v>
      </c>
      <c r="F1010" s="8">
        <v>0.93672122144490721</v>
      </c>
      <c r="G1010" s="8">
        <f t="shared" si="120"/>
        <v>0.96364897678442452</v>
      </c>
      <c r="H1010" s="8">
        <f t="shared" si="121"/>
        <v>0.98544428762925773</v>
      </c>
      <c r="I1010" s="8">
        <f t="shared" si="122"/>
        <v>1.0226174793622065</v>
      </c>
      <c r="J1010" s="22">
        <f t="shared" si="123"/>
        <v>3.2266590998294313E-2</v>
      </c>
      <c r="K1010" s="8"/>
      <c r="L1010" s="8">
        <v>1.2367142839851264</v>
      </c>
      <c r="M1010" s="8">
        <v>0.59869528432162478</v>
      </c>
      <c r="N1010" s="8">
        <v>0.6325388119207821</v>
      </c>
      <c r="O1010" s="8">
        <v>0.61376320815597518</v>
      </c>
      <c r="P1010" s="8">
        <f t="shared" si="124"/>
        <v>0.91770478415337564</v>
      </c>
      <c r="Q1010" s="8">
        <f t="shared" si="125"/>
        <v>0.62315101003837858</v>
      </c>
      <c r="R1010" s="8">
        <f t="shared" si="126"/>
        <v>0.67903210356832089</v>
      </c>
      <c r="S1010" s="22">
        <f t="shared" si="127"/>
        <v>-0.55844831045575227</v>
      </c>
      <c r="T1010" s="25"/>
      <c r="U1010" s="1" t="s">
        <v>2867</v>
      </c>
    </row>
    <row r="1011" spans="1:21">
      <c r="A1011" s="6" t="s">
        <v>2868</v>
      </c>
      <c r="B1011" s="6" t="s">
        <v>80</v>
      </c>
      <c r="C1011" s="7">
        <v>1.0361182742425594</v>
      </c>
      <c r="D1011" s="7">
        <v>1.0189361161976773</v>
      </c>
      <c r="E1011" s="7">
        <v>1.0705474699704123</v>
      </c>
      <c r="F1011" s="8">
        <v>0.99394490828797755</v>
      </c>
      <c r="G1011" s="8">
        <f t="shared" si="120"/>
        <v>1.0275271952201184</v>
      </c>
      <c r="H1011" s="8">
        <f t="shared" si="121"/>
        <v>1.032246189129195</v>
      </c>
      <c r="I1011" s="8">
        <f t="shared" si="122"/>
        <v>1.0045925732486971</v>
      </c>
      <c r="J1011" s="22">
        <f t="shared" si="123"/>
        <v>6.6105146068716775E-3</v>
      </c>
      <c r="K1011" s="8"/>
      <c r="L1011" s="8">
        <v>1.1271938073311678</v>
      </c>
      <c r="M1011" s="8">
        <v>0.92452985835382862</v>
      </c>
      <c r="N1011" s="8">
        <v>1.5011742911211163</v>
      </c>
      <c r="O1011" s="8">
        <v>0.96479971839983303</v>
      </c>
      <c r="P1011" s="8">
        <f t="shared" si="124"/>
        <v>1.0258618328424982</v>
      </c>
      <c r="Q1011" s="8">
        <f t="shared" si="125"/>
        <v>1.2329870047604747</v>
      </c>
      <c r="R1011" s="8">
        <f t="shared" si="126"/>
        <v>1.2019035754006619</v>
      </c>
      <c r="S1011" s="22">
        <f t="shared" si="127"/>
        <v>0.26532115821935942</v>
      </c>
      <c r="T1011" s="25"/>
      <c r="U1011" s="1">
        <v>0</v>
      </c>
    </row>
    <row r="1012" spans="1:21">
      <c r="A1012" s="6" t="s">
        <v>2869</v>
      </c>
      <c r="B1012" s="6" t="s">
        <v>80</v>
      </c>
      <c r="C1012" s="7">
        <v>1.111346798255165</v>
      </c>
      <c r="D1012" s="7">
        <v>1.1586945312145898</v>
      </c>
      <c r="E1012" s="7">
        <v>1.1203892683087275</v>
      </c>
      <c r="F1012" s="8">
        <v>1.1568648974033062</v>
      </c>
      <c r="G1012" s="8">
        <f t="shared" si="120"/>
        <v>1.1350206647348773</v>
      </c>
      <c r="H1012" s="8">
        <f t="shared" si="121"/>
        <v>1.1386270828560168</v>
      </c>
      <c r="I1012" s="8">
        <f t="shared" si="122"/>
        <v>1.0031774030492933</v>
      </c>
      <c r="J1012" s="22">
        <f t="shared" si="123"/>
        <v>4.5767563667338087E-3</v>
      </c>
      <c r="K1012" s="8"/>
      <c r="L1012" s="8">
        <v>1.3362357442255997</v>
      </c>
      <c r="M1012" s="8">
        <v>1.1267862121462586</v>
      </c>
      <c r="N1012" s="8">
        <v>1.6579170250463044</v>
      </c>
      <c r="O1012" s="8">
        <v>1.1919822174709436</v>
      </c>
      <c r="P1012" s="8">
        <f t="shared" si="124"/>
        <v>1.2315109781859293</v>
      </c>
      <c r="Q1012" s="8">
        <f t="shared" si="125"/>
        <v>1.4249496212586239</v>
      </c>
      <c r="R1012" s="8">
        <f t="shared" si="126"/>
        <v>1.1570742336033726</v>
      </c>
      <c r="S1012" s="22">
        <f t="shared" si="127"/>
        <v>0.21048142539261408</v>
      </c>
      <c r="T1012" s="25"/>
      <c r="U1012" s="1">
        <v>0</v>
      </c>
    </row>
    <row r="1013" spans="1:21">
      <c r="A1013" s="6" t="s">
        <v>2870</v>
      </c>
      <c r="B1013" s="6" t="s">
        <v>2871</v>
      </c>
      <c r="C1013" s="7">
        <v>0.98818678954997441</v>
      </c>
      <c r="D1013" s="7">
        <v>0.94340469092084789</v>
      </c>
      <c r="E1013" s="7">
        <v>1.0681652958076506</v>
      </c>
      <c r="F1013" s="8">
        <v>1.0701787748832767</v>
      </c>
      <c r="G1013" s="8">
        <f t="shared" si="120"/>
        <v>0.96579574023541115</v>
      </c>
      <c r="H1013" s="8">
        <f t="shared" si="121"/>
        <v>1.0691720353454637</v>
      </c>
      <c r="I1013" s="8">
        <f t="shared" si="122"/>
        <v>1.1070374312117537</v>
      </c>
      <c r="J1013" s="22">
        <f t="shared" si="123"/>
        <v>0.14670400342985804</v>
      </c>
      <c r="K1013" s="8"/>
      <c r="L1013" s="8">
        <v>1.1570736805980288</v>
      </c>
      <c r="M1013" s="8">
        <v>0.78756399758807927</v>
      </c>
      <c r="N1013" s="8">
        <v>0.64652868578455258</v>
      </c>
      <c r="O1013" s="8">
        <v>0.92189636853118129</v>
      </c>
      <c r="P1013" s="8">
        <f t="shared" si="124"/>
        <v>0.97231883909305405</v>
      </c>
      <c r="Q1013" s="8">
        <f t="shared" si="125"/>
        <v>0.78421252715786693</v>
      </c>
      <c r="R1013" s="8">
        <f t="shared" si="126"/>
        <v>0.8065384477064681</v>
      </c>
      <c r="S1013" s="22">
        <f t="shared" si="127"/>
        <v>-0.31018478656119192</v>
      </c>
      <c r="T1013" s="25"/>
      <c r="U1013" s="1" t="s">
        <v>2872</v>
      </c>
    </row>
    <row r="1014" spans="1:21">
      <c r="A1014" s="6" t="s">
        <v>2873</v>
      </c>
      <c r="B1014" s="6" t="s">
        <v>2874</v>
      </c>
      <c r="C1014" s="7">
        <v>1.0028510281892296</v>
      </c>
      <c r="D1014" s="7">
        <v>0.95814022823946898</v>
      </c>
      <c r="E1014" s="7">
        <v>1.0917472212443837</v>
      </c>
      <c r="F1014" s="8">
        <v>1.0477513686027067</v>
      </c>
      <c r="G1014" s="8">
        <f t="shared" si="120"/>
        <v>0.98049562821434932</v>
      </c>
      <c r="H1014" s="8">
        <f t="shared" si="121"/>
        <v>1.0697492949235452</v>
      </c>
      <c r="I1014" s="8">
        <f t="shared" si="122"/>
        <v>1.0910291327578299</v>
      </c>
      <c r="J1014" s="22">
        <f t="shared" si="123"/>
        <v>0.12568962514832435</v>
      </c>
      <c r="K1014" s="8"/>
      <c r="L1014" s="8">
        <v>0.85573613516818159</v>
      </c>
      <c r="M1014" s="8">
        <v>0.93210932252853473</v>
      </c>
      <c r="N1014" s="8">
        <v>1.1255531962102472</v>
      </c>
      <c r="O1014" s="8">
        <v>0.88945602930727663</v>
      </c>
      <c r="P1014" s="8">
        <f t="shared" si="124"/>
        <v>0.89392272884835822</v>
      </c>
      <c r="Q1014" s="8">
        <f t="shared" si="125"/>
        <v>1.0075046127587619</v>
      </c>
      <c r="R1014" s="8">
        <f t="shared" si="126"/>
        <v>1.127060069338131</v>
      </c>
      <c r="S1014" s="22">
        <f t="shared" si="127"/>
        <v>0.17256440941143722</v>
      </c>
      <c r="T1014" s="25"/>
      <c r="U1014" s="1" t="s">
        <v>2875</v>
      </c>
    </row>
    <row r="1015" spans="1:21">
      <c r="A1015" s="6" t="s">
        <v>2876</v>
      </c>
      <c r="B1015" s="6" t="s">
        <v>2877</v>
      </c>
      <c r="C1015" s="7">
        <v>0.98655380083736255</v>
      </c>
      <c r="D1015" s="7">
        <v>0.80309352473278872</v>
      </c>
      <c r="E1015" s="7">
        <v>0.92071031390731972</v>
      </c>
      <c r="F1015" s="8">
        <v>0.92069740052831583</v>
      </c>
      <c r="G1015" s="8">
        <f t="shared" si="120"/>
        <v>0.89482366278507564</v>
      </c>
      <c r="H1015" s="8">
        <f t="shared" si="121"/>
        <v>0.92070385721781778</v>
      </c>
      <c r="I1015" s="8">
        <f t="shared" si="122"/>
        <v>1.0289221167354827</v>
      </c>
      <c r="J1015" s="22">
        <f t="shared" si="123"/>
        <v>4.1133782958860193E-2</v>
      </c>
      <c r="K1015" s="8"/>
      <c r="L1015" s="8">
        <v>1.0556383461221619</v>
      </c>
      <c r="M1015" s="8">
        <v>1.1629122451963525</v>
      </c>
      <c r="N1015" s="8">
        <v>0.82769521287659109</v>
      </c>
      <c r="O1015" s="8">
        <v>1.1186910807058255</v>
      </c>
      <c r="P1015" s="8">
        <f t="shared" si="124"/>
        <v>1.1092752956592573</v>
      </c>
      <c r="Q1015" s="8">
        <f t="shared" si="125"/>
        <v>0.97319314679120827</v>
      </c>
      <c r="R1015" s="8">
        <f t="shared" si="126"/>
        <v>0.87732337554026785</v>
      </c>
      <c r="S1015" s="22">
        <f t="shared" si="127"/>
        <v>-0.18881938642786755</v>
      </c>
      <c r="T1015" s="25"/>
      <c r="U1015" s="1" t="s">
        <v>2878</v>
      </c>
    </row>
    <row r="1016" spans="1:21">
      <c r="A1016" s="6" t="s">
        <v>2879</v>
      </c>
      <c r="B1016" s="6" t="s">
        <v>2880</v>
      </c>
      <c r="C1016" s="7">
        <v>0.93493176165427472</v>
      </c>
      <c r="D1016" s="7">
        <v>0.64395511438603392</v>
      </c>
      <c r="E1016" s="7">
        <v>0.87157997026862111</v>
      </c>
      <c r="F1016" s="8">
        <v>0.98323264599696014</v>
      </c>
      <c r="G1016" s="8">
        <f t="shared" si="120"/>
        <v>0.78944343802015426</v>
      </c>
      <c r="H1016" s="8">
        <f t="shared" si="121"/>
        <v>0.92740630813279057</v>
      </c>
      <c r="I1016" s="8">
        <f t="shared" si="122"/>
        <v>1.1747596641738305</v>
      </c>
      <c r="J1016" s="22">
        <f t="shared" si="123"/>
        <v>0.23236563613512182</v>
      </c>
      <c r="K1016" s="8"/>
      <c r="L1016" s="8">
        <v>1.0626298458800287</v>
      </c>
      <c r="M1016" s="8">
        <v>1.2220650199511243</v>
      </c>
      <c r="N1016" s="8">
        <v>0.9215536977285097</v>
      </c>
      <c r="O1016" s="8">
        <v>0.94592624943777737</v>
      </c>
      <c r="P1016" s="8">
        <f t="shared" si="124"/>
        <v>1.1423474329155765</v>
      </c>
      <c r="Q1016" s="8">
        <f t="shared" si="125"/>
        <v>0.93373997358314353</v>
      </c>
      <c r="R1016" s="8">
        <f t="shared" si="126"/>
        <v>0.81738702839291999</v>
      </c>
      <c r="S1016" s="22">
        <f t="shared" si="127"/>
        <v>-0.29090874634368957</v>
      </c>
      <c r="T1016" s="25"/>
      <c r="U1016" s="1" t="s">
        <v>2881</v>
      </c>
    </row>
    <row r="1017" spans="1:21">
      <c r="A1017" s="6" t="s">
        <v>2882</v>
      </c>
      <c r="B1017" s="6" t="s">
        <v>2883</v>
      </c>
      <c r="C1017" s="7">
        <v>0.14613942586906553</v>
      </c>
      <c r="D1017" s="7">
        <v>0.13146714744971025</v>
      </c>
      <c r="E1017" s="7">
        <v>0.35627892704737346</v>
      </c>
      <c r="F1017" s="8">
        <v>0.28969166456346535</v>
      </c>
      <c r="G1017" s="8">
        <f t="shared" si="120"/>
        <v>0.1388032866593879</v>
      </c>
      <c r="H1017" s="8">
        <f t="shared" si="121"/>
        <v>0.3229852958054194</v>
      </c>
      <c r="I1017" s="8">
        <f t="shared" si="122"/>
        <v>2.3269282996014304</v>
      </c>
      <c r="J1017" s="22">
        <f t="shared" si="123"/>
        <v>1.2184267571965823</v>
      </c>
      <c r="K1017" s="8"/>
      <c r="L1017" s="8">
        <v>0.729107966369275</v>
      </c>
      <c r="M1017" s="8">
        <v>0.83889015172766535</v>
      </c>
      <c r="N1017" s="8">
        <v>0.39639535576543128</v>
      </c>
      <c r="O1017" s="8">
        <v>0.44214980868136811</v>
      </c>
      <c r="P1017" s="8">
        <f t="shared" si="124"/>
        <v>0.78399905904847023</v>
      </c>
      <c r="Q1017" s="8">
        <f t="shared" si="125"/>
        <v>0.41927258222339969</v>
      </c>
      <c r="R1017" s="8">
        <f t="shared" si="126"/>
        <v>0.53478709876548258</v>
      </c>
      <c r="S1017" s="22">
        <f t="shared" si="127"/>
        <v>-0.90296343269387314</v>
      </c>
      <c r="T1017" s="25"/>
      <c r="U1017" s="1" t="s">
        <v>2884</v>
      </c>
    </row>
    <row r="1018" spans="1:21">
      <c r="A1018" s="6" t="s">
        <v>2885</v>
      </c>
      <c r="B1018" s="6" t="s">
        <v>2886</v>
      </c>
      <c r="C1018" s="7">
        <v>0.85153176212375892</v>
      </c>
      <c r="D1018" s="7">
        <v>0.91808599093514764</v>
      </c>
      <c r="E1018" s="7">
        <v>0.85564018744799553</v>
      </c>
      <c r="F1018" s="8">
        <v>1.0713153741416162</v>
      </c>
      <c r="G1018" s="8">
        <f t="shared" si="120"/>
        <v>0.88480887652945328</v>
      </c>
      <c r="H1018" s="8">
        <f t="shared" si="121"/>
        <v>0.96347778079480584</v>
      </c>
      <c r="I1018" s="8">
        <f t="shared" si="122"/>
        <v>1.0889106182726387</v>
      </c>
      <c r="J1018" s="22">
        <f t="shared" si="123"/>
        <v>0.12288553728068709</v>
      </c>
      <c r="K1018" s="8"/>
      <c r="L1018" s="8">
        <v>1.1496915942615102</v>
      </c>
      <c r="M1018" s="8">
        <v>1.0494674390162402</v>
      </c>
      <c r="N1018" s="8">
        <v>0.86423732487526927</v>
      </c>
      <c r="O1018" s="8">
        <v>0.79053301957512268</v>
      </c>
      <c r="P1018" s="8">
        <f t="shared" si="124"/>
        <v>1.0995795166388751</v>
      </c>
      <c r="Q1018" s="8">
        <f t="shared" si="125"/>
        <v>0.82738517222519592</v>
      </c>
      <c r="R1018" s="8">
        <f t="shared" si="126"/>
        <v>0.75245597040066226</v>
      </c>
      <c r="S1018" s="22">
        <f t="shared" si="127"/>
        <v>-0.41032092915195201</v>
      </c>
      <c r="T1018" s="25"/>
      <c r="U1018" s="1" t="s">
        <v>2887</v>
      </c>
    </row>
    <row r="1019" spans="1:21">
      <c r="A1019" s="6" t="s">
        <v>2888</v>
      </c>
      <c r="B1019" s="6" t="s">
        <v>2889</v>
      </c>
      <c r="C1019" s="7">
        <v>0.94542208114409365</v>
      </c>
      <c r="D1019" s="7">
        <v>0.89098096094513157</v>
      </c>
      <c r="E1019" s="7">
        <v>0.95549165545824355</v>
      </c>
      <c r="F1019" s="8">
        <v>1.0416672196315948</v>
      </c>
      <c r="G1019" s="8">
        <f t="shared" si="120"/>
        <v>0.91820152104461261</v>
      </c>
      <c r="H1019" s="8">
        <f t="shared" si="121"/>
        <v>0.99857943754491918</v>
      </c>
      <c r="I1019" s="8">
        <f t="shared" si="122"/>
        <v>1.0875384266504622</v>
      </c>
      <c r="J1019" s="22">
        <f t="shared" si="123"/>
        <v>0.12106637747505535</v>
      </c>
      <c r="K1019" s="8"/>
      <c r="L1019" s="8">
        <v>0.63743729635970259</v>
      </c>
      <c r="M1019" s="8">
        <v>0.80066328893349525</v>
      </c>
      <c r="N1019" s="8">
        <v>0.62407002540124201</v>
      </c>
      <c r="O1019" s="8">
        <v>0.56500257481634064</v>
      </c>
      <c r="P1019" s="8">
        <f t="shared" si="124"/>
        <v>0.71905029264659892</v>
      </c>
      <c r="Q1019" s="8">
        <f t="shared" si="125"/>
        <v>0.59453630010879133</v>
      </c>
      <c r="R1019" s="8">
        <f t="shared" si="126"/>
        <v>0.82683548868395484</v>
      </c>
      <c r="S1019" s="22">
        <f t="shared" si="127"/>
        <v>-0.27432778274523123</v>
      </c>
      <c r="T1019" s="25"/>
      <c r="U1019" s="1" t="s">
        <v>2890</v>
      </c>
    </row>
    <row r="1020" spans="1:21">
      <c r="A1020" s="6" t="s">
        <v>2891</v>
      </c>
      <c r="B1020" s="6" t="s">
        <v>2892</v>
      </c>
      <c r="C1020" s="7">
        <v>0.88649078448335483</v>
      </c>
      <c r="D1020" s="7">
        <v>0.9109811161255289</v>
      </c>
      <c r="E1020" s="7">
        <v>0.76540534869211696</v>
      </c>
      <c r="F1020" s="8">
        <v>0.94320652309543296</v>
      </c>
      <c r="G1020" s="8">
        <f t="shared" si="120"/>
        <v>0.89873595030444187</v>
      </c>
      <c r="H1020" s="8">
        <f t="shared" si="121"/>
        <v>0.85430593589377501</v>
      </c>
      <c r="I1020" s="8">
        <f t="shared" si="122"/>
        <v>0.95056388431372263</v>
      </c>
      <c r="J1020" s="22">
        <f t="shared" si="123"/>
        <v>-7.3144505903641258E-2</v>
      </c>
      <c r="K1020" s="8"/>
      <c r="L1020" s="8">
        <v>0.93463462405584086</v>
      </c>
      <c r="M1020" s="8">
        <v>0.97577362701325487</v>
      </c>
      <c r="N1020" s="8">
        <v>0.94092429230911512</v>
      </c>
      <c r="O1020" s="8">
        <v>1.0371897346309538</v>
      </c>
      <c r="P1020" s="8">
        <f t="shared" si="124"/>
        <v>0.95520412553454781</v>
      </c>
      <c r="Q1020" s="8">
        <f t="shared" si="125"/>
        <v>0.9890570134700345</v>
      </c>
      <c r="R1020" s="8">
        <f t="shared" si="126"/>
        <v>1.0354404750047976</v>
      </c>
      <c r="S1020" s="22">
        <f t="shared" si="127"/>
        <v>5.024461885658521E-2</v>
      </c>
      <c r="T1020" s="25"/>
      <c r="U1020" s="1" t="s">
        <v>2893</v>
      </c>
    </row>
    <row r="1021" spans="1:21">
      <c r="A1021" s="6" t="s">
        <v>2894</v>
      </c>
      <c r="B1021" s="6" t="s">
        <v>2895</v>
      </c>
      <c r="C1021" s="7">
        <v>1.0439696839727974</v>
      </c>
      <c r="D1021" s="7">
        <v>1.0423673731599494</v>
      </c>
      <c r="E1021" s="7">
        <v>1.009402335168524</v>
      </c>
      <c r="F1021" s="8">
        <v>1.0273965844991091</v>
      </c>
      <c r="G1021" s="8">
        <f t="shared" si="120"/>
        <v>1.0431685285663734</v>
      </c>
      <c r="H1021" s="8">
        <f t="shared" si="121"/>
        <v>1.0183994598338164</v>
      </c>
      <c r="I1021" s="8">
        <f t="shared" si="122"/>
        <v>0.97625592792125626</v>
      </c>
      <c r="J1021" s="22">
        <f t="shared" si="123"/>
        <v>-3.4668691421084134E-2</v>
      </c>
      <c r="K1021" s="8"/>
      <c r="L1021" s="8">
        <v>1.2047643018514109</v>
      </c>
      <c r="M1021" s="8">
        <v>0.73393105000401737</v>
      </c>
      <c r="N1021" s="8">
        <v>0.73860919335612585</v>
      </c>
      <c r="O1021" s="8">
        <v>0.92429935662184093</v>
      </c>
      <c r="P1021" s="8">
        <f t="shared" si="124"/>
        <v>0.9693476759277142</v>
      </c>
      <c r="Q1021" s="8">
        <f t="shared" si="125"/>
        <v>0.83145427498898339</v>
      </c>
      <c r="R1021" s="8">
        <f t="shared" si="126"/>
        <v>0.85774618915059564</v>
      </c>
      <c r="S1021" s="22">
        <f t="shared" si="127"/>
        <v>-0.2213772837876157</v>
      </c>
      <c r="T1021" s="25"/>
      <c r="U1021" s="1" t="s">
        <v>2896</v>
      </c>
    </row>
    <row r="1022" spans="1:21">
      <c r="A1022" s="6" t="s">
        <v>2897</v>
      </c>
      <c r="B1022" s="6" t="s">
        <v>2898</v>
      </c>
      <c r="C1022" s="7">
        <v>1.0752381518418905</v>
      </c>
      <c r="D1022" s="7">
        <v>0.96577763161641206</v>
      </c>
      <c r="E1022" s="7">
        <v>0.9366500967279453</v>
      </c>
      <c r="F1022" s="8">
        <v>0.99958333205974059</v>
      </c>
      <c r="G1022" s="8">
        <f t="shared" si="120"/>
        <v>1.0205078917291512</v>
      </c>
      <c r="H1022" s="8">
        <f t="shared" si="121"/>
        <v>0.96811671439384295</v>
      </c>
      <c r="I1022" s="8">
        <f t="shared" si="122"/>
        <v>0.94866166370694449</v>
      </c>
      <c r="J1022" s="22">
        <f t="shared" si="123"/>
        <v>-7.6034447181651602E-2</v>
      </c>
      <c r="K1022" s="8"/>
      <c r="L1022" s="8">
        <v>0.80843610049345127</v>
      </c>
      <c r="M1022" s="8">
        <v>1.1398031180115149</v>
      </c>
      <c r="N1022" s="8">
        <v>0.75952382083808379</v>
      </c>
      <c r="O1022" s="8">
        <v>0.91528815128186736</v>
      </c>
      <c r="P1022" s="8">
        <f t="shared" si="124"/>
        <v>0.97411960925248309</v>
      </c>
      <c r="Q1022" s="8">
        <f t="shared" si="125"/>
        <v>0.83740598605997563</v>
      </c>
      <c r="R1022" s="8">
        <f t="shared" si="126"/>
        <v>0.85965417193744997</v>
      </c>
      <c r="S1022" s="22">
        <f t="shared" si="127"/>
        <v>-0.21817169643646248</v>
      </c>
      <c r="T1022" s="25"/>
      <c r="U1022" s="1" t="s">
        <v>2899</v>
      </c>
    </row>
    <row r="1023" spans="1:21">
      <c r="A1023" s="6" t="s">
        <v>2900</v>
      </c>
      <c r="B1023" s="6" t="s">
        <v>2901</v>
      </c>
      <c r="C1023" s="7">
        <v>1.051200557992243</v>
      </c>
      <c r="D1023" s="7">
        <v>1.0179317268744958</v>
      </c>
      <c r="E1023" s="7">
        <v>1.1547069652239459</v>
      </c>
      <c r="F1023" s="8">
        <v>1.1478389621164919</v>
      </c>
      <c r="G1023" s="8">
        <f t="shared" si="120"/>
        <v>1.0345661424333694</v>
      </c>
      <c r="H1023" s="8">
        <f t="shared" si="121"/>
        <v>1.1512729636702188</v>
      </c>
      <c r="I1023" s="8">
        <f t="shared" si="122"/>
        <v>1.1128075010867329</v>
      </c>
      <c r="J1023" s="22">
        <f t="shared" si="123"/>
        <v>0.1542040497808537</v>
      </c>
      <c r="K1023" s="8"/>
      <c r="L1023" s="8">
        <v>1.2559702023126591</v>
      </c>
      <c r="M1023" s="8">
        <v>1.0938732128223989</v>
      </c>
      <c r="N1023" s="8">
        <v>1.2360685208464546</v>
      </c>
      <c r="O1023" s="8">
        <v>1.2203675142918602</v>
      </c>
      <c r="P1023" s="8">
        <f t="shared" si="124"/>
        <v>1.1749217075675289</v>
      </c>
      <c r="Q1023" s="8">
        <f t="shared" si="125"/>
        <v>1.2282180175691573</v>
      </c>
      <c r="R1023" s="8">
        <f t="shared" si="126"/>
        <v>1.0453615842301265</v>
      </c>
      <c r="S1023" s="22">
        <f t="shared" si="127"/>
        <v>6.4002048092262592E-2</v>
      </c>
      <c r="T1023" s="25"/>
      <c r="U1023" s="1" t="s">
        <v>2902</v>
      </c>
    </row>
    <row r="1024" spans="1:21">
      <c r="A1024" s="6" t="s">
        <v>2903</v>
      </c>
      <c r="B1024" s="6" t="s">
        <v>2904</v>
      </c>
      <c r="C1024" s="7">
        <v>0.99629947747423042</v>
      </c>
      <c r="D1024" s="7">
        <v>1.0237760593791823</v>
      </c>
      <c r="E1024" s="7">
        <v>0.97574013584171626</v>
      </c>
      <c r="F1024" s="8">
        <v>1.0287931901237355</v>
      </c>
      <c r="G1024" s="8">
        <f t="shared" si="120"/>
        <v>1.0100377684267063</v>
      </c>
      <c r="H1024" s="8">
        <f t="shared" si="121"/>
        <v>1.0022666629827259</v>
      </c>
      <c r="I1024" s="8">
        <f t="shared" si="122"/>
        <v>0.99230612390258921</v>
      </c>
      <c r="J1024" s="22">
        <f t="shared" si="123"/>
        <v>-1.1142837877811475E-2</v>
      </c>
      <c r="K1024" s="8"/>
      <c r="L1024" s="8">
        <v>0.84140160773166139</v>
      </c>
      <c r="M1024" s="8">
        <v>1.3392995582185898</v>
      </c>
      <c r="N1024" s="8">
        <v>0.91743627665823613</v>
      </c>
      <c r="O1024" s="8">
        <v>0.81215991239105911</v>
      </c>
      <c r="P1024" s="8">
        <f t="shared" si="124"/>
        <v>1.0903505829751257</v>
      </c>
      <c r="Q1024" s="8">
        <f t="shared" si="125"/>
        <v>0.86479809452464762</v>
      </c>
      <c r="R1024" s="8">
        <f t="shared" si="126"/>
        <v>0.79313764584319613</v>
      </c>
      <c r="S1024" s="22">
        <f t="shared" si="127"/>
        <v>-0.33435683331760796</v>
      </c>
      <c r="T1024" s="25"/>
      <c r="U1024" s="1" t="s">
        <v>2905</v>
      </c>
    </row>
    <row r="1025" spans="1:21">
      <c r="A1025" s="6" t="s">
        <v>2906</v>
      </c>
      <c r="B1025" s="6" t="s">
        <v>2907</v>
      </c>
      <c r="C1025" s="7">
        <v>0.99192306772443051</v>
      </c>
      <c r="D1025" s="7">
        <v>0.97078609649643743</v>
      </c>
      <c r="E1025" s="7">
        <v>1.0641523715468915</v>
      </c>
      <c r="F1025" s="8">
        <v>1.0915587269453766</v>
      </c>
      <c r="G1025" s="8">
        <f t="shared" si="120"/>
        <v>0.98135458211043392</v>
      </c>
      <c r="H1025" s="8">
        <f t="shared" si="121"/>
        <v>1.0778555492461339</v>
      </c>
      <c r="I1025" s="8">
        <f t="shared" si="122"/>
        <v>1.0983344541258182</v>
      </c>
      <c r="J1025" s="22">
        <f t="shared" si="123"/>
        <v>0.13531743670725563</v>
      </c>
      <c r="K1025" s="8"/>
      <c r="L1025" s="8">
        <v>1.3109647925868295</v>
      </c>
      <c r="M1025" s="8">
        <v>1.2548132483146643</v>
      </c>
      <c r="N1025" s="8">
        <v>1.2697565114214204</v>
      </c>
      <c r="O1025" s="8">
        <v>0.7819223122502591</v>
      </c>
      <c r="P1025" s="8">
        <f t="shared" si="124"/>
        <v>1.2828890204507468</v>
      </c>
      <c r="Q1025" s="8">
        <f t="shared" si="125"/>
        <v>1.0258394118358398</v>
      </c>
      <c r="R1025" s="8">
        <f t="shared" si="126"/>
        <v>0.79963223278301043</v>
      </c>
      <c r="S1025" s="22">
        <f t="shared" si="127"/>
        <v>-0.32259146730338023</v>
      </c>
      <c r="T1025" s="25"/>
      <c r="U1025" s="1" t="s">
        <v>2908</v>
      </c>
    </row>
    <row r="1026" spans="1:21">
      <c r="A1026" s="6" t="s">
        <v>2909</v>
      </c>
      <c r="B1026" s="6" t="s">
        <v>2910</v>
      </c>
      <c r="C1026" s="7">
        <v>0.93887706238394508</v>
      </c>
      <c r="D1026" s="7">
        <v>1.0097146088546427</v>
      </c>
      <c r="E1026" s="7">
        <v>1.0822185245933376</v>
      </c>
      <c r="F1026" s="8">
        <v>1.078157255951621</v>
      </c>
      <c r="G1026" s="8">
        <f t="shared" si="120"/>
        <v>0.97429583561929389</v>
      </c>
      <c r="H1026" s="8">
        <f t="shared" si="121"/>
        <v>1.0801878902724793</v>
      </c>
      <c r="I1026" s="8">
        <f t="shared" si="122"/>
        <v>1.1086857305367388</v>
      </c>
      <c r="J1026" s="22">
        <f t="shared" si="123"/>
        <v>0.14885047528317635</v>
      </c>
      <c r="K1026" s="8"/>
      <c r="L1026" s="8">
        <v>1.0523183602036217</v>
      </c>
      <c r="M1026" s="8">
        <v>1.2162980363399349</v>
      </c>
      <c r="N1026" s="8">
        <v>1.1510063446446659</v>
      </c>
      <c r="O1026" s="8">
        <v>1.3880760581191456</v>
      </c>
      <c r="P1026" s="8">
        <f t="shared" si="124"/>
        <v>1.1343081982717784</v>
      </c>
      <c r="Q1026" s="8">
        <f t="shared" si="125"/>
        <v>1.2695412013819056</v>
      </c>
      <c r="R1026" s="8">
        <f t="shared" si="126"/>
        <v>1.119220687390047</v>
      </c>
      <c r="S1026" s="22">
        <f t="shared" si="127"/>
        <v>0.16249453426934149</v>
      </c>
      <c r="T1026" s="25"/>
      <c r="U1026" s="1" t="s">
        <v>2911</v>
      </c>
    </row>
    <row r="1027" spans="1:21">
      <c r="A1027" s="6" t="s">
        <v>2912</v>
      </c>
      <c r="B1027" s="9" t="s">
        <v>2913</v>
      </c>
      <c r="C1027" s="10">
        <v>1.0302591107417078</v>
      </c>
      <c r="D1027" s="10">
        <v>0.23984682220212991</v>
      </c>
      <c r="E1027" s="10">
        <v>0.48263807802311515</v>
      </c>
      <c r="F1027" s="8">
        <v>0.98407209512240046</v>
      </c>
      <c r="G1027" s="8">
        <f t="shared" si="120"/>
        <v>0.63505296647191889</v>
      </c>
      <c r="H1027" s="8">
        <f t="shared" si="121"/>
        <v>0.73335508657275783</v>
      </c>
      <c r="I1027" s="8">
        <f t="shared" si="122"/>
        <v>1.1547935767420523</v>
      </c>
      <c r="J1027" s="22">
        <f t="shared" si="123"/>
        <v>0.20763498806914457</v>
      </c>
      <c r="K1027" s="8"/>
      <c r="L1027" s="8">
        <v>1.0074790209743976</v>
      </c>
      <c r="M1027" s="8">
        <v>0.40801409049165355</v>
      </c>
      <c r="N1027" s="8">
        <v>0.67347907824452524</v>
      </c>
      <c r="O1027" s="8">
        <v>0.73571485375695034</v>
      </c>
      <c r="P1027" s="8">
        <f t="shared" si="124"/>
        <v>0.70774655573302558</v>
      </c>
      <c r="Q1027" s="8">
        <f t="shared" si="125"/>
        <v>0.70459696600073785</v>
      </c>
      <c r="R1027" s="8">
        <f t="shared" si="126"/>
        <v>0.99554983389636476</v>
      </c>
      <c r="S1027" s="22">
        <f t="shared" si="127"/>
        <v>-6.4345606435341719E-3</v>
      </c>
      <c r="T1027" s="25"/>
      <c r="U1027" s="1" t="s">
        <v>2914</v>
      </c>
    </row>
    <row r="1028" spans="1:21">
      <c r="A1028" s="6" t="s">
        <v>2915</v>
      </c>
      <c r="B1028" s="6" t="s">
        <v>2916</v>
      </c>
      <c r="C1028" s="7">
        <v>0.90286639529342705</v>
      </c>
      <c r="D1028" s="7">
        <v>1.0188282623106242</v>
      </c>
      <c r="E1028" s="7">
        <v>1.0872146952367132</v>
      </c>
      <c r="F1028" s="8">
        <v>1.0265274203603789</v>
      </c>
      <c r="G1028" s="8">
        <f t="shared" si="120"/>
        <v>0.96084732880202561</v>
      </c>
      <c r="H1028" s="8">
        <f t="shared" si="121"/>
        <v>1.0568710577985461</v>
      </c>
      <c r="I1028" s="8">
        <f t="shared" si="122"/>
        <v>1.0999365103259868</v>
      </c>
      <c r="J1028" s="22">
        <f t="shared" si="123"/>
        <v>0.13742025203964514</v>
      </c>
      <c r="K1028" s="8"/>
      <c r="L1028" s="8">
        <v>0.93365815760921145</v>
      </c>
      <c r="M1028" s="8">
        <v>1.0618664537802973</v>
      </c>
      <c r="N1028" s="8">
        <v>0.93877200402238115</v>
      </c>
      <c r="O1028" s="8">
        <v>0.8982669856396952</v>
      </c>
      <c r="P1028" s="8">
        <f t="shared" si="124"/>
        <v>0.99776230569475444</v>
      </c>
      <c r="Q1028" s="8">
        <f t="shared" si="125"/>
        <v>0.91851949483103823</v>
      </c>
      <c r="R1028" s="8">
        <f t="shared" si="126"/>
        <v>0.92057947026918552</v>
      </c>
      <c r="S1028" s="22">
        <f t="shared" si="127"/>
        <v>-0.11938582533348144</v>
      </c>
      <c r="T1028" s="25"/>
      <c r="U1028" s="1" t="s">
        <v>2917</v>
      </c>
    </row>
    <row r="1029" spans="1:21">
      <c r="A1029" s="6" t="s">
        <v>2918</v>
      </c>
      <c r="B1029" s="6" t="s">
        <v>2919</v>
      </c>
      <c r="C1029" s="7">
        <v>0.91832100046958631</v>
      </c>
      <c r="D1029" s="7">
        <v>0.99854499067671265</v>
      </c>
      <c r="E1029" s="7">
        <v>1.0416096496039806</v>
      </c>
      <c r="F1029" s="8">
        <v>0.9463637432574874</v>
      </c>
      <c r="G1029" s="8">
        <f t="shared" si="120"/>
        <v>0.95843299557314943</v>
      </c>
      <c r="H1029" s="8">
        <f t="shared" si="121"/>
        <v>0.99398669643073401</v>
      </c>
      <c r="I1029" s="8">
        <f t="shared" si="122"/>
        <v>1.037095656161465</v>
      </c>
      <c r="J1029" s="22">
        <f t="shared" si="123"/>
        <v>5.254896676952437E-2</v>
      </c>
      <c r="K1029" s="8"/>
      <c r="L1029" s="8">
        <v>1.1969916289362406</v>
      </c>
      <c r="M1029" s="8">
        <v>1.1340361344003254</v>
      </c>
      <c r="N1029" s="8">
        <v>1.0648212354237117</v>
      </c>
      <c r="O1029" s="8">
        <v>0.89271007568004479</v>
      </c>
      <c r="P1029" s="8">
        <f t="shared" si="124"/>
        <v>1.1655138816682831</v>
      </c>
      <c r="Q1029" s="8">
        <f t="shared" si="125"/>
        <v>0.97876565555187822</v>
      </c>
      <c r="R1029" s="8">
        <f t="shared" si="126"/>
        <v>0.83977177015764171</v>
      </c>
      <c r="S1029" s="22">
        <f t="shared" si="127"/>
        <v>-0.2519308036638368</v>
      </c>
      <c r="T1029" s="25"/>
      <c r="U1029" s="1" t="s">
        <v>2920</v>
      </c>
    </row>
    <row r="1030" spans="1:21">
      <c r="A1030" s="6" t="s">
        <v>2921</v>
      </c>
      <c r="B1030" s="11" t="s">
        <v>2922</v>
      </c>
      <c r="C1030" s="12">
        <v>0.92947104739930042</v>
      </c>
      <c r="D1030" s="12">
        <v>0.95578092446018381</v>
      </c>
      <c r="E1030" s="12">
        <v>0.95764200730315241</v>
      </c>
      <c r="F1030" s="8">
        <v>0.91004456826387825</v>
      </c>
      <c r="G1030" s="8">
        <f t="shared" ref="G1030:G1093" si="128">AVERAGE(C1030:D1030)</f>
        <v>0.94262598592974212</v>
      </c>
      <c r="H1030" s="8">
        <f t="shared" ref="H1030:H1093" si="129">AVERAGE(E1030:F1030)</f>
        <v>0.93384328778351533</v>
      </c>
      <c r="I1030" s="8">
        <f t="shared" ref="I1030:I1093" si="130">H1030/G1030</f>
        <v>0.99068273283643449</v>
      </c>
      <c r="J1030" s="22">
        <f t="shared" ref="J1030:J1093" si="131">LOG(I1030,2)</f>
        <v>-1.3504988079334998E-2</v>
      </c>
      <c r="K1030" s="8"/>
      <c r="L1030" s="8">
        <v>0.7177809555883734</v>
      </c>
      <c r="M1030" s="8">
        <v>0.83880776624750553</v>
      </c>
      <c r="N1030" s="8">
        <v>1.1040303133429079</v>
      </c>
      <c r="O1030" s="8">
        <v>0.93706523085347004</v>
      </c>
      <c r="P1030" s="8">
        <f t="shared" ref="P1030:P1093" si="132">AVERAGE(L1030:M1030)</f>
        <v>0.77829436091793947</v>
      </c>
      <c r="Q1030" s="8">
        <f t="shared" ref="Q1030:Q1093" si="133">AVERAGE(N1030:O1030)</f>
        <v>1.020547772098189</v>
      </c>
      <c r="R1030" s="8">
        <f t="shared" ref="R1030:R1093" si="134">Q1030/P1030</f>
        <v>1.3112619380853923</v>
      </c>
      <c r="S1030" s="22">
        <f t="shared" ref="S1030:S1093" si="135">LOG(R1030,2)</f>
        <v>0.39095590755044862</v>
      </c>
      <c r="T1030" s="25"/>
      <c r="U1030" s="1" t="s">
        <v>2923</v>
      </c>
    </row>
    <row r="1031" spans="1:21">
      <c r="A1031" s="6" t="s">
        <v>2924</v>
      </c>
      <c r="B1031" s="6" t="s">
        <v>2925</v>
      </c>
      <c r="C1031" s="7">
        <v>0.98719393241270637</v>
      </c>
      <c r="D1031" s="7">
        <v>0.86814290036165109</v>
      </c>
      <c r="E1031" s="7">
        <v>1.0220406484280069</v>
      </c>
      <c r="F1031" s="8">
        <v>0.92285173899183537</v>
      </c>
      <c r="G1031" s="8">
        <f t="shared" si="128"/>
        <v>0.92766841638717867</v>
      </c>
      <c r="H1031" s="8">
        <f t="shared" si="129"/>
        <v>0.97244619370992114</v>
      </c>
      <c r="I1031" s="8">
        <f t="shared" si="130"/>
        <v>1.0482691622693487</v>
      </c>
      <c r="J1031" s="22">
        <f t="shared" si="131"/>
        <v>6.8009202765541094E-2</v>
      </c>
      <c r="K1031" s="8"/>
      <c r="L1031" s="8">
        <v>1.2654223975160321</v>
      </c>
      <c r="M1031" s="8">
        <v>0.79205400625679101</v>
      </c>
      <c r="N1031" s="8">
        <v>0.79335217804044533</v>
      </c>
      <c r="O1031" s="8">
        <v>1.1424205881010892</v>
      </c>
      <c r="P1031" s="8">
        <f t="shared" si="132"/>
        <v>1.0287382018864115</v>
      </c>
      <c r="Q1031" s="8">
        <f t="shared" si="133"/>
        <v>0.96788638307076724</v>
      </c>
      <c r="R1031" s="8">
        <f t="shared" si="134"/>
        <v>0.94084810041654965</v>
      </c>
      <c r="S1031" s="22">
        <f t="shared" si="135"/>
        <v>-8.7966275722314496E-2</v>
      </c>
      <c r="T1031" s="25"/>
      <c r="U1031" s="1" t="s">
        <v>2926</v>
      </c>
    </row>
    <row r="1032" spans="1:21">
      <c r="A1032" s="6" t="s">
        <v>2927</v>
      </c>
      <c r="B1032" s="6" t="s">
        <v>2928</v>
      </c>
      <c r="C1032" s="7">
        <v>0.86683613233835777</v>
      </c>
      <c r="D1032" s="7">
        <v>0.87643416792885331</v>
      </c>
      <c r="E1032" s="7">
        <v>0.93739352691967959</v>
      </c>
      <c r="F1032" s="8">
        <v>0.9201105290158399</v>
      </c>
      <c r="G1032" s="8">
        <f t="shared" si="128"/>
        <v>0.87163515013360549</v>
      </c>
      <c r="H1032" s="8">
        <f t="shared" si="129"/>
        <v>0.92875202796775969</v>
      </c>
      <c r="I1032" s="8">
        <f t="shared" si="130"/>
        <v>1.0655284241639398</v>
      </c>
      <c r="J1032" s="22">
        <f t="shared" si="131"/>
        <v>9.1569079139756052E-2</v>
      </c>
      <c r="K1032" s="8"/>
      <c r="L1032" s="8">
        <v>0.83784726986593017</v>
      </c>
      <c r="M1032" s="8">
        <v>0.97890427525932922</v>
      </c>
      <c r="N1032" s="8">
        <v>0.74745229088205434</v>
      </c>
      <c r="O1032" s="8">
        <v>0.82347398131791483</v>
      </c>
      <c r="P1032" s="8">
        <f t="shared" si="132"/>
        <v>0.90837577256262969</v>
      </c>
      <c r="Q1032" s="8">
        <f t="shared" si="133"/>
        <v>0.78546313609998464</v>
      </c>
      <c r="R1032" s="8">
        <f t="shared" si="134"/>
        <v>0.86468965798603947</v>
      </c>
      <c r="S1032" s="22">
        <f t="shared" si="135"/>
        <v>-0.2097456606595326</v>
      </c>
      <c r="T1032" s="25"/>
      <c r="U1032" s="1" t="s">
        <v>2929</v>
      </c>
    </row>
    <row r="1033" spans="1:21">
      <c r="A1033" s="6" t="s">
        <v>2930</v>
      </c>
      <c r="B1033" s="6" t="s">
        <v>2931</v>
      </c>
      <c r="C1033" s="7">
        <v>0.9425414890550462</v>
      </c>
      <c r="D1033" s="7">
        <v>0.94662008492861649</v>
      </c>
      <c r="E1033" s="7">
        <v>1.0512902298425852</v>
      </c>
      <c r="F1033" s="8">
        <v>1.0457678914656043</v>
      </c>
      <c r="G1033" s="8">
        <f t="shared" si="128"/>
        <v>0.94458078699183134</v>
      </c>
      <c r="H1033" s="8">
        <f t="shared" si="129"/>
        <v>1.0485290606540949</v>
      </c>
      <c r="I1033" s="8">
        <f t="shared" si="130"/>
        <v>1.1100469913148492</v>
      </c>
      <c r="J1033" s="22">
        <f t="shared" si="131"/>
        <v>0.15062075108161749</v>
      </c>
      <c r="K1033" s="8"/>
      <c r="L1033" s="8">
        <v>1.0433348688946309</v>
      </c>
      <c r="M1033" s="8">
        <v>0.67300698742580878</v>
      </c>
      <c r="N1033" s="8">
        <v>0.65686902733603514</v>
      </c>
      <c r="O1033" s="8">
        <v>0.68940727075986408</v>
      </c>
      <c r="P1033" s="8">
        <f t="shared" si="132"/>
        <v>0.85817092816021989</v>
      </c>
      <c r="Q1033" s="8">
        <f t="shared" si="133"/>
        <v>0.67313814904794955</v>
      </c>
      <c r="R1033" s="8">
        <f t="shared" si="134"/>
        <v>0.78438703405048826</v>
      </c>
      <c r="S1033" s="22">
        <f t="shared" si="135"/>
        <v>-0.35036240696778598</v>
      </c>
      <c r="T1033" s="25"/>
      <c r="U1033" s="1" t="s">
        <v>2932</v>
      </c>
    </row>
    <row r="1034" spans="1:21">
      <c r="A1034" s="6" t="s">
        <v>2933</v>
      </c>
      <c r="B1034" s="6" t="s">
        <v>2934</v>
      </c>
      <c r="C1034" s="7">
        <v>0.99443133838700237</v>
      </c>
      <c r="D1034" s="7">
        <v>1.1061090204082937</v>
      </c>
      <c r="E1034" s="7">
        <v>0.99905026959544962</v>
      </c>
      <c r="F1034" s="8">
        <v>1.0017376705232601</v>
      </c>
      <c r="G1034" s="8">
        <f t="shared" si="128"/>
        <v>1.0502701793976481</v>
      </c>
      <c r="H1034" s="8">
        <f t="shared" si="129"/>
        <v>1.0003939700593549</v>
      </c>
      <c r="I1034" s="8">
        <f t="shared" si="130"/>
        <v>0.95251106780266936</v>
      </c>
      <c r="J1034" s="22">
        <f t="shared" si="131"/>
        <v>-7.0192238637038926E-2</v>
      </c>
      <c r="K1034" s="8"/>
      <c r="L1034" s="8">
        <v>0.81964593530075724</v>
      </c>
      <c r="M1034" s="8">
        <v>0.87711701452183544</v>
      </c>
      <c r="N1034" s="8">
        <v>1.0804019310646333</v>
      </c>
      <c r="O1034" s="8">
        <v>0.84505081188196252</v>
      </c>
      <c r="P1034" s="8">
        <f t="shared" si="132"/>
        <v>0.84838147491129634</v>
      </c>
      <c r="Q1034" s="8">
        <f t="shared" si="133"/>
        <v>0.96272637147329787</v>
      </c>
      <c r="R1034" s="8">
        <f t="shared" si="134"/>
        <v>1.1347800487675159</v>
      </c>
      <c r="S1034" s="22">
        <f t="shared" si="135"/>
        <v>0.18241269108163047</v>
      </c>
      <c r="T1034" s="25"/>
      <c r="U1034" s="1" t="s">
        <v>2935</v>
      </c>
    </row>
    <row r="1035" spans="1:21">
      <c r="A1035" s="6" t="s">
        <v>2936</v>
      </c>
      <c r="B1035" s="6" t="s">
        <v>80</v>
      </c>
      <c r="C1035" s="7">
        <v>1.0177046935191474</v>
      </c>
      <c r="D1035" s="7">
        <v>1.0246186678717841</v>
      </c>
      <c r="E1035" s="7">
        <v>0.99909023896059657</v>
      </c>
      <c r="F1035" s="8">
        <v>0.9629892931931997</v>
      </c>
      <c r="G1035" s="8">
        <f t="shared" si="128"/>
        <v>1.0211616806954658</v>
      </c>
      <c r="H1035" s="8">
        <f t="shared" si="129"/>
        <v>0.98103976607689813</v>
      </c>
      <c r="I1035" s="8">
        <f t="shared" si="130"/>
        <v>0.96070953760109523</v>
      </c>
      <c r="J1035" s="22">
        <f t="shared" si="131"/>
        <v>-5.7827784600084649E-2</v>
      </c>
      <c r="K1035" s="8"/>
      <c r="L1035" s="8">
        <v>0.88073367620189547</v>
      </c>
      <c r="M1035" s="8">
        <v>0.88996914942677186</v>
      </c>
      <c r="N1035" s="8">
        <v>1.0122305390261261</v>
      </c>
      <c r="O1035" s="8">
        <v>0.8827476875541852</v>
      </c>
      <c r="P1035" s="8">
        <f t="shared" si="132"/>
        <v>0.8853514128143336</v>
      </c>
      <c r="Q1035" s="8">
        <f t="shared" si="133"/>
        <v>0.94748911329015573</v>
      </c>
      <c r="R1035" s="8">
        <f t="shared" si="134"/>
        <v>1.0701842224188702</v>
      </c>
      <c r="S1035" s="22">
        <f t="shared" si="135"/>
        <v>9.7859164750994904E-2</v>
      </c>
      <c r="T1035" s="25"/>
      <c r="U1035" s="1">
        <v>0</v>
      </c>
    </row>
    <row r="1036" spans="1:21">
      <c r="A1036" s="6" t="s">
        <v>2937</v>
      </c>
      <c r="B1036" s="6" t="s">
        <v>80</v>
      </c>
      <c r="C1036" s="7">
        <v>1.0739970804203054</v>
      </c>
      <c r="D1036" s="7">
        <v>0.97556537186647507</v>
      </c>
      <c r="E1036" s="7">
        <v>1.0757115119474052</v>
      </c>
      <c r="F1036" s="8">
        <v>1.0269954318196952</v>
      </c>
      <c r="G1036" s="8">
        <f t="shared" si="128"/>
        <v>1.0247812261433902</v>
      </c>
      <c r="H1036" s="8">
        <f t="shared" si="129"/>
        <v>1.0513534718835502</v>
      </c>
      <c r="I1036" s="8">
        <f t="shared" si="130"/>
        <v>1.0259296765614654</v>
      </c>
      <c r="J1036" s="22">
        <f t="shared" si="131"/>
        <v>3.6931843271348588E-2</v>
      </c>
      <c r="K1036" s="8"/>
      <c r="L1036" s="8">
        <v>1.3410399591430164</v>
      </c>
      <c r="M1036" s="8">
        <v>1.3787622032151576</v>
      </c>
      <c r="N1036" s="8">
        <v>1.5486182111808597</v>
      </c>
      <c r="O1036" s="8">
        <v>1.1290539668467952</v>
      </c>
      <c r="P1036" s="8">
        <f t="shared" si="132"/>
        <v>1.359901081179087</v>
      </c>
      <c r="Q1036" s="8">
        <f t="shared" si="133"/>
        <v>1.3388360890138276</v>
      </c>
      <c r="R1036" s="8">
        <f t="shared" si="134"/>
        <v>0.98450990850967235</v>
      </c>
      <c r="S1036" s="22">
        <f t="shared" si="135"/>
        <v>-2.2522368815554684E-2</v>
      </c>
      <c r="T1036" s="25"/>
      <c r="U1036" s="1">
        <v>0</v>
      </c>
    </row>
    <row r="1037" spans="1:21">
      <c r="A1037" s="6" t="s">
        <v>2938</v>
      </c>
      <c r="B1037" s="6" t="s">
        <v>2939</v>
      </c>
      <c r="C1037" s="7">
        <v>1.0273654547429596</v>
      </c>
      <c r="D1037" s="7">
        <v>0.9835735229801631</v>
      </c>
      <c r="E1037" s="7">
        <v>0.99561290419280712</v>
      </c>
      <c r="F1037" s="8">
        <v>0.94744091248924711</v>
      </c>
      <c r="G1037" s="8">
        <f t="shared" si="128"/>
        <v>1.0054694888615614</v>
      </c>
      <c r="H1037" s="8">
        <f t="shared" si="129"/>
        <v>0.97152690834102717</v>
      </c>
      <c r="I1037" s="8">
        <f t="shared" si="130"/>
        <v>0.96624205816631437</v>
      </c>
      <c r="J1037" s="22">
        <f t="shared" si="131"/>
        <v>-4.954344374499825E-2</v>
      </c>
      <c r="K1037" s="8"/>
      <c r="L1037" s="8">
        <v>1.166330582512076</v>
      </c>
      <c r="M1037" s="8">
        <v>1.0264818900516421</v>
      </c>
      <c r="N1037" s="8">
        <v>1.0444212855755379</v>
      </c>
      <c r="O1037" s="8">
        <v>1.0719329374417406</v>
      </c>
      <c r="P1037" s="8">
        <f t="shared" si="132"/>
        <v>1.096406236281859</v>
      </c>
      <c r="Q1037" s="8">
        <f t="shared" si="133"/>
        <v>1.0581771115086394</v>
      </c>
      <c r="R1037" s="8">
        <f t="shared" si="134"/>
        <v>0.96513233552659961</v>
      </c>
      <c r="S1037" s="22">
        <f t="shared" si="135"/>
        <v>-5.1201321710544222E-2</v>
      </c>
      <c r="T1037" s="25"/>
      <c r="U1037" s="1" t="s">
        <v>2940</v>
      </c>
    </row>
    <row r="1038" spans="1:21">
      <c r="A1038" s="6" t="s">
        <v>2941</v>
      </c>
      <c r="B1038" s="11" t="s">
        <v>2942</v>
      </c>
      <c r="C1038" s="12">
        <v>1.0418925223303552</v>
      </c>
      <c r="D1038" s="12">
        <v>0.92964657945364493</v>
      </c>
      <c r="E1038" s="12">
        <v>1.0430725283683608</v>
      </c>
      <c r="F1038" s="8">
        <v>0.98624129109256486</v>
      </c>
      <c r="G1038" s="8">
        <f t="shared" si="128"/>
        <v>0.98576955089200013</v>
      </c>
      <c r="H1038" s="8">
        <f t="shared" si="129"/>
        <v>1.014656909730463</v>
      </c>
      <c r="I1038" s="8">
        <f t="shared" si="130"/>
        <v>1.0293043732303593</v>
      </c>
      <c r="J1038" s="22">
        <f t="shared" si="131"/>
        <v>4.1669661355659728E-2</v>
      </c>
      <c r="K1038" s="8"/>
      <c r="L1038" s="8">
        <v>1.0297815146154141</v>
      </c>
      <c r="M1038" s="8">
        <v>0.76754432590923583</v>
      </c>
      <c r="N1038" s="8">
        <v>0.9760159491580378</v>
      </c>
      <c r="O1038" s="8">
        <v>0.89245976442060104</v>
      </c>
      <c r="P1038" s="8">
        <f t="shared" si="132"/>
        <v>0.89866292026232497</v>
      </c>
      <c r="Q1038" s="8">
        <f t="shared" si="133"/>
        <v>0.93423785678931948</v>
      </c>
      <c r="R1038" s="8">
        <f t="shared" si="134"/>
        <v>1.0395865187323072</v>
      </c>
      <c r="S1038" s="22">
        <f t="shared" si="135"/>
        <v>5.6009830300056407E-2</v>
      </c>
      <c r="T1038" s="25"/>
      <c r="U1038" s="1" t="s">
        <v>2943</v>
      </c>
    </row>
    <row r="1039" spans="1:21">
      <c r="A1039" s="6" t="s">
        <v>2944</v>
      </c>
      <c r="B1039" s="6" t="s">
        <v>2945</v>
      </c>
      <c r="C1039" s="7">
        <v>0.9702369776209443</v>
      </c>
      <c r="D1039" s="7">
        <v>1.0096134958355305</v>
      </c>
      <c r="E1039" s="7">
        <v>0.91900761895205729</v>
      </c>
      <c r="F1039" s="8">
        <v>1.1533733833417403</v>
      </c>
      <c r="G1039" s="8">
        <f t="shared" si="128"/>
        <v>0.9899252367282374</v>
      </c>
      <c r="H1039" s="8">
        <f t="shared" si="129"/>
        <v>1.0361905011468988</v>
      </c>
      <c r="I1039" s="8">
        <f t="shared" si="130"/>
        <v>1.0467361197614993</v>
      </c>
      <c r="J1039" s="22">
        <f t="shared" si="131"/>
        <v>6.5897787355481699E-2</v>
      </c>
      <c r="K1039" s="8"/>
      <c r="L1039" s="8">
        <v>0.84917428064683176</v>
      </c>
      <c r="M1039" s="8">
        <v>1.1218430833366677</v>
      </c>
      <c r="N1039" s="8">
        <v>0.75086787881534955</v>
      </c>
      <c r="O1039" s="8">
        <v>0.85180921588694269</v>
      </c>
      <c r="P1039" s="8">
        <f t="shared" si="132"/>
        <v>0.98550868199174979</v>
      </c>
      <c r="Q1039" s="8">
        <f t="shared" si="133"/>
        <v>0.80133854735114607</v>
      </c>
      <c r="R1039" s="8">
        <f t="shared" si="134"/>
        <v>0.81312175325701952</v>
      </c>
      <c r="S1039" s="22">
        <f t="shared" si="135"/>
        <v>-0.29845670363414506</v>
      </c>
      <c r="T1039" s="25"/>
      <c r="U1039" s="1" t="s">
        <v>2946</v>
      </c>
    </row>
    <row r="1040" spans="1:21">
      <c r="A1040" s="6" t="s">
        <v>2947</v>
      </c>
      <c r="B1040" s="9" t="s">
        <v>2948</v>
      </c>
      <c r="C1040" s="10">
        <v>1.0151115074435197</v>
      </c>
      <c r="D1040" s="10">
        <v>0.82582373142921606</v>
      </c>
      <c r="E1040" s="10">
        <v>0.97133551180251632</v>
      </c>
      <c r="F1040" s="8">
        <v>1.0071012304220912</v>
      </c>
      <c r="G1040" s="8">
        <f t="shared" si="128"/>
        <v>0.9204676194363679</v>
      </c>
      <c r="H1040" s="8">
        <f t="shared" si="129"/>
        <v>0.98921837111230371</v>
      </c>
      <c r="I1040" s="8">
        <f t="shared" si="130"/>
        <v>1.0746911137602364</v>
      </c>
      <c r="J1040" s="22">
        <f t="shared" si="131"/>
        <v>0.10392206197179882</v>
      </c>
      <c r="K1040" s="8"/>
      <c r="L1040" s="8">
        <v>1.2046080672199502</v>
      </c>
      <c r="M1040" s="8">
        <v>1.2557194885964227</v>
      </c>
      <c r="N1040" s="8">
        <v>1.1438944355232843</v>
      </c>
      <c r="O1040" s="8">
        <v>0.90893024529199717</v>
      </c>
      <c r="P1040" s="8">
        <f t="shared" si="132"/>
        <v>1.2301637779081864</v>
      </c>
      <c r="Q1040" s="8">
        <f t="shared" si="133"/>
        <v>1.0264123404076408</v>
      </c>
      <c r="R1040" s="8">
        <f t="shared" si="134"/>
        <v>0.8343704788259888</v>
      </c>
      <c r="S1040" s="22">
        <f t="shared" si="135"/>
        <v>-0.2612399806595801</v>
      </c>
      <c r="T1040" s="25"/>
      <c r="U1040" s="1" t="s">
        <v>2949</v>
      </c>
    </row>
    <row r="1041" spans="1:21">
      <c r="A1041" s="6" t="s">
        <v>2950</v>
      </c>
      <c r="B1041" s="6" t="s">
        <v>2951</v>
      </c>
      <c r="C1041" s="7">
        <v>0.93657781427658748</v>
      </c>
      <c r="D1041" s="7">
        <v>0.82690227029974639</v>
      </c>
      <c r="E1041" s="7">
        <v>1.0046539745890597</v>
      </c>
      <c r="F1041" s="8">
        <v>0.90107806300364379</v>
      </c>
      <c r="G1041" s="8">
        <f t="shared" si="128"/>
        <v>0.88174004228816694</v>
      </c>
      <c r="H1041" s="8">
        <f t="shared" si="129"/>
        <v>0.9528660187963518</v>
      </c>
      <c r="I1041" s="8">
        <f t="shared" si="130"/>
        <v>1.0806654717909927</v>
      </c>
      <c r="J1041" s="22">
        <f t="shared" si="131"/>
        <v>0.11191999496881809</v>
      </c>
      <c r="K1041" s="8"/>
      <c r="L1041" s="8">
        <v>1.0597395051980056</v>
      </c>
      <c r="M1041" s="8">
        <v>1.2722789701085524</v>
      </c>
      <c r="N1041" s="8">
        <v>0.96024809801392186</v>
      </c>
      <c r="O1041" s="8">
        <v>0.87944357892952818</v>
      </c>
      <c r="P1041" s="8">
        <f t="shared" si="132"/>
        <v>1.1660092376532791</v>
      </c>
      <c r="Q1041" s="8">
        <f t="shared" si="133"/>
        <v>0.91984583847172496</v>
      </c>
      <c r="R1041" s="8">
        <f t="shared" si="134"/>
        <v>0.78888383450804822</v>
      </c>
      <c r="S1041" s="22">
        <f t="shared" si="135"/>
        <v>-0.34211522014637286</v>
      </c>
      <c r="T1041" s="25"/>
      <c r="U1041" s="1" t="s">
        <v>2952</v>
      </c>
    </row>
    <row r="1042" spans="1:21">
      <c r="A1042" s="6" t="s">
        <v>2953</v>
      </c>
      <c r="B1042" s="6" t="s">
        <v>2954</v>
      </c>
      <c r="C1042" s="7">
        <v>0.95175154539417739</v>
      </c>
      <c r="D1042" s="7">
        <v>0.83474864058285481</v>
      </c>
      <c r="E1042" s="7">
        <v>0.88269145377948854</v>
      </c>
      <c r="F1042" s="8">
        <v>0.98815048069644251</v>
      </c>
      <c r="G1042" s="8">
        <f t="shared" si="128"/>
        <v>0.8932500929885161</v>
      </c>
      <c r="H1042" s="8">
        <f t="shared" si="129"/>
        <v>0.93542096723796553</v>
      </c>
      <c r="I1042" s="8">
        <f t="shared" si="130"/>
        <v>1.0472106015778402</v>
      </c>
      <c r="J1042" s="22">
        <f t="shared" si="131"/>
        <v>6.6551607787651262E-2</v>
      </c>
      <c r="K1042" s="8"/>
      <c r="L1042" s="8">
        <v>1.037007366320472</v>
      </c>
      <c r="M1042" s="8">
        <v>1.1613881138133952</v>
      </c>
      <c r="N1042" s="8">
        <v>1.0564928155315674</v>
      </c>
      <c r="O1042" s="8">
        <v>0.79674073880932661</v>
      </c>
      <c r="P1042" s="8">
        <f t="shared" si="132"/>
        <v>1.0991977400669337</v>
      </c>
      <c r="Q1042" s="8">
        <f t="shared" si="133"/>
        <v>0.92661677717044699</v>
      </c>
      <c r="R1042" s="8">
        <f t="shared" si="134"/>
        <v>0.8429937065864257</v>
      </c>
      <c r="S1042" s="22">
        <f t="shared" si="135"/>
        <v>-0.24640623419502905</v>
      </c>
      <c r="T1042" s="25"/>
      <c r="U1042" s="1" t="s">
        <v>2955</v>
      </c>
    </row>
    <row r="1043" spans="1:21">
      <c r="A1043" s="6" t="s">
        <v>2956</v>
      </c>
      <c r="B1043" s="6" t="s">
        <v>2957</v>
      </c>
      <c r="C1043" s="7">
        <v>0.95339106606163981</v>
      </c>
      <c r="D1043" s="7">
        <v>1.0201764358987873</v>
      </c>
      <c r="E1043" s="7">
        <v>0.97497272403089374</v>
      </c>
      <c r="F1043" s="8">
        <v>0.96043380205026618</v>
      </c>
      <c r="G1043" s="8">
        <f t="shared" si="128"/>
        <v>0.98678375098021354</v>
      </c>
      <c r="H1043" s="8">
        <f t="shared" si="129"/>
        <v>0.96770326304057996</v>
      </c>
      <c r="I1043" s="8">
        <f t="shared" si="130"/>
        <v>0.98066396216934038</v>
      </c>
      <c r="J1043" s="22">
        <f t="shared" si="131"/>
        <v>-2.8169232820045607E-2</v>
      </c>
      <c r="K1043" s="8"/>
      <c r="L1043" s="8">
        <v>1.1721893811918527</v>
      </c>
      <c r="M1043" s="8">
        <v>1.0373567734327422</v>
      </c>
      <c r="N1043" s="8">
        <v>1.3879920005643909</v>
      </c>
      <c r="O1043" s="8">
        <v>0.93956834344790718</v>
      </c>
      <c r="P1043" s="8">
        <f t="shared" si="132"/>
        <v>1.1047730773122975</v>
      </c>
      <c r="Q1043" s="8">
        <f t="shared" si="133"/>
        <v>1.1637801720061489</v>
      </c>
      <c r="R1043" s="8">
        <f t="shared" si="134"/>
        <v>1.0534110541844526</v>
      </c>
      <c r="S1043" s="22">
        <f t="shared" si="135"/>
        <v>7.5068503899565972E-2</v>
      </c>
      <c r="T1043" s="25"/>
      <c r="U1043" s="1" t="s">
        <v>2958</v>
      </c>
    </row>
    <row r="1044" spans="1:21">
      <c r="A1044" s="6" t="s">
        <v>2959</v>
      </c>
      <c r="B1044" s="6" t="s">
        <v>2960</v>
      </c>
      <c r="C1044" s="7">
        <v>1.0609397026742604</v>
      </c>
      <c r="D1044" s="7">
        <v>0.91432458662417304</v>
      </c>
      <c r="E1044" s="7">
        <v>0.84810995905429976</v>
      </c>
      <c r="F1044" s="8">
        <v>0.91107716497570312</v>
      </c>
      <c r="G1044" s="8">
        <f t="shared" si="128"/>
        <v>0.98763214464921667</v>
      </c>
      <c r="H1044" s="8">
        <f t="shared" si="129"/>
        <v>0.8795935620150015</v>
      </c>
      <c r="I1044" s="8">
        <f t="shared" si="130"/>
        <v>0.89060847885566963</v>
      </c>
      <c r="J1044" s="22">
        <f t="shared" si="131"/>
        <v>-0.16713674815842244</v>
      </c>
      <c r="K1044" s="8"/>
      <c r="L1044" s="8">
        <v>1.1800011127648882</v>
      </c>
      <c r="M1044" s="8">
        <v>0.71354064366445469</v>
      </c>
      <c r="N1044" s="8">
        <v>1.076565243249151</v>
      </c>
      <c r="O1044" s="8">
        <v>0.85606450729748573</v>
      </c>
      <c r="P1044" s="8">
        <f t="shared" si="132"/>
        <v>0.94677087821467143</v>
      </c>
      <c r="Q1044" s="8">
        <f t="shared" si="133"/>
        <v>0.96631487527331839</v>
      </c>
      <c r="R1044" s="8">
        <f t="shared" si="134"/>
        <v>1.0206427949025019</v>
      </c>
      <c r="S1044" s="22">
        <f t="shared" si="135"/>
        <v>2.9478039387744535E-2</v>
      </c>
      <c r="T1044" s="25"/>
      <c r="U1044" s="1" t="s">
        <v>2961</v>
      </c>
    </row>
    <row r="1045" spans="1:21">
      <c r="A1045" s="6" t="s">
        <v>2962</v>
      </c>
      <c r="B1045" s="6" t="s">
        <v>2963</v>
      </c>
      <c r="C1045" s="7">
        <v>0.9868477388056327</v>
      </c>
      <c r="D1045" s="7">
        <v>0.95458779083465961</v>
      </c>
      <c r="E1045" s="7">
        <v>0.94474789010672855</v>
      </c>
      <c r="F1045" s="8">
        <v>0.94153505359787482</v>
      </c>
      <c r="G1045" s="8">
        <f t="shared" si="128"/>
        <v>0.97071776482014616</v>
      </c>
      <c r="H1045" s="8">
        <f t="shared" si="129"/>
        <v>0.94314147185230168</v>
      </c>
      <c r="I1045" s="8">
        <f t="shared" si="130"/>
        <v>0.97159185299039641</v>
      </c>
      <c r="J1045" s="22">
        <f t="shared" si="131"/>
        <v>-4.1577702175452945E-2</v>
      </c>
      <c r="K1045" s="8"/>
      <c r="L1045" s="8">
        <v>0.96865471505641076</v>
      </c>
      <c r="M1045" s="8">
        <v>1.0016014750433677</v>
      </c>
      <c r="N1045" s="8">
        <v>0.90489685794422103</v>
      </c>
      <c r="O1045" s="8">
        <v>0.84329863306585662</v>
      </c>
      <c r="P1045" s="8">
        <f t="shared" si="132"/>
        <v>0.9851280950498893</v>
      </c>
      <c r="Q1045" s="8">
        <f t="shared" si="133"/>
        <v>0.87409774550503883</v>
      </c>
      <c r="R1045" s="8">
        <f t="shared" si="134"/>
        <v>0.88729348995043367</v>
      </c>
      <c r="S1045" s="22">
        <f t="shared" si="135"/>
        <v>-0.17251671137386423</v>
      </c>
      <c r="T1045" s="25"/>
      <c r="U1045" s="1" t="s">
        <v>2964</v>
      </c>
    </row>
    <row r="1046" spans="1:21">
      <c r="A1046" s="6" t="s">
        <v>2965</v>
      </c>
      <c r="B1046" s="6" t="s">
        <v>2966</v>
      </c>
      <c r="C1046" s="7">
        <v>0.96465868817866196</v>
      </c>
      <c r="D1046" s="7">
        <v>0.99375223357079334</v>
      </c>
      <c r="E1046" s="7">
        <v>1.0175720734045717</v>
      </c>
      <c r="F1046" s="8">
        <v>1.0545486778927768</v>
      </c>
      <c r="G1046" s="8">
        <f t="shared" si="128"/>
        <v>0.9792054608747276</v>
      </c>
      <c r="H1046" s="8">
        <f t="shared" si="129"/>
        <v>1.0360603756486744</v>
      </c>
      <c r="I1046" s="8">
        <f t="shared" si="130"/>
        <v>1.0580622934058783</v>
      </c>
      <c r="J1046" s="22">
        <f t="shared" si="131"/>
        <v>8.1424568607070813E-2</v>
      </c>
      <c r="K1046" s="8"/>
      <c r="L1046" s="8">
        <v>1.1753140738210668</v>
      </c>
      <c r="M1046" s="8">
        <v>1.0109934197815904</v>
      </c>
      <c r="N1046" s="8">
        <v>0.9573003988386124</v>
      </c>
      <c r="O1046" s="8">
        <v>0.88429961736273621</v>
      </c>
      <c r="P1046" s="8">
        <f t="shared" si="132"/>
        <v>1.0931537468013286</v>
      </c>
      <c r="Q1046" s="8">
        <f t="shared" si="133"/>
        <v>0.92080000810067431</v>
      </c>
      <c r="R1046" s="8">
        <f t="shared" si="134"/>
        <v>0.84233348766815497</v>
      </c>
      <c r="S1046" s="22">
        <f t="shared" si="135"/>
        <v>-0.24753657210361091</v>
      </c>
      <c r="T1046" s="25"/>
      <c r="U1046" s="1" t="s">
        <v>2967</v>
      </c>
    </row>
    <row r="1047" spans="1:21">
      <c r="A1047" s="6" t="s">
        <v>2968</v>
      </c>
      <c r="B1047" s="6" t="s">
        <v>2969</v>
      </c>
      <c r="C1047" s="7">
        <v>0.97014553025303807</v>
      </c>
      <c r="D1047" s="7">
        <v>0.91218773148693477</v>
      </c>
      <c r="E1047" s="7">
        <v>1.0520176722882606</v>
      </c>
      <c r="F1047" s="8">
        <v>1.0887135144228666</v>
      </c>
      <c r="G1047" s="8">
        <f t="shared" si="128"/>
        <v>0.94116663086998642</v>
      </c>
      <c r="H1047" s="8">
        <f t="shared" si="129"/>
        <v>1.0703655933555636</v>
      </c>
      <c r="I1047" s="8">
        <f t="shared" si="130"/>
        <v>1.1372753328134355</v>
      </c>
      <c r="J1047" s="22">
        <f t="shared" si="131"/>
        <v>0.18558157102637007</v>
      </c>
      <c r="K1047" s="8"/>
      <c r="L1047" s="8">
        <v>1.2141383797390537</v>
      </c>
      <c r="M1047" s="8">
        <v>0.7923835481774304</v>
      </c>
      <c r="N1047" s="8">
        <v>0.94878482344327375</v>
      </c>
      <c r="O1047" s="8">
        <v>0.89451231674803955</v>
      </c>
      <c r="P1047" s="8">
        <f t="shared" si="132"/>
        <v>1.0032609639582422</v>
      </c>
      <c r="Q1047" s="8">
        <f t="shared" si="133"/>
        <v>0.92164857009565671</v>
      </c>
      <c r="R1047" s="8">
        <f t="shared" si="134"/>
        <v>0.91865287617631031</v>
      </c>
      <c r="S1047" s="22">
        <f t="shared" si="135"/>
        <v>-0.12240826974141161</v>
      </c>
      <c r="T1047" s="25"/>
      <c r="U1047" s="1" t="s">
        <v>2970</v>
      </c>
    </row>
    <row r="1048" spans="1:21">
      <c r="A1048" s="6" t="s">
        <v>2971</v>
      </c>
      <c r="B1048" s="6" t="s">
        <v>2972</v>
      </c>
      <c r="C1048" s="7">
        <v>0.99298777636505353</v>
      </c>
      <c r="D1048" s="7">
        <v>0.95809978303182408</v>
      </c>
      <c r="E1048" s="7">
        <v>1.0737769946742901</v>
      </c>
      <c r="F1048" s="8">
        <v>0.99046082297973403</v>
      </c>
      <c r="G1048" s="8">
        <f t="shared" si="128"/>
        <v>0.97554377969843875</v>
      </c>
      <c r="H1048" s="8">
        <f t="shared" si="129"/>
        <v>1.032118908827012</v>
      </c>
      <c r="I1048" s="8">
        <f t="shared" si="130"/>
        <v>1.0579934292093602</v>
      </c>
      <c r="J1048" s="22">
        <f t="shared" si="131"/>
        <v>8.1330667455239397E-2</v>
      </c>
      <c r="K1048" s="8"/>
      <c r="L1048" s="8">
        <v>0.7777750540692866</v>
      </c>
      <c r="M1048" s="8">
        <v>0.76589661630603889</v>
      </c>
      <c r="N1048" s="8">
        <v>0.81075763983751103</v>
      </c>
      <c r="O1048" s="8">
        <v>0.85596438279370823</v>
      </c>
      <c r="P1048" s="8">
        <f t="shared" si="132"/>
        <v>0.77183583518766274</v>
      </c>
      <c r="Q1048" s="8">
        <f t="shared" si="133"/>
        <v>0.83336101131560958</v>
      </c>
      <c r="R1048" s="8">
        <f t="shared" si="134"/>
        <v>1.0797127748195154</v>
      </c>
      <c r="S1048" s="22">
        <f t="shared" si="135"/>
        <v>0.11064757770811608</v>
      </c>
      <c r="T1048" s="25"/>
      <c r="U1048" s="1" t="s">
        <v>2973</v>
      </c>
    </row>
    <row r="1049" spans="1:21">
      <c r="A1049" s="6" t="s">
        <v>2974</v>
      </c>
      <c r="B1049" s="6" t="s">
        <v>2975</v>
      </c>
      <c r="C1049" s="7">
        <v>0.91622424296259253</v>
      </c>
      <c r="D1049" s="7">
        <v>0.97102876774230673</v>
      </c>
      <c r="E1049" s="7">
        <v>0.97781854282936054</v>
      </c>
      <c r="F1049" s="8">
        <v>0.9989518880273297</v>
      </c>
      <c r="G1049" s="8">
        <f t="shared" si="128"/>
        <v>0.94362650535244963</v>
      </c>
      <c r="H1049" s="8">
        <f t="shared" si="129"/>
        <v>0.98838521542834512</v>
      </c>
      <c r="I1049" s="8">
        <f t="shared" si="130"/>
        <v>1.0474326545746804</v>
      </c>
      <c r="J1049" s="22">
        <f t="shared" si="131"/>
        <v>6.6857487805754554E-2</v>
      </c>
      <c r="K1049" s="8"/>
      <c r="L1049" s="8">
        <v>1.1419189213463399</v>
      </c>
      <c r="M1049" s="8">
        <v>0.77018066127435103</v>
      </c>
      <c r="N1049" s="8">
        <v>0.85539422734934079</v>
      </c>
      <c r="O1049" s="8">
        <v>0.97341042572469672</v>
      </c>
      <c r="P1049" s="8">
        <f t="shared" si="132"/>
        <v>0.9560497913103454</v>
      </c>
      <c r="Q1049" s="8">
        <f t="shared" si="133"/>
        <v>0.91440232653701869</v>
      </c>
      <c r="R1049" s="8">
        <f t="shared" si="134"/>
        <v>0.95643797514327633</v>
      </c>
      <c r="S1049" s="22">
        <f t="shared" si="135"/>
        <v>-6.4256681835705279E-2</v>
      </c>
      <c r="T1049" s="25"/>
      <c r="U1049" s="1" t="s">
        <v>2976</v>
      </c>
    </row>
    <row r="1050" spans="1:21">
      <c r="A1050" s="6" t="s">
        <v>2977</v>
      </c>
      <c r="B1050" s="6" t="s">
        <v>2978</v>
      </c>
      <c r="C1050" s="7">
        <v>0.96018429910610537</v>
      </c>
      <c r="D1050" s="7">
        <v>0.95170944022393167</v>
      </c>
      <c r="E1050" s="7">
        <v>1.0971111100471118</v>
      </c>
      <c r="F1050" s="8">
        <v>1.0636637582194608</v>
      </c>
      <c r="G1050" s="8">
        <f t="shared" si="128"/>
        <v>0.95594686966501852</v>
      </c>
      <c r="H1050" s="8">
        <f t="shared" si="129"/>
        <v>1.0803874341332862</v>
      </c>
      <c r="I1050" s="8">
        <f t="shared" si="130"/>
        <v>1.1301751890373091</v>
      </c>
      <c r="J1050" s="22">
        <f t="shared" si="131"/>
        <v>0.1765464228752554</v>
      </c>
      <c r="K1050" s="8"/>
      <c r="L1050" s="8">
        <v>0.99408190132664154</v>
      </c>
      <c r="M1050" s="8">
        <v>1.3469202151333759</v>
      </c>
      <c r="N1050" s="8">
        <v>1.5188136972971749</v>
      </c>
      <c r="O1050" s="8">
        <v>0.84880548077361817</v>
      </c>
      <c r="P1050" s="8">
        <f t="shared" si="132"/>
        <v>1.1705010582300086</v>
      </c>
      <c r="Q1050" s="8">
        <f t="shared" si="133"/>
        <v>1.1838095890353966</v>
      </c>
      <c r="R1050" s="8">
        <f t="shared" si="134"/>
        <v>1.0113699434202243</v>
      </c>
      <c r="S1050" s="22">
        <f t="shared" si="135"/>
        <v>1.6310809222564931E-2</v>
      </c>
      <c r="T1050" s="25"/>
      <c r="U1050" s="1" t="s">
        <v>2979</v>
      </c>
    </row>
    <row r="1051" spans="1:21">
      <c r="A1051" s="6" t="s">
        <v>2980</v>
      </c>
      <c r="B1051" s="6" t="s">
        <v>2981</v>
      </c>
      <c r="C1051" s="7">
        <v>0.95970093444717219</v>
      </c>
      <c r="D1051" s="7">
        <v>0.89618491099544051</v>
      </c>
      <c r="E1051" s="7">
        <v>1.0254460383385318</v>
      </c>
      <c r="F1051" s="8">
        <v>1.0884683655632246</v>
      </c>
      <c r="G1051" s="8">
        <f t="shared" si="128"/>
        <v>0.9279429227213063</v>
      </c>
      <c r="H1051" s="8">
        <f t="shared" si="129"/>
        <v>1.0569572019508782</v>
      </c>
      <c r="I1051" s="8">
        <f t="shared" si="130"/>
        <v>1.1390325590837223</v>
      </c>
      <c r="J1051" s="22">
        <f t="shared" si="131"/>
        <v>0.18780898686802636</v>
      </c>
      <c r="K1051" s="8"/>
      <c r="L1051" s="8">
        <v>1.2631179367019867</v>
      </c>
      <c r="M1051" s="8">
        <v>0.92650710987766505</v>
      </c>
      <c r="N1051" s="8">
        <v>0.80490903036269057</v>
      </c>
      <c r="O1051" s="8">
        <v>0.99979323247006369</v>
      </c>
      <c r="P1051" s="8">
        <f t="shared" si="132"/>
        <v>1.0948125232898258</v>
      </c>
      <c r="Q1051" s="8">
        <f t="shared" si="133"/>
        <v>0.90235113141637713</v>
      </c>
      <c r="R1051" s="8">
        <f t="shared" si="134"/>
        <v>0.82420607384439004</v>
      </c>
      <c r="S1051" s="22">
        <f t="shared" si="135"/>
        <v>-0.278922999537704</v>
      </c>
      <c r="T1051" s="25"/>
      <c r="U1051" s="1" t="s">
        <v>2982</v>
      </c>
    </row>
    <row r="1052" spans="1:21">
      <c r="A1052" s="6" t="s">
        <v>2983</v>
      </c>
      <c r="B1052" s="6" t="s">
        <v>2984</v>
      </c>
      <c r="C1052" s="7">
        <v>0.88193147999774235</v>
      </c>
      <c r="D1052" s="7">
        <v>0.98622942494884402</v>
      </c>
      <c r="E1052" s="7">
        <v>0.99747547660865754</v>
      </c>
      <c r="F1052" s="8">
        <v>1.0228501874657507</v>
      </c>
      <c r="G1052" s="8">
        <f t="shared" si="128"/>
        <v>0.93408045247329319</v>
      </c>
      <c r="H1052" s="8">
        <f t="shared" si="129"/>
        <v>1.0101628320372043</v>
      </c>
      <c r="I1052" s="8">
        <f t="shared" si="130"/>
        <v>1.0814516344523186</v>
      </c>
      <c r="J1052" s="22">
        <f t="shared" si="131"/>
        <v>0.11296914537749485</v>
      </c>
      <c r="K1052" s="8"/>
      <c r="L1052" s="8">
        <v>0.69438481952713194</v>
      </c>
      <c r="M1052" s="8">
        <v>0.79044748939367393</v>
      </c>
      <c r="N1052" s="8">
        <v>0.78694210205604209</v>
      </c>
      <c r="O1052" s="8">
        <v>0.79458806197811072</v>
      </c>
      <c r="P1052" s="8">
        <f t="shared" si="132"/>
        <v>0.74241615446040288</v>
      </c>
      <c r="Q1052" s="8">
        <f t="shared" si="133"/>
        <v>0.7907650820170764</v>
      </c>
      <c r="R1052" s="8">
        <f t="shared" si="134"/>
        <v>1.0651237547380876</v>
      </c>
      <c r="S1052" s="22">
        <f t="shared" si="135"/>
        <v>9.1021064229882764E-2</v>
      </c>
      <c r="T1052" s="25"/>
      <c r="U1052" s="1" t="s">
        <v>2985</v>
      </c>
    </row>
    <row r="1053" spans="1:21">
      <c r="A1053" s="6" t="s">
        <v>2986</v>
      </c>
      <c r="B1053" s="6" t="s">
        <v>2987</v>
      </c>
      <c r="C1053" s="7">
        <v>0.92211606623769637</v>
      </c>
      <c r="D1053" s="7">
        <v>0.94501575835870266</v>
      </c>
      <c r="E1053" s="7">
        <v>0.90358743787834273</v>
      </c>
      <c r="F1053" s="8">
        <v>0.97920626169617542</v>
      </c>
      <c r="G1053" s="8">
        <f t="shared" si="128"/>
        <v>0.93356591229819952</v>
      </c>
      <c r="H1053" s="8">
        <f t="shared" si="129"/>
        <v>0.94139684978725913</v>
      </c>
      <c r="I1053" s="8">
        <f t="shared" si="130"/>
        <v>1.0083881998966542</v>
      </c>
      <c r="J1053" s="22">
        <f t="shared" si="131"/>
        <v>1.205114106971587E-2</v>
      </c>
      <c r="K1053" s="8"/>
      <c r="L1053" s="8">
        <v>0.8661257381603189</v>
      </c>
      <c r="M1053" s="8">
        <v>0.76733836220883622</v>
      </c>
      <c r="N1053" s="8">
        <v>1.416813948056306</v>
      </c>
      <c r="O1053" s="8">
        <v>0.98963059533664899</v>
      </c>
      <c r="P1053" s="8">
        <f t="shared" si="132"/>
        <v>0.81673205018457762</v>
      </c>
      <c r="Q1053" s="8">
        <f t="shared" si="133"/>
        <v>1.2032222716964776</v>
      </c>
      <c r="R1053" s="8">
        <f t="shared" si="134"/>
        <v>1.4732154461485318</v>
      </c>
      <c r="S1053" s="22">
        <f t="shared" si="135"/>
        <v>0.55896842858234597</v>
      </c>
      <c r="T1053" s="25"/>
      <c r="U1053" s="1" t="s">
        <v>2988</v>
      </c>
    </row>
    <row r="1054" spans="1:21">
      <c r="A1054" s="6" t="s">
        <v>2989</v>
      </c>
      <c r="B1054" s="6" t="s">
        <v>2990</v>
      </c>
      <c r="C1054" s="7">
        <v>1.0543881519592615</v>
      </c>
      <c r="D1054" s="7">
        <v>1.0262971439890469</v>
      </c>
      <c r="E1054" s="7">
        <v>1.1209488394207856</v>
      </c>
      <c r="F1054" s="8">
        <v>1.1409970803064871</v>
      </c>
      <c r="G1054" s="8">
        <f t="shared" si="128"/>
        <v>1.0403426479741542</v>
      </c>
      <c r="H1054" s="8">
        <f t="shared" si="129"/>
        <v>1.1309729598636364</v>
      </c>
      <c r="I1054" s="8">
        <f t="shared" si="130"/>
        <v>1.0871158286800655</v>
      </c>
      <c r="J1054" s="22">
        <f t="shared" si="131"/>
        <v>0.12050566305126943</v>
      </c>
      <c r="K1054" s="8"/>
      <c r="L1054" s="8">
        <v>1.0562242259901395</v>
      </c>
      <c r="M1054" s="8">
        <v>1.1796364976688019</v>
      </c>
      <c r="N1054" s="8">
        <v>1.2224061691132739</v>
      </c>
      <c r="O1054" s="8">
        <v>0.607405302166105</v>
      </c>
      <c r="P1054" s="8">
        <f t="shared" si="132"/>
        <v>1.1179303618294707</v>
      </c>
      <c r="Q1054" s="8">
        <f t="shared" si="133"/>
        <v>0.91490573563968947</v>
      </c>
      <c r="R1054" s="8">
        <f t="shared" si="134"/>
        <v>0.81839242127968015</v>
      </c>
      <c r="S1054" s="22">
        <f t="shared" si="135"/>
        <v>-0.28913530981493174</v>
      </c>
      <c r="T1054" s="25"/>
      <c r="U1054" s="1" t="s">
        <v>2991</v>
      </c>
    </row>
    <row r="1055" spans="1:21">
      <c r="A1055" s="6" t="s">
        <v>2992</v>
      </c>
      <c r="B1055" s="6" t="s">
        <v>2993</v>
      </c>
      <c r="C1055" s="7">
        <v>0.97132781408096902</v>
      </c>
      <c r="D1055" s="7">
        <v>1.0176081652133369</v>
      </c>
      <c r="E1055" s="7">
        <v>1.0117605277121973</v>
      </c>
      <c r="F1055" s="8">
        <v>0.91787447426577307</v>
      </c>
      <c r="G1055" s="8">
        <f t="shared" si="128"/>
        <v>0.99446798964715288</v>
      </c>
      <c r="H1055" s="8">
        <f t="shared" si="129"/>
        <v>0.96481750098898522</v>
      </c>
      <c r="I1055" s="8">
        <f t="shared" si="130"/>
        <v>0.97018457208593722</v>
      </c>
      <c r="J1055" s="22">
        <f t="shared" si="131"/>
        <v>-4.3668856966753496E-2</v>
      </c>
      <c r="K1055" s="8"/>
      <c r="L1055" s="8">
        <v>1.270031319144123</v>
      </c>
      <c r="M1055" s="8">
        <v>0.85796239038467048</v>
      </c>
      <c r="N1055" s="8">
        <v>0.90321245841547282</v>
      </c>
      <c r="O1055" s="8">
        <v>0.97591353831913374</v>
      </c>
      <c r="P1055" s="8">
        <f t="shared" si="132"/>
        <v>1.0639968547643968</v>
      </c>
      <c r="Q1055" s="8">
        <f t="shared" si="133"/>
        <v>0.93956299836730328</v>
      </c>
      <c r="R1055" s="8">
        <f t="shared" si="134"/>
        <v>0.88305054113656456</v>
      </c>
      <c r="S1055" s="22">
        <f t="shared" si="135"/>
        <v>-0.17943208242653638</v>
      </c>
      <c r="T1055" s="25"/>
      <c r="U1055" s="1" t="s">
        <v>2994</v>
      </c>
    </row>
    <row r="1056" spans="1:21">
      <c r="A1056" s="6" t="s">
        <v>2995</v>
      </c>
      <c r="B1056" s="6" t="s">
        <v>2996</v>
      </c>
      <c r="C1056" s="7">
        <v>1.0523893737750245</v>
      </c>
      <c r="D1056" s="7">
        <v>0.92951176209482866</v>
      </c>
      <c r="E1056" s="7">
        <v>1.0114967299022271</v>
      </c>
      <c r="F1056" s="8">
        <v>0.92363918684401825</v>
      </c>
      <c r="G1056" s="8">
        <f t="shared" si="128"/>
        <v>0.99095056793492664</v>
      </c>
      <c r="H1056" s="8">
        <f t="shared" si="129"/>
        <v>0.96756795837312271</v>
      </c>
      <c r="I1056" s="8">
        <f t="shared" si="130"/>
        <v>0.9764038587610564</v>
      </c>
      <c r="J1056" s="22">
        <f t="shared" si="131"/>
        <v>-3.4450098207009595E-2</v>
      </c>
      <c r="K1056" s="8"/>
      <c r="L1056" s="8">
        <v>1.1132889251311644</v>
      </c>
      <c r="M1056" s="8">
        <v>1.0592301184151822</v>
      </c>
      <c r="N1056" s="8">
        <v>1.0352974547948179</v>
      </c>
      <c r="O1056" s="8">
        <v>0.82247273628013995</v>
      </c>
      <c r="P1056" s="8">
        <f t="shared" si="132"/>
        <v>1.0862595217731732</v>
      </c>
      <c r="Q1056" s="8">
        <f t="shared" si="133"/>
        <v>0.928885095537479</v>
      </c>
      <c r="R1056" s="8">
        <f t="shared" si="134"/>
        <v>0.85512262670084449</v>
      </c>
      <c r="S1056" s="22">
        <f t="shared" si="135"/>
        <v>-0.22579677401431653</v>
      </c>
      <c r="T1056" s="25"/>
      <c r="U1056" s="1" t="s">
        <v>2997</v>
      </c>
    </row>
    <row r="1057" spans="1:21">
      <c r="A1057" s="6" t="s">
        <v>2998</v>
      </c>
      <c r="B1057" s="6" t="s">
        <v>2999</v>
      </c>
      <c r="C1057" s="7">
        <v>0.97752663923404393</v>
      </c>
      <c r="D1057" s="7">
        <v>0.96813019452775639</v>
      </c>
      <c r="E1057" s="7">
        <v>0.98924178738837454</v>
      </c>
      <c r="F1057" s="8">
        <v>1.0090995650658385</v>
      </c>
      <c r="G1057" s="8">
        <f t="shared" si="128"/>
        <v>0.97282841688090016</v>
      </c>
      <c r="H1057" s="8">
        <f t="shared" si="129"/>
        <v>0.99917067622710654</v>
      </c>
      <c r="I1057" s="8">
        <f t="shared" si="130"/>
        <v>1.0270780117943772</v>
      </c>
      <c r="J1057" s="22">
        <f t="shared" si="131"/>
        <v>3.8545765837708447E-2</v>
      </c>
      <c r="K1057" s="8"/>
      <c r="L1057" s="8">
        <v>1.0207199059906928</v>
      </c>
      <c r="M1057" s="8">
        <v>0.87299774051384293</v>
      </c>
      <c r="N1057" s="8">
        <v>0.78755035744142343</v>
      </c>
      <c r="O1057" s="8">
        <v>0.88364880808818258</v>
      </c>
      <c r="P1057" s="8">
        <f t="shared" si="132"/>
        <v>0.94685882325226789</v>
      </c>
      <c r="Q1057" s="8">
        <f t="shared" si="133"/>
        <v>0.83559958276480306</v>
      </c>
      <c r="R1057" s="8">
        <f t="shared" si="134"/>
        <v>0.8824964844227654</v>
      </c>
      <c r="S1057" s="22">
        <f t="shared" si="135"/>
        <v>-0.18033756371707937</v>
      </c>
      <c r="T1057" s="25"/>
      <c r="U1057" s="1" t="s">
        <v>3000</v>
      </c>
    </row>
    <row r="1058" spans="1:21">
      <c r="A1058" s="6" t="s">
        <v>3001</v>
      </c>
      <c r="B1058" s="6" t="s">
        <v>3002</v>
      </c>
      <c r="C1058" s="7">
        <v>0.93588542706244005</v>
      </c>
      <c r="D1058" s="7">
        <v>0.8101040273912361</v>
      </c>
      <c r="E1058" s="7">
        <v>0.70245359858558409</v>
      </c>
      <c r="F1058" s="8">
        <v>0.80266193898741678</v>
      </c>
      <c r="G1058" s="8">
        <f t="shared" si="128"/>
        <v>0.87299472722683813</v>
      </c>
      <c r="H1058" s="8">
        <f t="shared" si="129"/>
        <v>0.75255776878650038</v>
      </c>
      <c r="I1058" s="8">
        <f t="shared" si="130"/>
        <v>0.86204159694879401</v>
      </c>
      <c r="J1058" s="22">
        <f t="shared" si="131"/>
        <v>-0.2141706080975648</v>
      </c>
      <c r="K1058" s="8"/>
      <c r="L1058" s="8">
        <v>0.94643033873112459</v>
      </c>
      <c r="M1058" s="8">
        <v>0.80189907113589298</v>
      </c>
      <c r="N1058" s="8">
        <v>0.88529231898462291</v>
      </c>
      <c r="O1058" s="8">
        <v>0.78132156522759422</v>
      </c>
      <c r="P1058" s="8">
        <f t="shared" si="132"/>
        <v>0.87416470493350884</v>
      </c>
      <c r="Q1058" s="8">
        <f t="shared" si="133"/>
        <v>0.83330694210610856</v>
      </c>
      <c r="R1058" s="8">
        <f t="shared" si="134"/>
        <v>0.95326079559514132</v>
      </c>
      <c r="S1058" s="22">
        <f t="shared" si="135"/>
        <v>-6.9057130448290718E-2</v>
      </c>
      <c r="T1058" s="25"/>
      <c r="U1058" s="1" t="s">
        <v>3003</v>
      </c>
    </row>
    <row r="1059" spans="1:21">
      <c r="A1059" s="6" t="s">
        <v>3004</v>
      </c>
      <c r="B1059" s="6" t="s">
        <v>80</v>
      </c>
      <c r="C1059" s="7">
        <v>1.063761507169654</v>
      </c>
      <c r="D1059" s="7">
        <v>1.0411540169306026</v>
      </c>
      <c r="E1059" s="7">
        <v>0.96793012189199146</v>
      </c>
      <c r="F1059" s="8">
        <v>0.96480190900388496</v>
      </c>
      <c r="G1059" s="8">
        <f t="shared" si="128"/>
        <v>1.0524577620501283</v>
      </c>
      <c r="H1059" s="8">
        <f t="shared" si="129"/>
        <v>0.96636601544793821</v>
      </c>
      <c r="I1059" s="8">
        <f t="shared" si="130"/>
        <v>0.91819933330674641</v>
      </c>
      <c r="J1059" s="22">
        <f t="shared" si="131"/>
        <v>-0.12312071035984518</v>
      </c>
      <c r="K1059" s="8"/>
      <c r="L1059" s="8">
        <v>1.2345269991446766</v>
      </c>
      <c r="M1059" s="8">
        <v>0.86459442153753829</v>
      </c>
      <c r="N1059" s="8">
        <v>1.2837931741609896</v>
      </c>
      <c r="O1059" s="8">
        <v>1.1525832252345038</v>
      </c>
      <c r="P1059" s="8">
        <f t="shared" si="132"/>
        <v>1.0495607103411073</v>
      </c>
      <c r="Q1059" s="8">
        <f t="shared" si="133"/>
        <v>1.2181881996977468</v>
      </c>
      <c r="R1059" s="8">
        <f t="shared" si="134"/>
        <v>1.1606648264318464</v>
      </c>
      <c r="S1059" s="22">
        <f t="shared" si="135"/>
        <v>0.21495141487576666</v>
      </c>
      <c r="T1059" s="25"/>
      <c r="U1059" s="1">
        <v>0</v>
      </c>
    </row>
    <row r="1060" spans="1:21">
      <c r="A1060" s="6" t="s">
        <v>3005</v>
      </c>
      <c r="B1060" s="6" t="s">
        <v>80</v>
      </c>
      <c r="C1060" s="7">
        <v>1.1201453414387181</v>
      </c>
      <c r="D1060" s="7">
        <v>0.94748965689298159</v>
      </c>
      <c r="E1060" s="7">
        <v>1.158991681167705</v>
      </c>
      <c r="F1060" s="8">
        <v>0.96318244077958415</v>
      </c>
      <c r="G1060" s="8">
        <f t="shared" si="128"/>
        <v>1.03381749916585</v>
      </c>
      <c r="H1060" s="8">
        <f t="shared" si="129"/>
        <v>1.0610870609736445</v>
      </c>
      <c r="I1060" s="8">
        <f t="shared" si="130"/>
        <v>1.0263775393914276</v>
      </c>
      <c r="J1060" s="22">
        <f t="shared" si="131"/>
        <v>3.7561504843474973E-2</v>
      </c>
      <c r="K1060" s="8"/>
      <c r="L1060" s="8">
        <v>1.2634304059649082</v>
      </c>
      <c r="M1060" s="8">
        <v>1.0868704470088117</v>
      </c>
      <c r="N1060" s="8">
        <v>1.3260903178828911</v>
      </c>
      <c r="O1060" s="8">
        <v>1.3517809254998077</v>
      </c>
      <c r="P1060" s="8">
        <f t="shared" si="132"/>
        <v>1.17515042648686</v>
      </c>
      <c r="Q1060" s="8">
        <f t="shared" si="133"/>
        <v>1.3389356216913493</v>
      </c>
      <c r="R1060" s="8">
        <f t="shared" si="134"/>
        <v>1.1393738125034163</v>
      </c>
      <c r="S1060" s="22">
        <f t="shared" si="135"/>
        <v>0.18824115263625807</v>
      </c>
      <c r="T1060" s="25"/>
      <c r="U1060" s="1">
        <v>0</v>
      </c>
    </row>
    <row r="1061" spans="1:21">
      <c r="A1061" s="6" t="s">
        <v>3006</v>
      </c>
      <c r="B1061" s="9" t="s">
        <v>3007</v>
      </c>
      <c r="C1061" s="10">
        <v>1.1115884805846317</v>
      </c>
      <c r="D1061" s="10">
        <v>1.0799342301941099</v>
      </c>
      <c r="E1061" s="10">
        <v>1.2061395442951122</v>
      </c>
      <c r="F1061" s="8">
        <v>1.2484094245962385</v>
      </c>
      <c r="G1061" s="8">
        <f t="shared" si="128"/>
        <v>1.0957613553893708</v>
      </c>
      <c r="H1061" s="8">
        <f t="shared" si="129"/>
        <v>1.2272744844456753</v>
      </c>
      <c r="I1061" s="8">
        <f t="shared" si="130"/>
        <v>1.1200198641880124</v>
      </c>
      <c r="J1061" s="22">
        <f t="shared" si="131"/>
        <v>0.16352431952520313</v>
      </c>
      <c r="K1061" s="8"/>
      <c r="L1061" s="8">
        <v>1.3241275602873945</v>
      </c>
      <c r="M1061" s="8">
        <v>1.4974384873854205</v>
      </c>
      <c r="N1061" s="8">
        <v>1.1603173309285801</v>
      </c>
      <c r="O1061" s="8">
        <v>1.4628690624409257</v>
      </c>
      <c r="P1061" s="8">
        <f t="shared" si="132"/>
        <v>1.4107830238364074</v>
      </c>
      <c r="Q1061" s="8">
        <f t="shared" si="133"/>
        <v>1.3115931966847529</v>
      </c>
      <c r="R1061" s="8">
        <f t="shared" si="134"/>
        <v>0.92969164961885986</v>
      </c>
      <c r="S1061" s="22">
        <f t="shared" si="135"/>
        <v>-0.10517579730119643</v>
      </c>
      <c r="T1061" s="25"/>
      <c r="U1061" s="1" t="s">
        <v>3008</v>
      </c>
    </row>
    <row r="1062" spans="1:21">
      <c r="A1062" s="6" t="s">
        <v>3009</v>
      </c>
      <c r="B1062" s="6" t="s">
        <v>3010</v>
      </c>
      <c r="C1062" s="7">
        <v>0.95418143259854393</v>
      </c>
      <c r="D1062" s="7">
        <v>0.91937349671184332</v>
      </c>
      <c r="E1062" s="7">
        <v>0.9735897839968074</v>
      </c>
      <c r="F1062" s="8">
        <v>1.0120933526547984</v>
      </c>
      <c r="G1062" s="8">
        <f t="shared" si="128"/>
        <v>0.93677746465519363</v>
      </c>
      <c r="H1062" s="8">
        <f t="shared" si="129"/>
        <v>0.99284156832580295</v>
      </c>
      <c r="I1062" s="8">
        <f t="shared" si="130"/>
        <v>1.0598478355702603</v>
      </c>
      <c r="J1062" s="22">
        <f t="shared" si="131"/>
        <v>8.3857149103208184E-2</v>
      </c>
      <c r="K1062" s="8"/>
      <c r="L1062" s="8">
        <v>1.2706953163278312</v>
      </c>
      <c r="M1062" s="8">
        <v>0.88444932225606199</v>
      </c>
      <c r="N1062" s="8">
        <v>0.95060958959941777</v>
      </c>
      <c r="O1062" s="8">
        <v>0.95303508920597879</v>
      </c>
      <c r="P1062" s="8">
        <f t="shared" si="132"/>
        <v>1.0775723192919466</v>
      </c>
      <c r="Q1062" s="8">
        <f t="shared" si="133"/>
        <v>0.95182233940269834</v>
      </c>
      <c r="R1062" s="8">
        <f t="shared" si="134"/>
        <v>0.88330251470093779</v>
      </c>
      <c r="S1062" s="22">
        <f t="shared" si="135"/>
        <v>-0.17902047613636601</v>
      </c>
      <c r="T1062" s="25"/>
      <c r="U1062" s="1" t="s">
        <v>3011</v>
      </c>
    </row>
    <row r="1063" spans="1:21">
      <c r="A1063" s="6" t="s">
        <v>3012</v>
      </c>
      <c r="B1063" s="6" t="s">
        <v>3013</v>
      </c>
      <c r="C1063" s="7">
        <v>0.98280445875320555</v>
      </c>
      <c r="D1063" s="7">
        <v>0.9490670199911323</v>
      </c>
      <c r="E1063" s="7">
        <v>1.0861115407586559</v>
      </c>
      <c r="F1063" s="8">
        <v>0.97739364588549016</v>
      </c>
      <c r="G1063" s="8">
        <f t="shared" si="128"/>
        <v>0.96593573937216892</v>
      </c>
      <c r="H1063" s="8">
        <f t="shared" si="129"/>
        <v>1.031752593322073</v>
      </c>
      <c r="I1063" s="8">
        <f t="shared" si="130"/>
        <v>1.0681379218794442</v>
      </c>
      <c r="J1063" s="22">
        <f t="shared" si="131"/>
        <v>9.5097945119557853E-2</v>
      </c>
      <c r="K1063" s="8"/>
      <c r="L1063" s="8">
        <v>0.9997063480592272</v>
      </c>
      <c r="M1063" s="8">
        <v>0.76544349616515972</v>
      </c>
      <c r="N1063" s="8">
        <v>0.78362009187434412</v>
      </c>
      <c r="O1063" s="8">
        <v>0.83303587142866453</v>
      </c>
      <c r="P1063" s="8">
        <f t="shared" si="132"/>
        <v>0.88257492211219346</v>
      </c>
      <c r="Q1063" s="8">
        <f t="shared" si="133"/>
        <v>0.80832798165150432</v>
      </c>
      <c r="R1063" s="8">
        <f t="shared" si="134"/>
        <v>0.91587463160294647</v>
      </c>
      <c r="S1063" s="22">
        <f t="shared" si="135"/>
        <v>-0.12677796462532082</v>
      </c>
      <c r="T1063" s="25"/>
      <c r="U1063" s="1" t="s">
        <v>3014</v>
      </c>
    </row>
    <row r="1064" spans="1:21">
      <c r="A1064" s="6" t="s">
        <v>3015</v>
      </c>
      <c r="B1064" s="6" t="s">
        <v>3016</v>
      </c>
      <c r="C1064" s="7">
        <v>0.93035286130411088</v>
      </c>
      <c r="D1064" s="7">
        <v>0.97222190136783104</v>
      </c>
      <c r="E1064" s="7">
        <v>0.85894165700913816</v>
      </c>
      <c r="F1064" s="8">
        <v>1.0517406091368791</v>
      </c>
      <c r="G1064" s="8">
        <f t="shared" si="128"/>
        <v>0.95128738133597102</v>
      </c>
      <c r="H1064" s="8">
        <f t="shared" si="129"/>
        <v>0.95534113307300861</v>
      </c>
      <c r="I1064" s="8">
        <f t="shared" si="130"/>
        <v>1.0042613323970981</v>
      </c>
      <c r="J1064" s="22">
        <f t="shared" si="131"/>
        <v>6.1347412946067973E-3</v>
      </c>
      <c r="K1064" s="8"/>
      <c r="L1064" s="8">
        <v>1.1475433680789253</v>
      </c>
      <c r="M1064" s="8">
        <v>1.0578707579925448</v>
      </c>
      <c r="N1064" s="8">
        <v>0.8006512426650213</v>
      </c>
      <c r="O1064" s="8">
        <v>0.85971905168536389</v>
      </c>
      <c r="P1064" s="8">
        <f t="shared" si="132"/>
        <v>1.102707063035735</v>
      </c>
      <c r="Q1064" s="8">
        <f t="shared" si="133"/>
        <v>0.83018514717519265</v>
      </c>
      <c r="R1064" s="8">
        <f t="shared" si="134"/>
        <v>0.75286100452617599</v>
      </c>
      <c r="S1064" s="22">
        <f t="shared" si="135"/>
        <v>-0.40954456012389451</v>
      </c>
      <c r="T1064" s="25"/>
      <c r="U1064" s="1" t="s">
        <v>3017</v>
      </c>
    </row>
    <row r="1065" spans="1:21">
      <c r="A1065" s="6" t="s">
        <v>3018</v>
      </c>
      <c r="B1065" s="6" t="s">
        <v>3019</v>
      </c>
      <c r="C1065" s="7">
        <v>0.15663627731373492</v>
      </c>
      <c r="D1065" s="7">
        <v>0.15062469413750579</v>
      </c>
      <c r="E1065" s="7">
        <v>0.51734747471677434</v>
      </c>
      <c r="F1065" s="8">
        <v>0.37955729350551687</v>
      </c>
      <c r="G1065" s="8">
        <f t="shared" si="128"/>
        <v>0.15363048572562035</v>
      </c>
      <c r="H1065" s="8">
        <f t="shared" si="129"/>
        <v>0.44845238411114563</v>
      </c>
      <c r="I1065" s="8">
        <f t="shared" si="130"/>
        <v>2.9190325213972748</v>
      </c>
      <c r="J1065" s="22">
        <f t="shared" si="131"/>
        <v>1.5454902842205189</v>
      </c>
      <c r="K1065" s="8"/>
      <c r="L1065" s="8">
        <v>0.9301819370592106</v>
      </c>
      <c r="M1065" s="8">
        <v>0.63243213844708301</v>
      </c>
      <c r="N1065" s="8">
        <v>0.4209595155596772</v>
      </c>
      <c r="O1065" s="8">
        <v>0.46497819554263436</v>
      </c>
      <c r="P1065" s="8">
        <f t="shared" si="132"/>
        <v>0.7813070377531468</v>
      </c>
      <c r="Q1065" s="8">
        <f t="shared" si="133"/>
        <v>0.44296885555115578</v>
      </c>
      <c r="R1065" s="8">
        <f t="shared" si="134"/>
        <v>0.566958742397904</v>
      </c>
      <c r="S1065" s="22">
        <f t="shared" si="135"/>
        <v>-0.81868434085496256</v>
      </c>
      <c r="T1065" s="25"/>
      <c r="U1065" s="1" t="s">
        <v>3020</v>
      </c>
    </row>
    <row r="1066" spans="1:21">
      <c r="A1066" s="6" t="s">
        <v>3021</v>
      </c>
      <c r="B1066" s="9" t="s">
        <v>3022</v>
      </c>
      <c r="C1066" s="10">
        <v>0.98482936475684435</v>
      </c>
      <c r="D1066" s="10">
        <v>0.89693314733687091</v>
      </c>
      <c r="E1066" s="10">
        <v>0.98285468283788313</v>
      </c>
      <c r="F1066" s="8">
        <v>1.1588483745404088</v>
      </c>
      <c r="G1066" s="8">
        <f t="shared" si="128"/>
        <v>0.94088125604685757</v>
      </c>
      <c r="H1066" s="8">
        <f t="shared" si="129"/>
        <v>1.070851528689146</v>
      </c>
      <c r="I1066" s="8">
        <f t="shared" si="130"/>
        <v>1.138136743406243</v>
      </c>
      <c r="J1066" s="22">
        <f t="shared" si="131"/>
        <v>0.18667390314745724</v>
      </c>
      <c r="K1066" s="8"/>
      <c r="L1066" s="8">
        <v>1.131646494327798</v>
      </c>
      <c r="M1066" s="8">
        <v>1.1134809571004429</v>
      </c>
      <c r="N1066" s="8">
        <v>0.77931551530087628</v>
      </c>
      <c r="O1066" s="8">
        <v>0.8770906530907574</v>
      </c>
      <c r="P1066" s="8">
        <f t="shared" si="132"/>
        <v>1.1225637257141203</v>
      </c>
      <c r="Q1066" s="8">
        <f t="shared" si="133"/>
        <v>0.82820308419581679</v>
      </c>
      <c r="R1066" s="8">
        <f t="shared" si="134"/>
        <v>0.7377782349674219</v>
      </c>
      <c r="S1066" s="22">
        <f t="shared" si="135"/>
        <v>-0.4387408658542612</v>
      </c>
      <c r="T1066" s="25"/>
      <c r="U1066" s="1" t="s">
        <v>3023</v>
      </c>
    </row>
    <row r="1067" spans="1:21">
      <c r="A1067" s="6" t="s">
        <v>3024</v>
      </c>
      <c r="B1067" s="13" t="s">
        <v>3025</v>
      </c>
      <c r="C1067" s="14">
        <v>0.14888937886110398</v>
      </c>
      <c r="D1067" s="14">
        <v>0.14133577811506304</v>
      </c>
      <c r="E1067" s="14">
        <v>0.34926030652755935</v>
      </c>
      <c r="F1067" s="8">
        <v>0.34560046206845663</v>
      </c>
      <c r="G1067" s="8">
        <f t="shared" si="128"/>
        <v>0.14511257848808351</v>
      </c>
      <c r="H1067" s="8">
        <f t="shared" si="129"/>
        <v>0.34743038429800799</v>
      </c>
      <c r="I1067" s="8">
        <f t="shared" si="130"/>
        <v>2.3942127410170619</v>
      </c>
      <c r="J1067" s="22">
        <f t="shared" si="131"/>
        <v>1.2595513505997067</v>
      </c>
      <c r="K1067" s="8"/>
      <c r="L1067" s="8">
        <v>1.0188060317552992</v>
      </c>
      <c r="M1067" s="8">
        <v>1.1787714501271236</v>
      </c>
      <c r="N1067" s="8">
        <v>0.95318297776833882</v>
      </c>
      <c r="O1067" s="8">
        <v>1.3618935003813335</v>
      </c>
      <c r="P1067" s="8">
        <f t="shared" si="132"/>
        <v>1.0987887409412114</v>
      </c>
      <c r="Q1067" s="8">
        <f t="shared" si="133"/>
        <v>1.1575382390748361</v>
      </c>
      <c r="R1067" s="8">
        <f t="shared" si="134"/>
        <v>1.0534675101269244</v>
      </c>
      <c r="S1067" s="22">
        <f t="shared" si="135"/>
        <v>7.5145820845717484E-2</v>
      </c>
      <c r="T1067" s="25"/>
      <c r="U1067" s="1" t="s">
        <v>3026</v>
      </c>
    </row>
    <row r="1068" spans="1:21">
      <c r="A1068" s="6" t="s">
        <v>3027</v>
      </c>
      <c r="B1068" s="6" t="s">
        <v>3028</v>
      </c>
      <c r="C1068" s="7">
        <v>0.99698533273352741</v>
      </c>
      <c r="D1068" s="7">
        <v>1.0030815948008809</v>
      </c>
      <c r="E1068" s="7">
        <v>0.91535441897762104</v>
      </c>
      <c r="F1068" s="8">
        <v>1.0257176862482285</v>
      </c>
      <c r="G1068" s="8">
        <f t="shared" si="128"/>
        <v>1.0000334637672041</v>
      </c>
      <c r="H1068" s="8">
        <f t="shared" si="129"/>
        <v>0.97053605261292475</v>
      </c>
      <c r="I1068" s="8">
        <f t="shared" si="130"/>
        <v>0.97050357590718983</v>
      </c>
      <c r="J1068" s="22">
        <f t="shared" si="131"/>
        <v>-4.3194566199773E-2</v>
      </c>
      <c r="K1068" s="8"/>
      <c r="L1068" s="8">
        <v>0.99259767232776486</v>
      </c>
      <c r="M1068" s="8">
        <v>0.72116130057924066</v>
      </c>
      <c r="N1068" s="8">
        <v>0.85576853835572919</v>
      </c>
      <c r="O1068" s="8">
        <v>0.83323612043621953</v>
      </c>
      <c r="P1068" s="8">
        <f t="shared" si="132"/>
        <v>0.85687948645350276</v>
      </c>
      <c r="Q1068" s="8">
        <f t="shared" si="133"/>
        <v>0.84450232939597436</v>
      </c>
      <c r="R1068" s="8">
        <f t="shared" si="134"/>
        <v>0.98555554514584587</v>
      </c>
      <c r="S1068" s="22">
        <f t="shared" si="135"/>
        <v>-2.0990912154116314E-2</v>
      </c>
      <c r="T1068" s="25"/>
      <c r="U1068" s="1" t="s">
        <v>3029</v>
      </c>
    </row>
    <row r="1069" spans="1:21">
      <c r="A1069" s="6" t="s">
        <v>3030</v>
      </c>
      <c r="B1069" s="6" t="s">
        <v>3031</v>
      </c>
      <c r="C1069" s="7">
        <v>1.031794120131563</v>
      </c>
      <c r="D1069" s="7">
        <v>0.79848277106127141</v>
      </c>
      <c r="E1069" s="7">
        <v>1.1589597056755874</v>
      </c>
      <c r="F1069" s="8">
        <v>0.94837693540787971</v>
      </c>
      <c r="G1069" s="8">
        <f t="shared" si="128"/>
        <v>0.91513844559641722</v>
      </c>
      <c r="H1069" s="8">
        <f t="shared" si="129"/>
        <v>1.0536683205417336</v>
      </c>
      <c r="I1069" s="8">
        <f t="shared" si="130"/>
        <v>1.1513758662548956</v>
      </c>
      <c r="J1069" s="22">
        <f t="shared" si="131"/>
        <v>0.2033588776595309</v>
      </c>
      <c r="K1069" s="8"/>
      <c r="L1069" s="8">
        <v>1.0034559792142843</v>
      </c>
      <c r="M1069" s="8">
        <v>0.84593411028133247</v>
      </c>
      <c r="N1069" s="8">
        <v>1.0666460015798556</v>
      </c>
      <c r="O1069" s="8">
        <v>1.0234226153615498</v>
      </c>
      <c r="P1069" s="8">
        <f t="shared" si="132"/>
        <v>0.92469504474780839</v>
      </c>
      <c r="Q1069" s="8">
        <f t="shared" si="133"/>
        <v>1.0450343084707026</v>
      </c>
      <c r="R1069" s="8">
        <f t="shared" si="134"/>
        <v>1.1301394058575434</v>
      </c>
      <c r="S1069" s="22">
        <f t="shared" si="135"/>
        <v>0.176500744086899</v>
      </c>
      <c r="T1069" s="25"/>
      <c r="U1069" s="1" t="s">
        <v>3032</v>
      </c>
    </row>
    <row r="1070" spans="1:21">
      <c r="A1070" s="6" t="s">
        <v>3033</v>
      </c>
      <c r="B1070" s="6" t="s">
        <v>3034</v>
      </c>
      <c r="C1070" s="7">
        <v>1.0310821370528642</v>
      </c>
      <c r="D1070" s="7">
        <v>0.93303049515993397</v>
      </c>
      <c r="E1070" s="7">
        <v>0.99954588972327241</v>
      </c>
      <c r="F1070" s="8">
        <v>1.1129461077607992</v>
      </c>
      <c r="G1070" s="8">
        <f t="shared" si="128"/>
        <v>0.9820563161063991</v>
      </c>
      <c r="H1070" s="8">
        <f t="shared" si="129"/>
        <v>1.0562459987420358</v>
      </c>
      <c r="I1070" s="8">
        <f t="shared" si="130"/>
        <v>1.0755452425883067</v>
      </c>
      <c r="J1070" s="22">
        <f t="shared" si="131"/>
        <v>0.10506821270607559</v>
      </c>
      <c r="K1070" s="8"/>
      <c r="L1070" s="8">
        <v>1.1117656374744225</v>
      </c>
      <c r="M1070" s="8">
        <v>0.76857414441123395</v>
      </c>
      <c r="N1070" s="8">
        <v>0.81721450469771284</v>
      </c>
      <c r="O1070" s="8">
        <v>0.84024483570064334</v>
      </c>
      <c r="P1070" s="8">
        <f t="shared" si="132"/>
        <v>0.94016989094282821</v>
      </c>
      <c r="Q1070" s="8">
        <f t="shared" si="133"/>
        <v>0.82872967019917809</v>
      </c>
      <c r="R1070" s="8">
        <f t="shared" si="134"/>
        <v>0.88146799656400954</v>
      </c>
      <c r="S1070" s="22">
        <f t="shared" si="135"/>
        <v>-0.18201990428297513</v>
      </c>
      <c r="T1070" s="25"/>
      <c r="U1070" s="1" t="s">
        <v>3035</v>
      </c>
    </row>
    <row r="1071" spans="1:21">
      <c r="A1071" s="6" t="s">
        <v>3036</v>
      </c>
      <c r="B1071" s="6" t="s">
        <v>3037</v>
      </c>
      <c r="C1071" s="7">
        <v>1.0238904547625214</v>
      </c>
      <c r="D1071" s="7">
        <v>0.91745234934871112</v>
      </c>
      <c r="E1071" s="7">
        <v>1.1188624385601118</v>
      </c>
      <c r="F1071" s="8">
        <v>1.0331315820640643</v>
      </c>
      <c r="G1071" s="8">
        <f t="shared" si="128"/>
        <v>0.97067140205561619</v>
      </c>
      <c r="H1071" s="8">
        <f t="shared" si="129"/>
        <v>1.0759970103120882</v>
      </c>
      <c r="I1071" s="8">
        <f t="shared" si="130"/>
        <v>1.1085079956341777</v>
      </c>
      <c r="J1071" s="22">
        <f t="shared" si="131"/>
        <v>0.14861917635783628</v>
      </c>
      <c r="K1071" s="8"/>
      <c r="L1071" s="8">
        <v>1.1813681657901693</v>
      </c>
      <c r="M1071" s="8">
        <v>0.80350558799901006</v>
      </c>
      <c r="N1071" s="8">
        <v>0.78914117921857463</v>
      </c>
      <c r="O1071" s="8">
        <v>0.71664113578733968</v>
      </c>
      <c r="P1071" s="8">
        <f t="shared" si="132"/>
        <v>0.9924368768945897</v>
      </c>
      <c r="Q1071" s="8">
        <f t="shared" si="133"/>
        <v>0.7528911575029571</v>
      </c>
      <c r="R1071" s="8">
        <f t="shared" si="134"/>
        <v>0.75862876020771286</v>
      </c>
      <c r="S1071" s="22">
        <f t="shared" si="135"/>
        <v>-0.39853402852474623</v>
      </c>
      <c r="T1071" s="25"/>
      <c r="U1071" s="1" t="s">
        <v>3038</v>
      </c>
    </row>
    <row r="1072" spans="1:21">
      <c r="A1072" s="6" t="s">
        <v>3039</v>
      </c>
      <c r="B1072" s="6" t="s">
        <v>3040</v>
      </c>
      <c r="C1072" s="7">
        <v>0.94105873530399453</v>
      </c>
      <c r="D1072" s="7">
        <v>0.83352180261762654</v>
      </c>
      <c r="E1072" s="7">
        <v>0.92928773966786704</v>
      </c>
      <c r="F1072" s="8">
        <v>1.021557584387639</v>
      </c>
      <c r="G1072" s="8">
        <f t="shared" si="128"/>
        <v>0.88729026896081054</v>
      </c>
      <c r="H1072" s="8">
        <f t="shared" si="129"/>
        <v>0.97542266202775307</v>
      </c>
      <c r="I1072" s="8">
        <f t="shared" si="130"/>
        <v>1.0993275776259359</v>
      </c>
      <c r="J1072" s="22">
        <f t="shared" si="131"/>
        <v>0.13662134461069131</v>
      </c>
      <c r="K1072" s="8"/>
      <c r="L1072" s="8">
        <v>0.9106135494687565</v>
      </c>
      <c r="M1072" s="8">
        <v>1.0869528324889715</v>
      </c>
      <c r="N1072" s="8">
        <v>0.9984278206655498</v>
      </c>
      <c r="O1072" s="8">
        <v>1.0747864857993989</v>
      </c>
      <c r="P1072" s="8">
        <f t="shared" si="132"/>
        <v>0.99878319097886403</v>
      </c>
      <c r="Q1072" s="8">
        <f t="shared" si="133"/>
        <v>1.0366071532324743</v>
      </c>
      <c r="R1072" s="8">
        <f t="shared" si="134"/>
        <v>1.0378700428633973</v>
      </c>
      <c r="S1072" s="22">
        <f t="shared" si="135"/>
        <v>5.3625807612726548E-2</v>
      </c>
      <c r="T1072" s="25"/>
      <c r="U1072" s="1" t="s">
        <v>3041</v>
      </c>
    </row>
    <row r="1073" spans="1:21">
      <c r="A1073" s="6" t="s">
        <v>3042</v>
      </c>
      <c r="B1073" s="6" t="s">
        <v>3043</v>
      </c>
      <c r="C1073" s="7">
        <v>0.98531926137062797</v>
      </c>
      <c r="D1073" s="7">
        <v>0.90647821634106462</v>
      </c>
      <c r="E1073" s="7">
        <v>1.0196664681382748</v>
      </c>
      <c r="F1073" s="8">
        <v>1.0059423449037843</v>
      </c>
      <c r="G1073" s="8">
        <f t="shared" si="128"/>
        <v>0.9458987388558463</v>
      </c>
      <c r="H1073" s="8">
        <f t="shared" si="129"/>
        <v>1.0128044065210295</v>
      </c>
      <c r="I1073" s="8">
        <f t="shared" si="130"/>
        <v>1.070732378548376</v>
      </c>
      <c r="J1073" s="22">
        <f t="shared" si="131"/>
        <v>9.8597934441130866E-2</v>
      </c>
      <c r="K1073" s="8"/>
      <c r="L1073" s="8">
        <v>0.74195826480691851</v>
      </c>
      <c r="M1073" s="8">
        <v>0.63123754898476525</v>
      </c>
      <c r="N1073" s="8">
        <v>0.57671968309309563</v>
      </c>
      <c r="O1073" s="8">
        <v>0.65821848783317793</v>
      </c>
      <c r="P1073" s="8">
        <f t="shared" si="132"/>
        <v>0.68659790689584188</v>
      </c>
      <c r="Q1073" s="8">
        <f t="shared" si="133"/>
        <v>0.61746908546313684</v>
      </c>
      <c r="R1073" s="8">
        <f t="shared" si="134"/>
        <v>0.89931687711481467</v>
      </c>
      <c r="S1073" s="22">
        <f t="shared" si="135"/>
        <v>-0.15309855145876741</v>
      </c>
      <c r="T1073" s="25"/>
      <c r="U1073" s="1" t="s">
        <v>3044</v>
      </c>
    </row>
    <row r="1074" spans="1:21">
      <c r="A1074" s="6" t="s">
        <v>3045</v>
      </c>
      <c r="B1074" s="6" t="s">
        <v>3046</v>
      </c>
      <c r="C1074" s="7">
        <v>1.0439239602888444</v>
      </c>
      <c r="D1074" s="7">
        <v>0.99687999629533142</v>
      </c>
      <c r="E1074" s="7">
        <v>0.90024599895205315</v>
      </c>
      <c r="F1074" s="8">
        <v>1.0801853056086583</v>
      </c>
      <c r="G1074" s="8">
        <f t="shared" si="128"/>
        <v>1.0204019782920879</v>
      </c>
      <c r="H1074" s="8">
        <f t="shared" si="129"/>
        <v>0.9902156522803558</v>
      </c>
      <c r="I1074" s="8">
        <f t="shared" si="130"/>
        <v>0.97041722119918183</v>
      </c>
      <c r="J1074" s="22">
        <f t="shared" si="131"/>
        <v>-4.3322941875141609E-2</v>
      </c>
      <c r="K1074" s="8"/>
      <c r="L1074" s="8">
        <v>0.89374020927099973</v>
      </c>
      <c r="M1074" s="8">
        <v>0.77186956361762793</v>
      </c>
      <c r="N1074" s="8">
        <v>0.71343677817649864</v>
      </c>
      <c r="O1074" s="8">
        <v>0.94587618718588862</v>
      </c>
      <c r="P1074" s="8">
        <f t="shared" si="132"/>
        <v>0.83280488644431383</v>
      </c>
      <c r="Q1074" s="8">
        <f t="shared" si="133"/>
        <v>0.82965648268119363</v>
      </c>
      <c r="R1074" s="8">
        <f t="shared" si="134"/>
        <v>0.99621951814360454</v>
      </c>
      <c r="S1074" s="22">
        <f t="shared" si="135"/>
        <v>-5.4644180134431732E-3</v>
      </c>
      <c r="T1074" s="25"/>
      <c r="U1074" s="1" t="s">
        <v>3047</v>
      </c>
    </row>
    <row r="1075" spans="1:21">
      <c r="A1075" s="6" t="s">
        <v>3048</v>
      </c>
      <c r="B1075" s="6" t="s">
        <v>3049</v>
      </c>
      <c r="C1075" s="7">
        <v>1.1158407831922732</v>
      </c>
      <c r="D1075" s="7">
        <v>1.1101333185689601</v>
      </c>
      <c r="E1075" s="7">
        <v>1.1011160404348417</v>
      </c>
      <c r="F1075" s="8">
        <v>1.114134708292396</v>
      </c>
      <c r="G1075" s="8">
        <f t="shared" si="128"/>
        <v>1.1129870508806166</v>
      </c>
      <c r="H1075" s="8">
        <f t="shared" si="129"/>
        <v>1.1076253743636189</v>
      </c>
      <c r="I1075" s="8">
        <f t="shared" si="130"/>
        <v>0.99518262453030748</v>
      </c>
      <c r="J1075" s="22">
        <f t="shared" si="131"/>
        <v>-6.9667980470535171E-3</v>
      </c>
      <c r="K1075" s="8"/>
      <c r="L1075" s="8">
        <v>0.94873479954517015</v>
      </c>
      <c r="M1075" s="8">
        <v>1.1837557716767944</v>
      </c>
      <c r="N1075" s="8">
        <v>1.2701308224278089</v>
      </c>
      <c r="O1075" s="8">
        <v>1.334459386346303</v>
      </c>
      <c r="P1075" s="8">
        <f t="shared" si="132"/>
        <v>1.0662452856109823</v>
      </c>
      <c r="Q1075" s="8">
        <f t="shared" si="133"/>
        <v>1.3022951043870559</v>
      </c>
      <c r="R1075" s="8">
        <f t="shared" si="134"/>
        <v>1.2213841617511225</v>
      </c>
      <c r="S1075" s="22">
        <f t="shared" si="135"/>
        <v>0.28851704232649983</v>
      </c>
      <c r="T1075" s="25"/>
      <c r="U1075" s="1" t="s">
        <v>3050</v>
      </c>
    </row>
    <row r="1076" spans="1:21">
      <c r="A1076" s="6" t="s">
        <v>3051</v>
      </c>
      <c r="B1076" s="6" t="s">
        <v>3052</v>
      </c>
      <c r="C1076" s="7">
        <v>1.1112553508872589</v>
      </c>
      <c r="D1076" s="7">
        <v>0.98801575495315996</v>
      </c>
      <c r="E1076" s="7">
        <v>1.0215370344271546</v>
      </c>
      <c r="F1076" s="8">
        <v>0.8749659950751234</v>
      </c>
      <c r="G1076" s="8">
        <f t="shared" si="128"/>
        <v>1.0496355529202095</v>
      </c>
      <c r="H1076" s="8">
        <f t="shared" si="129"/>
        <v>0.948251514751139</v>
      </c>
      <c r="I1076" s="8">
        <f t="shared" si="130"/>
        <v>0.90341024759783706</v>
      </c>
      <c r="J1076" s="22">
        <f t="shared" si="131"/>
        <v>-0.1465468161852895</v>
      </c>
      <c r="K1076" s="8"/>
      <c r="L1076" s="8">
        <v>0.89643525666369694</v>
      </c>
      <c r="M1076" s="8">
        <v>0.7059199867496686</v>
      </c>
      <c r="N1076" s="8">
        <v>0.88009875377098234</v>
      </c>
      <c r="O1076" s="8">
        <v>0.93591379906002903</v>
      </c>
      <c r="P1076" s="8">
        <f t="shared" si="132"/>
        <v>0.80117762170668283</v>
      </c>
      <c r="Q1076" s="8">
        <f t="shared" si="133"/>
        <v>0.90800627641550569</v>
      </c>
      <c r="R1076" s="8">
        <f t="shared" si="134"/>
        <v>1.1333395389667207</v>
      </c>
      <c r="S1076" s="22">
        <f t="shared" si="135"/>
        <v>0.18058014518182325</v>
      </c>
      <c r="T1076" s="25"/>
      <c r="U1076" s="1" t="s">
        <v>3053</v>
      </c>
    </row>
    <row r="1077" spans="1:21">
      <c r="A1077" s="6" t="s">
        <v>3054</v>
      </c>
      <c r="B1077" s="6" t="s">
        <v>3055</v>
      </c>
      <c r="C1077" s="7">
        <v>1.0024395150336514</v>
      </c>
      <c r="D1077" s="7">
        <v>1.007881092774741</v>
      </c>
      <c r="E1077" s="7">
        <v>1.0493796941885583</v>
      </c>
      <c r="F1077" s="8">
        <v>1.0095527190185098</v>
      </c>
      <c r="G1077" s="8">
        <f t="shared" si="128"/>
        <v>1.0051603039041961</v>
      </c>
      <c r="H1077" s="8">
        <f t="shared" si="129"/>
        <v>1.0294662066035341</v>
      </c>
      <c r="I1077" s="8">
        <f t="shared" si="130"/>
        <v>1.0241811207674338</v>
      </c>
      <c r="J1077" s="22">
        <f t="shared" si="131"/>
        <v>3.4470870539775197E-2</v>
      </c>
      <c r="K1077" s="8"/>
      <c r="L1077" s="8">
        <v>0.97920055268000883</v>
      </c>
      <c r="M1077" s="8">
        <v>0.84902356578732674</v>
      </c>
      <c r="N1077" s="8">
        <v>1.1428650802557159</v>
      </c>
      <c r="O1077" s="8">
        <v>1.0368392988677326</v>
      </c>
      <c r="P1077" s="8">
        <f t="shared" si="132"/>
        <v>0.91411205923366778</v>
      </c>
      <c r="Q1077" s="8">
        <f t="shared" si="133"/>
        <v>1.0898521895617241</v>
      </c>
      <c r="R1077" s="8">
        <f t="shared" si="134"/>
        <v>1.1922522830246716</v>
      </c>
      <c r="S1077" s="22">
        <f t="shared" si="135"/>
        <v>0.25368954532838567</v>
      </c>
      <c r="T1077" s="25"/>
      <c r="U1077" s="1" t="s">
        <v>3056</v>
      </c>
    </row>
    <row r="1078" spans="1:21">
      <c r="A1078" s="6" t="s">
        <v>3057</v>
      </c>
      <c r="B1078" s="6" t="s">
        <v>3058</v>
      </c>
      <c r="C1078" s="7">
        <v>1.0164766860072634</v>
      </c>
      <c r="D1078" s="7">
        <v>1.1072212636185281</v>
      </c>
      <c r="E1078" s="7">
        <v>1.0225362685558297</v>
      </c>
      <c r="F1078" s="8">
        <v>1.1907102975405293</v>
      </c>
      <c r="G1078" s="8">
        <f t="shared" si="128"/>
        <v>1.0618489748128956</v>
      </c>
      <c r="H1078" s="8">
        <f t="shared" si="129"/>
        <v>1.1066232830481795</v>
      </c>
      <c r="I1078" s="8">
        <f t="shared" si="130"/>
        <v>1.042166361975509</v>
      </c>
      <c r="J1078" s="22">
        <f t="shared" si="131"/>
        <v>5.9585594736923639E-2</v>
      </c>
      <c r="K1078" s="8"/>
      <c r="L1078" s="8">
        <v>1.1745719593216284</v>
      </c>
      <c r="M1078" s="8">
        <v>1.3692054875166151</v>
      </c>
      <c r="N1078" s="8">
        <v>0.73276058388130538</v>
      </c>
      <c r="O1078" s="8">
        <v>0.99308489071697226</v>
      </c>
      <c r="P1078" s="8">
        <f t="shared" si="132"/>
        <v>1.2718887234191216</v>
      </c>
      <c r="Q1078" s="8">
        <f t="shared" si="133"/>
        <v>0.86292273729913882</v>
      </c>
      <c r="R1078" s="8">
        <f t="shared" si="134"/>
        <v>0.67845773094002226</v>
      </c>
      <c r="S1078" s="22">
        <f t="shared" si="135"/>
        <v>-0.55966915877572276</v>
      </c>
      <c r="T1078" s="25"/>
      <c r="U1078" s="1" t="s">
        <v>3059</v>
      </c>
    </row>
    <row r="1079" spans="1:21">
      <c r="A1079" s="6" t="s">
        <v>3060</v>
      </c>
      <c r="B1079" s="6" t="s">
        <v>3061</v>
      </c>
      <c r="C1079" s="7">
        <v>0.8980850043428994</v>
      </c>
      <c r="D1079" s="7">
        <v>0.91652885044081944</v>
      </c>
      <c r="E1079" s="7">
        <v>0.96214255781870517</v>
      </c>
      <c r="F1079" s="8">
        <v>1.0834911008371624</v>
      </c>
      <c r="G1079" s="8">
        <f t="shared" si="128"/>
        <v>0.90730692739185947</v>
      </c>
      <c r="H1079" s="8">
        <f t="shared" si="129"/>
        <v>1.0228168293279338</v>
      </c>
      <c r="I1079" s="8">
        <f t="shared" si="130"/>
        <v>1.1273107241318201</v>
      </c>
      <c r="J1079" s="22">
        <f t="shared" si="131"/>
        <v>0.17288522480734989</v>
      </c>
      <c r="K1079" s="8"/>
      <c r="L1079" s="8">
        <v>0.8199193459058135</v>
      </c>
      <c r="M1079" s="8">
        <v>1.2615276649476921</v>
      </c>
      <c r="N1079" s="8">
        <v>1.0073644959430754</v>
      </c>
      <c r="O1079" s="8">
        <v>0.84199701451674935</v>
      </c>
      <c r="P1079" s="8">
        <f t="shared" si="132"/>
        <v>1.0407235054267527</v>
      </c>
      <c r="Q1079" s="8">
        <f t="shared" si="133"/>
        <v>0.92468075522991233</v>
      </c>
      <c r="R1079" s="8">
        <f t="shared" si="134"/>
        <v>0.88849800202287488</v>
      </c>
      <c r="S1079" s="22">
        <f t="shared" si="135"/>
        <v>-0.17055956283704551</v>
      </c>
      <c r="T1079" s="25"/>
      <c r="U1079" s="1" t="s">
        <v>3062</v>
      </c>
    </row>
    <row r="1080" spans="1:21">
      <c r="A1080" s="6" t="s">
        <v>3063</v>
      </c>
      <c r="B1080" s="9" t="s">
        <v>3064</v>
      </c>
      <c r="C1080" s="10">
        <v>0.92288683691004914</v>
      </c>
      <c r="D1080" s="10">
        <v>1.1386202264868432</v>
      </c>
      <c r="E1080" s="10">
        <v>1.0029512796337974</v>
      </c>
      <c r="F1080" s="8">
        <v>1.055432699538152</v>
      </c>
      <c r="G1080" s="8">
        <f t="shared" si="128"/>
        <v>1.0307535316984462</v>
      </c>
      <c r="H1080" s="8">
        <f t="shared" si="129"/>
        <v>1.0291919895859747</v>
      </c>
      <c r="I1080" s="8">
        <f t="shared" si="130"/>
        <v>0.9984850480115276</v>
      </c>
      <c r="J1080" s="22">
        <f t="shared" si="131"/>
        <v>-2.1872709448348539E-3</v>
      </c>
      <c r="K1080" s="8"/>
      <c r="L1080" s="8">
        <v>0.89206068698279706</v>
      </c>
      <c r="M1080" s="8">
        <v>0.77718342708793819</v>
      </c>
      <c r="N1080" s="8">
        <v>0.80991544007313687</v>
      </c>
      <c r="O1080" s="8">
        <v>0.83984433768553335</v>
      </c>
      <c r="P1080" s="8">
        <f t="shared" si="132"/>
        <v>0.83462205703536763</v>
      </c>
      <c r="Q1080" s="8">
        <f t="shared" si="133"/>
        <v>0.82487988887933517</v>
      </c>
      <c r="R1080" s="8">
        <f t="shared" si="134"/>
        <v>0.98832744944383899</v>
      </c>
      <c r="S1080" s="22">
        <f t="shared" si="135"/>
        <v>-1.6938984837023281E-2</v>
      </c>
      <c r="T1080" s="25"/>
      <c r="U1080" s="1" t="s">
        <v>3065</v>
      </c>
    </row>
    <row r="1081" spans="1:21">
      <c r="A1081" s="6" t="s">
        <v>3066</v>
      </c>
      <c r="B1081" s="6" t="s">
        <v>3067</v>
      </c>
      <c r="C1081" s="7">
        <v>1.0738207176393433</v>
      </c>
      <c r="D1081" s="7">
        <v>1.0060340949589579</v>
      </c>
      <c r="E1081" s="7">
        <v>1.1130588867407667</v>
      </c>
      <c r="F1081" s="8">
        <v>1.0461096141184385</v>
      </c>
      <c r="G1081" s="8">
        <f t="shared" si="128"/>
        <v>1.0399274062991506</v>
      </c>
      <c r="H1081" s="8">
        <f t="shared" si="129"/>
        <v>1.0795842504296025</v>
      </c>
      <c r="I1081" s="8">
        <f t="shared" si="130"/>
        <v>1.0381342427271736</v>
      </c>
      <c r="J1081" s="22">
        <f t="shared" si="131"/>
        <v>5.399301286174929E-2</v>
      </c>
      <c r="K1081" s="8"/>
      <c r="L1081" s="8">
        <v>0.98123160288899802</v>
      </c>
      <c r="M1081" s="8">
        <v>1.2527536113106681</v>
      </c>
      <c r="N1081" s="8">
        <v>0.7070267021920954</v>
      </c>
      <c r="O1081" s="8">
        <v>0.78232281026536898</v>
      </c>
      <c r="P1081" s="8">
        <f t="shared" si="132"/>
        <v>1.1169926070998331</v>
      </c>
      <c r="Q1081" s="8">
        <f t="shared" si="133"/>
        <v>0.74467475622873214</v>
      </c>
      <c r="R1081" s="8">
        <f t="shared" si="134"/>
        <v>0.66667832132050597</v>
      </c>
      <c r="S1081" s="22">
        <f t="shared" si="135"/>
        <v>-0.5849372797746657</v>
      </c>
      <c r="T1081" s="25"/>
      <c r="U1081" s="1" t="s">
        <v>3068</v>
      </c>
    </row>
    <row r="1082" spans="1:21">
      <c r="A1082" s="6" t="s">
        <v>3069</v>
      </c>
      <c r="B1082" s="6" t="s">
        <v>3070</v>
      </c>
      <c r="C1082" s="7">
        <v>1.0215716107906125</v>
      </c>
      <c r="D1082" s="7">
        <v>1.1172786385862237</v>
      </c>
      <c r="E1082" s="7">
        <v>1.0192587806137754</v>
      </c>
      <c r="F1082" s="8">
        <v>1.0008685063845297</v>
      </c>
      <c r="G1082" s="8">
        <f t="shared" si="128"/>
        <v>1.0694251246884181</v>
      </c>
      <c r="H1082" s="8">
        <f t="shared" si="129"/>
        <v>1.0100636434991526</v>
      </c>
      <c r="I1082" s="8">
        <f t="shared" si="130"/>
        <v>0.94449215768466188</v>
      </c>
      <c r="J1082" s="22">
        <f t="shared" si="131"/>
        <v>-8.2389277221752044E-2</v>
      </c>
      <c r="K1082" s="8"/>
      <c r="L1082" s="8">
        <v>1.1046960204008254</v>
      </c>
      <c r="M1082" s="8">
        <v>0.89268787027204688</v>
      </c>
      <c r="N1082" s="8">
        <v>0.86582814665242047</v>
      </c>
      <c r="O1082" s="8">
        <v>0.86958131530744609</v>
      </c>
      <c r="P1082" s="8">
        <f t="shared" si="132"/>
        <v>0.99869194533643613</v>
      </c>
      <c r="Q1082" s="8">
        <f t="shared" si="133"/>
        <v>0.86770473097993328</v>
      </c>
      <c r="R1082" s="8">
        <f t="shared" si="134"/>
        <v>0.86884122279330456</v>
      </c>
      <c r="S1082" s="22">
        <f t="shared" si="135"/>
        <v>-0.20283554042302765</v>
      </c>
      <c r="T1082" s="25"/>
      <c r="U1082" s="1" t="s">
        <v>3071</v>
      </c>
    </row>
    <row r="1083" spans="1:21">
      <c r="A1083" s="6" t="s">
        <v>3072</v>
      </c>
      <c r="B1083" s="6" t="s">
        <v>80</v>
      </c>
      <c r="C1083" s="7">
        <v>1.0117671465600906</v>
      </c>
      <c r="D1083" s="7">
        <v>1.1172988611900463</v>
      </c>
      <c r="E1083" s="7">
        <v>1.1216922696125198</v>
      </c>
      <c r="F1083" s="8">
        <v>1.0070566579021565</v>
      </c>
      <c r="G1083" s="8">
        <f t="shared" si="128"/>
        <v>1.0645330038750684</v>
      </c>
      <c r="H1083" s="8">
        <f t="shared" si="129"/>
        <v>1.0643744637573382</v>
      </c>
      <c r="I1083" s="8">
        <f t="shared" si="130"/>
        <v>0.99985107073509882</v>
      </c>
      <c r="J1083" s="22">
        <f t="shared" si="131"/>
        <v>-2.1487551293944949E-4</v>
      </c>
      <c r="K1083" s="8"/>
      <c r="L1083" s="8">
        <v>1.1299669720395953</v>
      </c>
      <c r="M1083" s="8">
        <v>0.87695224356151569</v>
      </c>
      <c r="N1083" s="8">
        <v>0.81379891676441762</v>
      </c>
      <c r="O1083" s="8">
        <v>0.93060720035982236</v>
      </c>
      <c r="P1083" s="8">
        <f t="shared" si="132"/>
        <v>1.0034596078005555</v>
      </c>
      <c r="Q1083" s="8">
        <f t="shared" si="133"/>
        <v>0.87220305856211999</v>
      </c>
      <c r="R1083" s="8">
        <f t="shared" si="134"/>
        <v>0.86919598136477882</v>
      </c>
      <c r="S1083" s="22">
        <f t="shared" si="135"/>
        <v>-0.20224659049990509</v>
      </c>
      <c r="T1083" s="25"/>
      <c r="U1083" s="1">
        <v>0</v>
      </c>
    </row>
    <row r="1084" spans="1:21">
      <c r="A1084" s="6" t="s">
        <v>3073</v>
      </c>
      <c r="B1084" s="6" t="s">
        <v>80</v>
      </c>
      <c r="C1084" s="7">
        <v>1.4556526703771118</v>
      </c>
      <c r="D1084" s="7">
        <v>1.2672292459296481</v>
      </c>
      <c r="E1084" s="7">
        <v>1.3117945641247051</v>
      </c>
      <c r="F1084" s="8">
        <v>1.1086597170937278</v>
      </c>
      <c r="G1084" s="8">
        <f t="shared" si="128"/>
        <v>1.36144095815338</v>
      </c>
      <c r="H1084" s="8">
        <f t="shared" si="129"/>
        <v>1.2102271406092164</v>
      </c>
      <c r="I1084" s="8">
        <f t="shared" si="130"/>
        <v>0.88893105012114104</v>
      </c>
      <c r="J1084" s="22">
        <f t="shared" si="131"/>
        <v>-0.16985657403932888</v>
      </c>
      <c r="K1084" s="8"/>
      <c r="L1084" s="8">
        <v>1.0986419284317228</v>
      </c>
      <c r="M1084" s="8">
        <v>1.3194858502401461</v>
      </c>
      <c r="N1084" s="8">
        <v>1.1838053465794591</v>
      </c>
      <c r="O1084" s="8">
        <v>1.1660499709925753</v>
      </c>
      <c r="P1084" s="8">
        <f t="shared" si="132"/>
        <v>1.2090638893359344</v>
      </c>
      <c r="Q1084" s="8">
        <f t="shared" si="133"/>
        <v>1.1749276587860171</v>
      </c>
      <c r="R1084" s="8">
        <f t="shared" si="134"/>
        <v>0.97176639642371065</v>
      </c>
      <c r="S1084" s="22">
        <f t="shared" si="135"/>
        <v>-4.131854980721078E-2</v>
      </c>
      <c r="T1084" s="25"/>
      <c r="U1084" s="1">
        <v>0</v>
      </c>
    </row>
    <row r="1085" spans="1:21">
      <c r="A1085" s="6" t="s">
        <v>3074</v>
      </c>
      <c r="B1085" s="6" t="s">
        <v>3075</v>
      </c>
      <c r="C1085" s="7">
        <v>0.14385324167140884</v>
      </c>
      <c r="D1085" s="7">
        <v>0.15454787927905997</v>
      </c>
      <c r="E1085" s="7">
        <v>0.31630956190036841</v>
      </c>
      <c r="F1085" s="8">
        <v>0.32626341717003882</v>
      </c>
      <c r="G1085" s="8">
        <f t="shared" si="128"/>
        <v>0.14920056047523439</v>
      </c>
      <c r="H1085" s="8">
        <f t="shared" si="129"/>
        <v>0.32128648953520361</v>
      </c>
      <c r="I1085" s="8">
        <f t="shared" si="130"/>
        <v>2.1533866127033319</v>
      </c>
      <c r="J1085" s="22">
        <f t="shared" si="131"/>
        <v>1.1066073599868791</v>
      </c>
      <c r="K1085" s="8"/>
      <c r="L1085" s="8">
        <v>1.1830867467362371</v>
      </c>
      <c r="M1085" s="8">
        <v>1.2108605946493849</v>
      </c>
      <c r="N1085" s="8">
        <v>1.3805525693124192</v>
      </c>
      <c r="O1085" s="8">
        <v>1.0454500061925962</v>
      </c>
      <c r="P1085" s="8">
        <f t="shared" si="132"/>
        <v>1.1969736706928109</v>
      </c>
      <c r="Q1085" s="8">
        <f t="shared" si="133"/>
        <v>1.2130012877525078</v>
      </c>
      <c r="R1085" s="8">
        <f t="shared" si="134"/>
        <v>1.0133901166350803</v>
      </c>
      <c r="S1085" s="22">
        <f t="shared" si="135"/>
        <v>1.9189663762822561E-2</v>
      </c>
      <c r="T1085" s="25"/>
      <c r="U1085" s="1" t="s">
        <v>3076</v>
      </c>
    </row>
    <row r="1086" spans="1:21">
      <c r="A1086" s="6" t="s">
        <v>3077</v>
      </c>
      <c r="B1086" s="6" t="s">
        <v>3078</v>
      </c>
      <c r="C1086" s="7">
        <v>0.88166366984887401</v>
      </c>
      <c r="D1086" s="7">
        <v>1.0703352342463899</v>
      </c>
      <c r="E1086" s="7">
        <v>1.056790014486813</v>
      </c>
      <c r="F1086" s="8">
        <v>1.0829859456112336</v>
      </c>
      <c r="G1086" s="8">
        <f t="shared" si="128"/>
        <v>0.97599945204763194</v>
      </c>
      <c r="H1086" s="8">
        <f t="shared" si="129"/>
        <v>1.0698879800490233</v>
      </c>
      <c r="I1086" s="8">
        <f t="shared" si="130"/>
        <v>1.0961973163042404</v>
      </c>
      <c r="J1086" s="22">
        <f t="shared" si="131"/>
        <v>0.13250750781661652</v>
      </c>
      <c r="K1086" s="8"/>
      <c r="L1086" s="8">
        <v>1.0402492349232819</v>
      </c>
      <c r="M1086" s="8">
        <v>0.89726026442091855</v>
      </c>
      <c r="N1086" s="8">
        <v>0.99159664479895948</v>
      </c>
      <c r="O1086" s="8">
        <v>0.7937370036960022</v>
      </c>
      <c r="P1086" s="8">
        <f t="shared" si="132"/>
        <v>0.96875474967210029</v>
      </c>
      <c r="Q1086" s="8">
        <f t="shared" si="133"/>
        <v>0.89266682424748089</v>
      </c>
      <c r="R1086" s="8">
        <f t="shared" si="134"/>
        <v>0.92145801045066023</v>
      </c>
      <c r="S1086" s="22">
        <f t="shared" si="135"/>
        <v>-0.1180096691234092</v>
      </c>
      <c r="T1086" s="25"/>
      <c r="U1086" s="1" t="s">
        <v>3079</v>
      </c>
    </row>
    <row r="1087" spans="1:21">
      <c r="A1087" s="6" t="s">
        <v>3080</v>
      </c>
      <c r="B1087" s="6" t="s">
        <v>3081</v>
      </c>
      <c r="C1087" s="7">
        <v>0.91141672419266306</v>
      </c>
      <c r="D1087" s="7">
        <v>0.88347163405906393</v>
      </c>
      <c r="E1087" s="7">
        <v>1.1377119911634395</v>
      </c>
      <c r="F1087" s="8">
        <v>1.0482713813352804</v>
      </c>
      <c r="G1087" s="8">
        <f t="shared" si="128"/>
        <v>0.89744417912586349</v>
      </c>
      <c r="H1087" s="8">
        <f t="shared" si="129"/>
        <v>1.0929916862493601</v>
      </c>
      <c r="I1087" s="8">
        <f t="shared" si="130"/>
        <v>1.217893782891283</v>
      </c>
      <c r="J1087" s="22">
        <f t="shared" si="131"/>
        <v>0.28438831585665897</v>
      </c>
      <c r="K1087" s="8"/>
      <c r="L1087" s="8">
        <v>1.0616924380912645</v>
      </c>
      <c r="M1087" s="8">
        <v>0.68256370312435133</v>
      </c>
      <c r="N1087" s="8">
        <v>0.77987698181045895</v>
      </c>
      <c r="O1087" s="8">
        <v>0.93671479509024891</v>
      </c>
      <c r="P1087" s="8">
        <f t="shared" si="132"/>
        <v>0.87212807060780784</v>
      </c>
      <c r="Q1087" s="8">
        <f t="shared" si="133"/>
        <v>0.85829588845035398</v>
      </c>
      <c r="R1087" s="8">
        <f t="shared" si="134"/>
        <v>0.98413973517924513</v>
      </c>
      <c r="S1087" s="22">
        <f t="shared" si="135"/>
        <v>-2.3064920646534679E-2</v>
      </c>
      <c r="T1087" s="25"/>
      <c r="U1087" s="1" t="s">
        <v>3082</v>
      </c>
    </row>
    <row r="1088" spans="1:21">
      <c r="A1088" s="6" t="s">
        <v>3083</v>
      </c>
      <c r="B1088" s="6" t="s">
        <v>3084</v>
      </c>
      <c r="C1088" s="7">
        <v>1.0718937909584612</v>
      </c>
      <c r="D1088" s="7">
        <v>1.0541841146601976</v>
      </c>
      <c r="E1088" s="7">
        <v>0.99530114314466056</v>
      </c>
      <c r="F1088" s="8">
        <v>1.0779046783386568</v>
      </c>
      <c r="G1088" s="8">
        <f t="shared" si="128"/>
        <v>1.0630389528093294</v>
      </c>
      <c r="H1088" s="8">
        <f t="shared" si="129"/>
        <v>1.0366029107416588</v>
      </c>
      <c r="I1088" s="8">
        <f t="shared" si="130"/>
        <v>0.97513163370184397</v>
      </c>
      <c r="J1088" s="22">
        <f t="shared" si="131"/>
        <v>-3.6331112465700248E-2</v>
      </c>
      <c r="K1088" s="8"/>
      <c r="L1088" s="8">
        <v>1.1705489175615151</v>
      </c>
      <c r="M1088" s="8">
        <v>1.0382218209744207</v>
      </c>
      <c r="N1088" s="8">
        <v>0.82114477026479216</v>
      </c>
      <c r="O1088" s="8">
        <v>1.1251491111994731</v>
      </c>
      <c r="P1088" s="8">
        <f t="shared" si="132"/>
        <v>1.1043853692679679</v>
      </c>
      <c r="Q1088" s="8">
        <f t="shared" si="133"/>
        <v>0.9731469407321327</v>
      </c>
      <c r="R1088" s="8">
        <f t="shared" si="134"/>
        <v>0.88116609275363234</v>
      </c>
      <c r="S1088" s="22">
        <f t="shared" si="135"/>
        <v>-0.18251411364492448</v>
      </c>
      <c r="T1088" s="25"/>
      <c r="U1088" s="1" t="s">
        <v>3085</v>
      </c>
    </row>
    <row r="1089" spans="1:21">
      <c r="A1089" s="6" t="s">
        <v>3086</v>
      </c>
      <c r="B1089" s="6" t="s">
        <v>3087</v>
      </c>
      <c r="C1089" s="7">
        <v>0.89427687466508843</v>
      </c>
      <c r="D1089" s="7">
        <v>0.96519117610556115</v>
      </c>
      <c r="E1089" s="7">
        <v>1.0643042551344499</v>
      </c>
      <c r="F1089" s="8">
        <v>1.029788643068948</v>
      </c>
      <c r="G1089" s="8">
        <f t="shared" si="128"/>
        <v>0.92973402538532479</v>
      </c>
      <c r="H1089" s="8">
        <f t="shared" si="129"/>
        <v>1.0470464491016989</v>
      </c>
      <c r="I1089" s="8">
        <f t="shared" si="130"/>
        <v>1.1261784774067556</v>
      </c>
      <c r="J1089" s="22">
        <f t="shared" si="131"/>
        <v>0.17143548466956296</v>
      </c>
      <c r="K1089" s="8"/>
      <c r="L1089" s="8">
        <v>1.0188450904131643</v>
      </c>
      <c r="M1089" s="8">
        <v>1.1449110177814255</v>
      </c>
      <c r="N1089" s="8">
        <v>0.70333038100400891</v>
      </c>
      <c r="O1089" s="8">
        <v>0.94637680970477611</v>
      </c>
      <c r="P1089" s="8">
        <f t="shared" si="132"/>
        <v>1.0818780540972948</v>
      </c>
      <c r="Q1089" s="8">
        <f t="shared" si="133"/>
        <v>0.82485359535439251</v>
      </c>
      <c r="R1089" s="8">
        <f t="shared" si="134"/>
        <v>0.76242751410891663</v>
      </c>
      <c r="S1089" s="22">
        <f t="shared" si="135"/>
        <v>-0.39132791143142431</v>
      </c>
      <c r="T1089" s="25"/>
      <c r="U1089" s="1" t="s">
        <v>3088</v>
      </c>
    </row>
    <row r="1090" spans="1:21">
      <c r="A1090" s="6" t="s">
        <v>3089</v>
      </c>
      <c r="B1090" s="6" t="s">
        <v>3090</v>
      </c>
      <c r="C1090" s="7">
        <v>1.0172082649505134</v>
      </c>
      <c r="D1090" s="7">
        <v>0.98282528663873259</v>
      </c>
      <c r="E1090" s="7">
        <v>0.93381227180250803</v>
      </c>
      <c r="F1090" s="8">
        <v>1.0012622303106213</v>
      </c>
      <c r="G1090" s="8">
        <f t="shared" si="128"/>
        <v>1.000016775794623</v>
      </c>
      <c r="H1090" s="8">
        <f t="shared" si="129"/>
        <v>0.96753725105656474</v>
      </c>
      <c r="I1090" s="8">
        <f t="shared" si="130"/>
        <v>0.96752102012263774</v>
      </c>
      <c r="J1090" s="22">
        <f t="shared" si="131"/>
        <v>-4.7635089653815764E-2</v>
      </c>
      <c r="K1090" s="8"/>
      <c r="L1090" s="8">
        <v>1.1425829185300478</v>
      </c>
      <c r="M1090" s="8">
        <v>0.71176935584101786</v>
      </c>
      <c r="N1090" s="8">
        <v>0.7591027209558967</v>
      </c>
      <c r="O1090" s="8">
        <v>0.83478805024477043</v>
      </c>
      <c r="P1090" s="8">
        <f t="shared" si="132"/>
        <v>0.92717613718553282</v>
      </c>
      <c r="Q1090" s="8">
        <f t="shared" si="133"/>
        <v>0.79694538560033357</v>
      </c>
      <c r="R1090" s="8">
        <f t="shared" si="134"/>
        <v>0.85954044074029123</v>
      </c>
      <c r="S1090" s="22">
        <f t="shared" si="135"/>
        <v>-0.21836257585542374</v>
      </c>
      <c r="T1090" s="25"/>
      <c r="U1090" s="1" t="s">
        <v>3091</v>
      </c>
    </row>
    <row r="1091" spans="1:21">
      <c r="A1091" s="6" t="s">
        <v>3092</v>
      </c>
      <c r="B1091" s="6" t="s">
        <v>3093</v>
      </c>
      <c r="C1091" s="7">
        <v>1.1008956704944488</v>
      </c>
      <c r="D1091" s="7">
        <v>0.95975803654526448</v>
      </c>
      <c r="E1091" s="7">
        <v>0.93557092386897622</v>
      </c>
      <c r="F1091" s="8">
        <v>1.0832905244974553</v>
      </c>
      <c r="G1091" s="8">
        <f t="shared" si="128"/>
        <v>1.0303268535198566</v>
      </c>
      <c r="H1091" s="8">
        <f t="shared" si="129"/>
        <v>1.0094307241832157</v>
      </c>
      <c r="I1091" s="8">
        <f t="shared" si="130"/>
        <v>0.97971893165236401</v>
      </c>
      <c r="J1091" s="22">
        <f t="shared" si="131"/>
        <v>-2.9560176344638003E-2</v>
      </c>
      <c r="K1091" s="8"/>
      <c r="L1091" s="8">
        <v>0.87022689723616264</v>
      </c>
      <c r="M1091" s="8">
        <v>0.97816280593789051</v>
      </c>
      <c r="N1091" s="8">
        <v>1.2936656269544864</v>
      </c>
      <c r="O1091" s="8">
        <v>0.98257181782033642</v>
      </c>
      <c r="P1091" s="8">
        <f t="shared" si="132"/>
        <v>0.92419485158702663</v>
      </c>
      <c r="Q1091" s="8">
        <f t="shared" si="133"/>
        <v>1.1381187223874114</v>
      </c>
      <c r="R1091" s="8">
        <f t="shared" si="134"/>
        <v>1.2314705285720158</v>
      </c>
      <c r="S1091" s="22">
        <f t="shared" si="135"/>
        <v>0.30038210181838565</v>
      </c>
      <c r="T1091" s="25"/>
      <c r="U1091" s="1" t="s">
        <v>3094</v>
      </c>
    </row>
    <row r="1092" spans="1:21">
      <c r="A1092" s="6" t="s">
        <v>3095</v>
      </c>
      <c r="B1092" s="6" t="s">
        <v>3096</v>
      </c>
      <c r="C1092" s="7">
        <v>0.95755845325622535</v>
      </c>
      <c r="D1092" s="7">
        <v>0.83303646012588783</v>
      </c>
      <c r="E1092" s="7">
        <v>0.6617408032468447</v>
      </c>
      <c r="F1092" s="8">
        <v>0.81107871650178764</v>
      </c>
      <c r="G1092" s="8">
        <f t="shared" si="128"/>
        <v>0.89529745669105654</v>
      </c>
      <c r="H1092" s="8">
        <f t="shared" si="129"/>
        <v>0.73640975987431623</v>
      </c>
      <c r="I1092" s="8">
        <f t="shared" si="130"/>
        <v>0.82253082969321079</v>
      </c>
      <c r="J1092" s="22">
        <f t="shared" si="131"/>
        <v>-0.2818583406450168</v>
      </c>
      <c r="K1092" s="8"/>
      <c r="L1092" s="8">
        <v>1.0605206783553092</v>
      </c>
      <c r="M1092" s="8">
        <v>1.8072490855265337</v>
      </c>
      <c r="N1092" s="8">
        <v>0.88590057437000425</v>
      </c>
      <c r="O1092" s="8">
        <v>1.0516076631749114</v>
      </c>
      <c r="P1092" s="8">
        <f t="shared" si="132"/>
        <v>1.4338848819409216</v>
      </c>
      <c r="Q1092" s="8">
        <f t="shared" si="133"/>
        <v>0.96875411877245776</v>
      </c>
      <c r="R1092" s="8">
        <f t="shared" si="134"/>
        <v>0.67561498902278827</v>
      </c>
      <c r="S1092" s="22">
        <f t="shared" si="135"/>
        <v>-0.56572675912674353</v>
      </c>
      <c r="T1092" s="25"/>
      <c r="U1092" s="1" t="s">
        <v>3097</v>
      </c>
    </row>
    <row r="1093" spans="1:21">
      <c r="A1093" s="6" t="s">
        <v>3098</v>
      </c>
      <c r="B1093" s="6" t="s">
        <v>3099</v>
      </c>
      <c r="C1093" s="7">
        <v>0.97860441178436774</v>
      </c>
      <c r="D1093" s="7">
        <v>0.96327676961036979</v>
      </c>
      <c r="E1093" s="7">
        <v>1.1349860804604137</v>
      </c>
      <c r="F1093" s="8">
        <v>1.0952433885933273</v>
      </c>
      <c r="G1093" s="8">
        <f t="shared" si="128"/>
        <v>0.97094059069736871</v>
      </c>
      <c r="H1093" s="8">
        <f t="shared" si="129"/>
        <v>1.1151147345268706</v>
      </c>
      <c r="I1093" s="8">
        <f t="shared" si="130"/>
        <v>1.1484891508407844</v>
      </c>
      <c r="J1093" s="22">
        <f t="shared" si="131"/>
        <v>0.19973722841620592</v>
      </c>
      <c r="K1093" s="8"/>
      <c r="L1093" s="8">
        <v>1.1591047308070179</v>
      </c>
      <c r="M1093" s="8">
        <v>0.93318033377061282</v>
      </c>
      <c r="N1093" s="8">
        <v>1.2690546782844421</v>
      </c>
      <c r="O1093" s="8">
        <v>0.99824130266151267</v>
      </c>
      <c r="P1093" s="8">
        <f t="shared" si="132"/>
        <v>1.0461425322888154</v>
      </c>
      <c r="Q1093" s="8">
        <f t="shared" si="133"/>
        <v>1.1336479904729773</v>
      </c>
      <c r="R1093" s="8">
        <f t="shared" si="134"/>
        <v>1.0836458278708083</v>
      </c>
      <c r="S1093" s="22">
        <f t="shared" si="135"/>
        <v>0.11589331216668443</v>
      </c>
      <c r="T1093" s="25"/>
      <c r="U1093" s="1" t="s">
        <v>3100</v>
      </c>
    </row>
    <row r="1094" spans="1:21">
      <c r="A1094" s="6" t="s">
        <v>3101</v>
      </c>
      <c r="B1094" s="6" t="s">
        <v>3102</v>
      </c>
      <c r="C1094" s="7">
        <v>1.021258076957791</v>
      </c>
      <c r="D1094" s="7">
        <v>1.0484813403822684</v>
      </c>
      <c r="E1094" s="7">
        <v>1.0553511173415209</v>
      </c>
      <c r="F1094" s="8">
        <v>1.0867894673123439</v>
      </c>
      <c r="G1094" s="8">
        <f t="shared" ref="G1094:G1157" si="136">AVERAGE(C1094:D1094)</f>
        <v>1.0348697086700298</v>
      </c>
      <c r="H1094" s="8">
        <f t="shared" ref="H1094:H1157" si="137">AVERAGE(E1094:F1094)</f>
        <v>1.0710702923269324</v>
      </c>
      <c r="I1094" s="8">
        <f t="shared" ref="I1094:I1157" si="138">H1094/G1094</f>
        <v>1.03498081290197</v>
      </c>
      <c r="J1094" s="22">
        <f t="shared" ref="J1094:J1157" si="139">LOG(I1094,2)</f>
        <v>4.9604022422416835E-2</v>
      </c>
      <c r="K1094" s="8"/>
      <c r="L1094" s="8">
        <v>1.1898048358890478</v>
      </c>
      <c r="M1094" s="8">
        <v>1.2527536113106681</v>
      </c>
      <c r="N1094" s="8">
        <v>0.74090184827025551</v>
      </c>
      <c r="O1094" s="8">
        <v>1.0041987106362729</v>
      </c>
      <c r="P1094" s="8">
        <f t="shared" ref="P1094:P1157" si="140">AVERAGE(L1094:M1094)</f>
        <v>1.221279223599858</v>
      </c>
      <c r="Q1094" s="8">
        <f t="shared" ref="Q1094:Q1157" si="141">AVERAGE(N1094:O1094)</f>
        <v>0.87255027945326424</v>
      </c>
      <c r="R1094" s="8">
        <f t="shared" ref="R1094:R1157" si="142">Q1094/P1094</f>
        <v>0.71445600857871316</v>
      </c>
      <c r="S1094" s="22">
        <f t="shared" ref="S1094:S1157" si="143">LOG(R1094,2)</f>
        <v>-0.48508291234052425</v>
      </c>
      <c r="T1094" s="25"/>
      <c r="U1094" s="1" t="s">
        <v>3103</v>
      </c>
    </row>
    <row r="1095" spans="1:21">
      <c r="A1095" s="6" t="s">
        <v>3104</v>
      </c>
      <c r="B1095" s="6" t="s">
        <v>3105</v>
      </c>
      <c r="C1095" s="7">
        <v>1.025314420919919</v>
      </c>
      <c r="D1095" s="7">
        <v>1.0546829388878178</v>
      </c>
      <c r="E1095" s="7">
        <v>1.1048571730126013</v>
      </c>
      <c r="F1095" s="8">
        <v>1.1467023628581525</v>
      </c>
      <c r="G1095" s="8">
        <f t="shared" si="136"/>
        <v>1.0399986799038685</v>
      </c>
      <c r="H1095" s="8">
        <f t="shared" si="137"/>
        <v>1.1257797679353769</v>
      </c>
      <c r="I1095" s="8">
        <f t="shared" si="138"/>
        <v>1.0824819201111271</v>
      </c>
      <c r="J1095" s="22">
        <f t="shared" si="139"/>
        <v>0.11434292889302156</v>
      </c>
      <c r="K1095" s="8"/>
      <c r="L1095" s="8">
        <v>1.0582552761991288</v>
      </c>
      <c r="M1095" s="8">
        <v>0.59737711663906712</v>
      </c>
      <c r="N1095" s="8">
        <v>0.63689017737004849</v>
      </c>
      <c r="O1095" s="8">
        <v>0.86182166626469103</v>
      </c>
      <c r="P1095" s="8">
        <f t="shared" si="140"/>
        <v>0.82781619641909798</v>
      </c>
      <c r="Q1095" s="8">
        <f t="shared" si="141"/>
        <v>0.74935592181736976</v>
      </c>
      <c r="R1095" s="8">
        <f t="shared" si="142"/>
        <v>0.90522017454946457</v>
      </c>
      <c r="S1095" s="22">
        <f t="shared" si="143"/>
        <v>-0.14365935672740432</v>
      </c>
      <c r="T1095" s="25"/>
      <c r="U1095" s="1" t="s">
        <v>3106</v>
      </c>
    </row>
    <row r="1096" spans="1:21">
      <c r="A1096" s="6" t="s">
        <v>3107</v>
      </c>
      <c r="B1096" s="6" t="s">
        <v>3108</v>
      </c>
      <c r="C1096" s="7">
        <v>1.0631736312331137</v>
      </c>
      <c r="D1096" s="7">
        <v>1.0293844615059402</v>
      </c>
      <c r="E1096" s="7">
        <v>1.0310337555860831</v>
      </c>
      <c r="F1096" s="8">
        <v>1.04069405294635</v>
      </c>
      <c r="G1096" s="8">
        <f t="shared" si="136"/>
        <v>1.0462790463695271</v>
      </c>
      <c r="H1096" s="8">
        <f t="shared" si="137"/>
        <v>1.0358639042662166</v>
      </c>
      <c r="I1096" s="8">
        <f t="shared" si="138"/>
        <v>0.99004554077666951</v>
      </c>
      <c r="J1096" s="22">
        <f t="shared" si="139"/>
        <v>-1.4433206117795392E-2</v>
      </c>
      <c r="K1096" s="8"/>
      <c r="L1096" s="8">
        <v>0.74930129248557198</v>
      </c>
      <c r="M1096" s="8">
        <v>0.77462947720298292</v>
      </c>
      <c r="N1096" s="8">
        <v>0.68349189766541785</v>
      </c>
      <c r="O1096" s="8">
        <v>0.94412400836978272</v>
      </c>
      <c r="P1096" s="8">
        <f t="shared" si="140"/>
        <v>0.76196538484427745</v>
      </c>
      <c r="Q1096" s="8">
        <f t="shared" si="141"/>
        <v>0.81380795301760034</v>
      </c>
      <c r="R1096" s="8">
        <f t="shared" si="142"/>
        <v>1.0680379571099781</v>
      </c>
      <c r="S1096" s="22">
        <f t="shared" si="143"/>
        <v>9.4962920022892167E-2</v>
      </c>
      <c r="T1096" s="25"/>
      <c r="U1096" s="1" t="s">
        <v>3109</v>
      </c>
    </row>
    <row r="1097" spans="1:21">
      <c r="A1097" s="6" t="s">
        <v>3110</v>
      </c>
      <c r="B1097" s="6" t="s">
        <v>3111</v>
      </c>
      <c r="C1097" s="7">
        <v>1.1080155012814368</v>
      </c>
      <c r="D1097" s="7">
        <v>0.97849764942072959</v>
      </c>
      <c r="E1097" s="7">
        <v>1.1428120821561973</v>
      </c>
      <c r="F1097" s="8">
        <v>1.2242585475448531</v>
      </c>
      <c r="G1097" s="8">
        <f t="shared" si="136"/>
        <v>1.0432565753510832</v>
      </c>
      <c r="H1097" s="8">
        <f t="shared" si="137"/>
        <v>1.1835353148505252</v>
      </c>
      <c r="I1097" s="8">
        <f t="shared" si="138"/>
        <v>1.1344623583630273</v>
      </c>
      <c r="J1097" s="22">
        <f t="shared" si="139"/>
        <v>0.18200874095920383</v>
      </c>
      <c r="K1097" s="8"/>
      <c r="L1097" s="8">
        <v>1.0306798637463133</v>
      </c>
      <c r="M1097" s="8">
        <v>0.75922339241309111</v>
      </c>
      <c r="N1097" s="8">
        <v>0.79854574325408589</v>
      </c>
      <c r="O1097" s="8">
        <v>0.769907371796961</v>
      </c>
      <c r="P1097" s="8">
        <f t="shared" si="140"/>
        <v>0.89495162807970219</v>
      </c>
      <c r="Q1097" s="8">
        <f t="shared" si="141"/>
        <v>0.78422655752552339</v>
      </c>
      <c r="R1097" s="8">
        <f t="shared" si="142"/>
        <v>0.87627815059484093</v>
      </c>
      <c r="S1097" s="22">
        <f t="shared" si="143"/>
        <v>-0.19053920817925413</v>
      </c>
      <c r="T1097" s="25"/>
      <c r="U1097" s="1" t="s">
        <v>3112</v>
      </c>
    </row>
    <row r="1098" spans="1:21">
      <c r="A1098" s="6" t="s">
        <v>3113</v>
      </c>
      <c r="B1098" s="6" t="s">
        <v>3114</v>
      </c>
      <c r="C1098" s="7">
        <v>1.0092458119878178</v>
      </c>
      <c r="D1098" s="7">
        <v>1.079974675401755</v>
      </c>
      <c r="E1098" s="7">
        <v>0.97503667501512892</v>
      </c>
      <c r="F1098" s="8">
        <v>1.0850362815282384</v>
      </c>
      <c r="G1098" s="8">
        <f t="shared" si="136"/>
        <v>1.0446102436947864</v>
      </c>
      <c r="H1098" s="8">
        <f t="shared" si="137"/>
        <v>1.0300364782716835</v>
      </c>
      <c r="I1098" s="8">
        <f t="shared" si="138"/>
        <v>0.98604860950668505</v>
      </c>
      <c r="J1098" s="22">
        <f t="shared" si="139"/>
        <v>-2.026932560098129E-2</v>
      </c>
      <c r="K1098" s="8"/>
      <c r="L1098" s="8">
        <v>0.74391119770017744</v>
      </c>
      <c r="M1098" s="8">
        <v>0.79522584724294521</v>
      </c>
      <c r="N1098" s="8">
        <v>0.89352716112517017</v>
      </c>
      <c r="O1098" s="8">
        <v>0.87228467690943812</v>
      </c>
      <c r="P1098" s="8">
        <f t="shared" si="140"/>
        <v>0.76956852247156138</v>
      </c>
      <c r="Q1098" s="8">
        <f t="shared" si="141"/>
        <v>0.88290591901730409</v>
      </c>
      <c r="R1098" s="8">
        <f t="shared" si="142"/>
        <v>1.1472739505791454</v>
      </c>
      <c r="S1098" s="22">
        <f t="shared" si="143"/>
        <v>0.19820992487708666</v>
      </c>
      <c r="T1098" s="25"/>
      <c r="U1098" s="1" t="s">
        <v>3115</v>
      </c>
    </row>
    <row r="1099" spans="1:21">
      <c r="A1099" s="6" t="s">
        <v>3116</v>
      </c>
      <c r="B1099" s="6" t="s">
        <v>3117</v>
      </c>
      <c r="C1099" s="7">
        <v>0.95648068070590153</v>
      </c>
      <c r="D1099" s="7">
        <v>1.0213291243166664</v>
      </c>
      <c r="E1099" s="7">
        <v>0.95460433555197999</v>
      </c>
      <c r="F1099" s="8">
        <v>1.1299802391292479</v>
      </c>
      <c r="G1099" s="8">
        <f t="shared" si="136"/>
        <v>0.98890490251128393</v>
      </c>
      <c r="H1099" s="8">
        <f t="shared" si="137"/>
        <v>1.042292287340614</v>
      </c>
      <c r="I1099" s="8">
        <f t="shared" si="138"/>
        <v>1.0539863688548363</v>
      </c>
      <c r="J1099" s="22">
        <f t="shared" si="139"/>
        <v>7.5856208803689554E-2</v>
      </c>
      <c r="K1099" s="8"/>
      <c r="L1099" s="8">
        <v>0.50006799664787205</v>
      </c>
      <c r="M1099" s="8">
        <v>0.50020344279052487</v>
      </c>
      <c r="N1099" s="8">
        <v>0.61765994941683877</v>
      </c>
      <c r="O1099" s="8">
        <v>0.51499038517948748</v>
      </c>
      <c r="P1099" s="8">
        <f t="shared" si="140"/>
        <v>0.50013571971919846</v>
      </c>
      <c r="Q1099" s="8">
        <f t="shared" si="141"/>
        <v>0.56632516729816307</v>
      </c>
      <c r="R1099" s="8">
        <f t="shared" si="142"/>
        <v>1.1323429720559186</v>
      </c>
      <c r="S1099" s="22">
        <f t="shared" si="143"/>
        <v>0.17931099804770032</v>
      </c>
      <c r="T1099" s="25"/>
      <c r="U1099" s="1" t="s">
        <v>3118</v>
      </c>
    </row>
    <row r="1100" spans="1:21">
      <c r="A1100" s="6" t="s">
        <v>3119</v>
      </c>
      <c r="B1100" s="6" t="s">
        <v>3120</v>
      </c>
      <c r="C1100" s="7">
        <v>0.20102091052252677</v>
      </c>
      <c r="D1100" s="7">
        <v>0.20072956554158189</v>
      </c>
      <c r="E1100" s="7">
        <v>0.23435637560294931</v>
      </c>
      <c r="F1100" s="8">
        <v>0.22941476010485529</v>
      </c>
      <c r="G1100" s="8">
        <f t="shared" si="136"/>
        <v>0.20087523803205432</v>
      </c>
      <c r="H1100" s="8">
        <f t="shared" si="137"/>
        <v>0.2318855678539023</v>
      </c>
      <c r="I1100" s="8">
        <f t="shared" si="138"/>
        <v>1.1543760700704164</v>
      </c>
      <c r="J1100" s="22">
        <f t="shared" si="139"/>
        <v>0.20711329854139418</v>
      </c>
      <c r="K1100" s="8"/>
      <c r="L1100" s="8">
        <v>0.36804973306357092</v>
      </c>
      <c r="M1100" s="8">
        <v>0.45447950130180859</v>
      </c>
      <c r="N1100" s="8">
        <v>0.45488145051363588</v>
      </c>
      <c r="O1100" s="8">
        <v>0.3862803355735322</v>
      </c>
      <c r="P1100" s="8">
        <f t="shared" si="140"/>
        <v>0.41126461718268975</v>
      </c>
      <c r="Q1100" s="8">
        <f t="shared" si="141"/>
        <v>0.42058089304358404</v>
      </c>
      <c r="R1100" s="8">
        <f t="shared" si="142"/>
        <v>1.0226527531707301</v>
      </c>
      <c r="S1100" s="22">
        <f t="shared" si="143"/>
        <v>3.2316353956583048E-2</v>
      </c>
      <c r="T1100" s="25"/>
      <c r="U1100" s="1" t="s">
        <v>3121</v>
      </c>
    </row>
    <row r="1101" spans="1:21">
      <c r="A1101" s="6" t="s">
        <v>3122</v>
      </c>
      <c r="B1101" s="6" t="s">
        <v>3123</v>
      </c>
      <c r="C1101" s="7">
        <v>1.0470462347073584</v>
      </c>
      <c r="D1101" s="7">
        <v>1.0280497696536588</v>
      </c>
      <c r="E1101" s="7">
        <v>1.0922428413722065</v>
      </c>
      <c r="F1101" s="8">
        <v>1.0391934447752087</v>
      </c>
      <c r="G1101" s="8">
        <f t="shared" si="136"/>
        <v>1.0375480021805086</v>
      </c>
      <c r="H1101" s="8">
        <f t="shared" si="137"/>
        <v>1.0657181430737075</v>
      </c>
      <c r="I1101" s="8">
        <f t="shared" si="138"/>
        <v>1.0271506868443645</v>
      </c>
      <c r="J1101" s="22">
        <f t="shared" si="139"/>
        <v>3.8647845936507837E-2</v>
      </c>
      <c r="K1101" s="8"/>
      <c r="L1101" s="8">
        <v>1.0804796525244149</v>
      </c>
      <c r="M1101" s="8">
        <v>1.3940035170447298</v>
      </c>
      <c r="N1101" s="8">
        <v>1.6210941797928349</v>
      </c>
      <c r="O1101" s="8">
        <v>1.6589128408372389</v>
      </c>
      <c r="P1101" s="8">
        <f t="shared" si="140"/>
        <v>1.2372415847845724</v>
      </c>
      <c r="Q1101" s="8">
        <f t="shared" si="141"/>
        <v>1.640003510315037</v>
      </c>
      <c r="R1101" s="8">
        <f t="shared" si="142"/>
        <v>1.3255321599949239</v>
      </c>
      <c r="S1101" s="22">
        <f t="shared" si="143"/>
        <v>0.40657167322467053</v>
      </c>
      <c r="T1101" s="25"/>
      <c r="U1101" s="1" t="s">
        <v>3124</v>
      </c>
    </row>
    <row r="1102" spans="1:21">
      <c r="A1102" s="6" t="s">
        <v>3125</v>
      </c>
      <c r="B1102" s="6" t="s">
        <v>3126</v>
      </c>
      <c r="C1102" s="7">
        <v>1.1228952944307566</v>
      </c>
      <c r="D1102" s="7">
        <v>0.95345532502060271</v>
      </c>
      <c r="E1102" s="7">
        <v>1.1554024321775038</v>
      </c>
      <c r="F1102" s="8">
        <v>1.0662489643756843</v>
      </c>
      <c r="G1102" s="8">
        <f t="shared" si="136"/>
        <v>1.0381753097256796</v>
      </c>
      <c r="H1102" s="8">
        <f t="shared" si="137"/>
        <v>1.1108256982765941</v>
      </c>
      <c r="I1102" s="8">
        <f t="shared" si="138"/>
        <v>1.0699789215466038</v>
      </c>
      <c r="J1102" s="22">
        <f t="shared" si="139"/>
        <v>9.7582375991172893E-2</v>
      </c>
      <c r="K1102" s="8"/>
      <c r="L1102" s="8">
        <v>1.1980071540407351</v>
      </c>
      <c r="M1102" s="8">
        <v>1.0246694094881255</v>
      </c>
      <c r="N1102" s="8">
        <v>1.0444212855755379</v>
      </c>
      <c r="O1102" s="8">
        <v>0.95143309714553903</v>
      </c>
      <c r="P1102" s="8">
        <f t="shared" si="140"/>
        <v>1.1113382817644304</v>
      </c>
      <c r="Q1102" s="8">
        <f t="shared" si="141"/>
        <v>0.99792719136053853</v>
      </c>
      <c r="R1102" s="8">
        <f t="shared" si="142"/>
        <v>0.89795088294463021</v>
      </c>
      <c r="S1102" s="22">
        <f t="shared" si="143"/>
        <v>-0.15529156180310311</v>
      </c>
      <c r="T1102" s="25"/>
      <c r="U1102" s="1" t="s">
        <v>3127</v>
      </c>
    </row>
    <row r="1103" spans="1:21">
      <c r="A1103" s="6" t="s">
        <v>3128</v>
      </c>
      <c r="B1103" s="6" t="s">
        <v>3129</v>
      </c>
      <c r="C1103" s="7">
        <v>0.9819226448483952</v>
      </c>
      <c r="D1103" s="7">
        <v>1.02218521454515</v>
      </c>
      <c r="E1103" s="7">
        <v>0.97613183562015693</v>
      </c>
      <c r="F1103" s="8">
        <v>1.0735291426317155</v>
      </c>
      <c r="G1103" s="8">
        <f t="shared" si="136"/>
        <v>1.0020539296967725</v>
      </c>
      <c r="H1103" s="8">
        <f t="shared" si="137"/>
        <v>1.0248304891259363</v>
      </c>
      <c r="I1103" s="8">
        <f t="shared" si="138"/>
        <v>1.022729873866226</v>
      </c>
      <c r="J1103" s="22">
        <f t="shared" si="139"/>
        <v>3.2425146945751812E-2</v>
      </c>
      <c r="K1103" s="8"/>
      <c r="L1103" s="8">
        <v>0.87999156170245707</v>
      </c>
      <c r="M1103" s="8">
        <v>0.74781300341095192</v>
      </c>
      <c r="N1103" s="8">
        <v>0.88131526454174502</v>
      </c>
      <c r="O1103" s="8">
        <v>0.80995717330795447</v>
      </c>
      <c r="P1103" s="8">
        <f t="shared" si="140"/>
        <v>0.81390228255670449</v>
      </c>
      <c r="Q1103" s="8">
        <f t="shared" si="141"/>
        <v>0.84563621892484975</v>
      </c>
      <c r="R1103" s="8">
        <f t="shared" si="142"/>
        <v>1.0389898603901928</v>
      </c>
      <c r="S1103" s="22">
        <f t="shared" si="143"/>
        <v>5.5181574900291221E-2</v>
      </c>
      <c r="T1103" s="25"/>
      <c r="U1103" s="1" t="s">
        <v>3130</v>
      </c>
    </row>
    <row r="1104" spans="1:21">
      <c r="A1104" s="6" t="s">
        <v>3131</v>
      </c>
      <c r="B1104" s="6" t="s">
        <v>3132</v>
      </c>
      <c r="C1104" s="7">
        <v>1.0286914415776005</v>
      </c>
      <c r="D1104" s="7">
        <v>0.93167558070383028</v>
      </c>
      <c r="E1104" s="7">
        <v>1.0450630027526817</v>
      </c>
      <c r="F1104" s="8">
        <v>1.142631406037433</v>
      </c>
      <c r="G1104" s="8">
        <f t="shared" si="136"/>
        <v>0.98018351114071534</v>
      </c>
      <c r="H1104" s="8">
        <f t="shared" si="137"/>
        <v>1.0938472043950573</v>
      </c>
      <c r="I1104" s="8">
        <f t="shared" si="138"/>
        <v>1.1159616459187962</v>
      </c>
      <c r="J1104" s="22">
        <f t="shared" si="139"/>
        <v>0.1582874445563445</v>
      </c>
      <c r="K1104" s="8"/>
      <c r="L1104" s="8">
        <v>1.0884476187289114</v>
      </c>
      <c r="M1104" s="8">
        <v>0.69677519845192526</v>
      </c>
      <c r="N1104" s="8">
        <v>0.88950331780649361</v>
      </c>
      <c r="O1104" s="8">
        <v>0.88700297896472824</v>
      </c>
      <c r="P1104" s="8">
        <f t="shared" si="140"/>
        <v>0.89261140859041832</v>
      </c>
      <c r="Q1104" s="8">
        <f t="shared" si="141"/>
        <v>0.88825314838561087</v>
      </c>
      <c r="R1104" s="8">
        <f t="shared" si="142"/>
        <v>0.99511740477114241</v>
      </c>
      <c r="S1104" s="22">
        <f t="shared" si="143"/>
        <v>-7.0613488401639621E-3</v>
      </c>
      <c r="T1104" s="25"/>
      <c r="U1104" s="1" t="s">
        <v>3133</v>
      </c>
    </row>
    <row r="1105" spans="1:21">
      <c r="A1105" s="6" t="s">
        <v>3134</v>
      </c>
      <c r="B1105" s="6" t="s">
        <v>3135</v>
      </c>
      <c r="C1105" s="7">
        <v>1.0171364134471585</v>
      </c>
      <c r="D1105" s="7">
        <v>0.98486102875685866</v>
      </c>
      <c r="E1105" s="7">
        <v>1.061114699795719</v>
      </c>
      <c r="F1105" s="8">
        <v>1.1595838211193343</v>
      </c>
      <c r="G1105" s="8">
        <f t="shared" si="136"/>
        <v>1.0009987211020086</v>
      </c>
      <c r="H1105" s="8">
        <f t="shared" si="137"/>
        <v>1.1103492604575267</v>
      </c>
      <c r="I1105" s="8">
        <f t="shared" si="138"/>
        <v>1.1092414376265467</v>
      </c>
      <c r="J1105" s="22">
        <f t="shared" si="139"/>
        <v>0.14957341685757705</v>
      </c>
      <c r="K1105" s="8"/>
      <c r="L1105" s="8">
        <v>1.1609795463845465</v>
      </c>
      <c r="M1105" s="8">
        <v>1.1061074566261364</v>
      </c>
      <c r="N1105" s="8">
        <v>0.75564034414680303</v>
      </c>
      <c r="O1105" s="8">
        <v>0.92655215795683432</v>
      </c>
      <c r="P1105" s="8">
        <f t="shared" si="140"/>
        <v>1.1335435015053414</v>
      </c>
      <c r="Q1105" s="8">
        <f t="shared" si="141"/>
        <v>0.84109625105181873</v>
      </c>
      <c r="R1105" s="8">
        <f t="shared" si="142"/>
        <v>0.74200615144883819</v>
      </c>
      <c r="S1105" s="22">
        <f t="shared" si="143"/>
        <v>-0.43049694762626189</v>
      </c>
      <c r="T1105" s="25"/>
      <c r="U1105" s="1" t="s">
        <v>3136</v>
      </c>
    </row>
    <row r="1106" spans="1:21">
      <c r="A1106" s="6" t="s">
        <v>3137</v>
      </c>
      <c r="B1106" s="6" t="s">
        <v>3138</v>
      </c>
      <c r="C1106" s="7">
        <v>0.73999863305236513</v>
      </c>
      <c r="D1106" s="7">
        <v>0.61535361171315683</v>
      </c>
      <c r="E1106" s="7">
        <v>1.3351686488626737</v>
      </c>
      <c r="F1106" s="8">
        <v>1.2917339139729471</v>
      </c>
      <c r="G1106" s="8">
        <f t="shared" si="136"/>
        <v>0.67767612238276098</v>
      </c>
      <c r="H1106" s="8">
        <f t="shared" si="137"/>
        <v>1.3134512814178105</v>
      </c>
      <c r="I1106" s="8">
        <f t="shared" si="138"/>
        <v>1.9381696330093725</v>
      </c>
      <c r="J1106" s="22">
        <f t="shared" si="139"/>
        <v>0.95469484422640705</v>
      </c>
      <c r="K1106" s="8"/>
      <c r="L1106" s="8">
        <v>0.94799268504573175</v>
      </c>
      <c r="M1106" s="8">
        <v>1.0908249500564844</v>
      </c>
      <c r="N1106" s="8">
        <v>1.2041585075518342</v>
      </c>
      <c r="O1106" s="8">
        <v>0.70983266953047075</v>
      </c>
      <c r="P1106" s="8">
        <f t="shared" si="140"/>
        <v>1.019408817551108</v>
      </c>
      <c r="Q1106" s="8">
        <f t="shared" si="141"/>
        <v>0.95699558854115252</v>
      </c>
      <c r="R1106" s="8">
        <f t="shared" si="142"/>
        <v>0.93877507440058372</v>
      </c>
      <c r="S1106" s="22">
        <f t="shared" si="143"/>
        <v>-9.1148557794127241E-2</v>
      </c>
      <c r="T1106" s="25"/>
      <c r="U1106" s="1" t="s">
        <v>3139</v>
      </c>
    </row>
    <row r="1107" spans="1:21">
      <c r="A1107" s="6" t="s">
        <v>3140</v>
      </c>
      <c r="B1107" s="6" t="s">
        <v>80</v>
      </c>
      <c r="C1107" s="7">
        <v>1.1341041289541247</v>
      </c>
      <c r="D1107" s="7">
        <v>1.0450974246759794</v>
      </c>
      <c r="E1107" s="7">
        <v>1.0342792680360198</v>
      </c>
      <c r="F1107" s="8">
        <v>1.0795241465629577</v>
      </c>
      <c r="G1107" s="8">
        <f t="shared" si="136"/>
        <v>1.0896007768150522</v>
      </c>
      <c r="H1107" s="8">
        <f t="shared" si="137"/>
        <v>1.0569017072994886</v>
      </c>
      <c r="I1107" s="8">
        <f t="shared" si="138"/>
        <v>0.96998986214827754</v>
      </c>
      <c r="J1107" s="22">
        <f t="shared" si="139"/>
        <v>-4.3958425840005207E-2</v>
      </c>
      <c r="K1107" s="8"/>
      <c r="L1107" s="8">
        <v>0.97142787976483846</v>
      </c>
      <c r="M1107" s="8">
        <v>0.73318958068257867</v>
      </c>
      <c r="N1107" s="8">
        <v>0.98888289000264284</v>
      </c>
      <c r="O1107" s="8">
        <v>0.94392375936222772</v>
      </c>
      <c r="P1107" s="8">
        <f t="shared" si="140"/>
        <v>0.85230873022370857</v>
      </c>
      <c r="Q1107" s="8">
        <f t="shared" si="141"/>
        <v>0.96640332468243528</v>
      </c>
      <c r="R1107" s="8">
        <f t="shared" si="142"/>
        <v>1.1338653358962778</v>
      </c>
      <c r="S1107" s="22">
        <f t="shared" si="143"/>
        <v>0.1812493080305774</v>
      </c>
      <c r="T1107" s="25"/>
      <c r="U1107" s="1">
        <v>0</v>
      </c>
    </row>
    <row r="1108" spans="1:21">
      <c r="A1108" s="6" t="s">
        <v>3141</v>
      </c>
      <c r="B1108" s="6" t="s">
        <v>80</v>
      </c>
      <c r="C1108" s="7">
        <v>1.0472552572625726</v>
      </c>
      <c r="D1108" s="7">
        <v>0.8924841744959332</v>
      </c>
      <c r="E1108" s="7">
        <v>1.1152332202047639</v>
      </c>
      <c r="F1108" s="8">
        <v>1.0438438443550817</v>
      </c>
      <c r="G1108" s="8">
        <f t="shared" si="136"/>
        <v>0.96986971587925286</v>
      </c>
      <c r="H1108" s="8">
        <f t="shared" si="137"/>
        <v>1.0795385322799227</v>
      </c>
      <c r="I1108" s="8">
        <f t="shared" si="138"/>
        <v>1.1130758230771725</v>
      </c>
      <c r="J1108" s="22">
        <f t="shared" si="139"/>
        <v>0.15455187286990904</v>
      </c>
      <c r="K1108" s="8"/>
      <c r="L1108" s="8">
        <v>1.1468012535794869</v>
      </c>
      <c r="M1108" s="8">
        <v>1.3281363256569303</v>
      </c>
      <c r="N1108" s="8">
        <v>1.2460813402673472</v>
      </c>
      <c r="O1108" s="8">
        <v>1.1920322797228324</v>
      </c>
      <c r="P1108" s="8">
        <f t="shared" si="140"/>
        <v>1.2374687896182086</v>
      </c>
      <c r="Q1108" s="8">
        <f t="shared" si="141"/>
        <v>1.2190568099950898</v>
      </c>
      <c r="R1108" s="8">
        <f t="shared" si="142"/>
        <v>0.9851212573782977</v>
      </c>
      <c r="S1108" s="22">
        <f t="shared" si="143"/>
        <v>-2.1626779809229228E-2</v>
      </c>
      <c r="T1108" s="25"/>
      <c r="U1108" s="1">
        <v>0</v>
      </c>
    </row>
    <row r="1109" spans="1:21">
      <c r="A1109" s="6" t="s">
        <v>3142</v>
      </c>
      <c r="B1109" s="6" t="s">
        <v>3143</v>
      </c>
      <c r="C1109" s="7">
        <v>1.1382192605099068</v>
      </c>
      <c r="D1109" s="7">
        <v>1.0013626734759733</v>
      </c>
      <c r="E1109" s="7">
        <v>1.1534679149043889</v>
      </c>
      <c r="F1109" s="8">
        <v>1.0815744824799622</v>
      </c>
      <c r="G1109" s="8">
        <f t="shared" si="136"/>
        <v>1.0697909669929402</v>
      </c>
      <c r="H1109" s="8">
        <f t="shared" si="137"/>
        <v>1.1175211986921756</v>
      </c>
      <c r="I1109" s="8">
        <f t="shared" si="138"/>
        <v>1.0446164093471453</v>
      </c>
      <c r="J1109" s="22">
        <f t="shared" si="139"/>
        <v>6.2973271562431501E-2</v>
      </c>
      <c r="K1109" s="8"/>
      <c r="L1109" s="8">
        <v>1.0375541875305845</v>
      </c>
      <c r="M1109" s="8">
        <v>1.208636186685069</v>
      </c>
      <c r="N1109" s="8">
        <v>0.91827847642261029</v>
      </c>
      <c r="O1109" s="8">
        <v>1.2618691211076272</v>
      </c>
      <c r="P1109" s="8">
        <f t="shared" si="140"/>
        <v>1.1230951871078267</v>
      </c>
      <c r="Q1109" s="8">
        <f t="shared" si="141"/>
        <v>1.0900737987651188</v>
      </c>
      <c r="R1109" s="8">
        <f t="shared" si="142"/>
        <v>0.97059787209333159</v>
      </c>
      <c r="S1109" s="22">
        <f t="shared" si="143"/>
        <v>-4.3054397698669047E-2</v>
      </c>
      <c r="T1109" s="25"/>
      <c r="U1109" s="1" t="s">
        <v>3144</v>
      </c>
    </row>
    <row r="1110" spans="1:21">
      <c r="A1110" s="6" t="s">
        <v>3145</v>
      </c>
      <c r="B1110" s="6" t="s">
        <v>3146</v>
      </c>
      <c r="C1110" s="7">
        <v>0.9927591579452878</v>
      </c>
      <c r="D1110" s="7">
        <v>0.99795179429792091</v>
      </c>
      <c r="E1110" s="7">
        <v>1.034383188385402</v>
      </c>
      <c r="F1110" s="8">
        <v>1.0131853793932031</v>
      </c>
      <c r="G1110" s="8">
        <f t="shared" si="136"/>
        <v>0.99535547612160435</v>
      </c>
      <c r="H1110" s="8">
        <f t="shared" si="137"/>
        <v>1.0237842838893025</v>
      </c>
      <c r="I1110" s="8">
        <f t="shared" si="138"/>
        <v>1.0285614621607055</v>
      </c>
      <c r="J1110" s="22">
        <f t="shared" si="139"/>
        <v>4.0628005340831067E-2</v>
      </c>
      <c r="K1110" s="8"/>
      <c r="L1110" s="8">
        <v>0.73957568667714269</v>
      </c>
      <c r="M1110" s="8">
        <v>0.8119089069753147</v>
      </c>
      <c r="N1110" s="8">
        <v>0.74441101395514775</v>
      </c>
      <c r="O1110" s="8">
        <v>0.91158354464210045</v>
      </c>
      <c r="P1110" s="8">
        <f t="shared" si="140"/>
        <v>0.77574229682622864</v>
      </c>
      <c r="Q1110" s="8">
        <f t="shared" si="141"/>
        <v>0.8279972792986241</v>
      </c>
      <c r="R1110" s="8">
        <f t="shared" si="142"/>
        <v>1.0673612650569457</v>
      </c>
      <c r="S1110" s="22">
        <f t="shared" si="143"/>
        <v>9.4048561441449005E-2</v>
      </c>
      <c r="T1110" s="25"/>
      <c r="U1110" s="1" t="s">
        <v>3147</v>
      </c>
    </row>
    <row r="1111" spans="1:21">
      <c r="A1111" s="6" t="s">
        <v>3148</v>
      </c>
      <c r="B1111" s="6" t="s">
        <v>3149</v>
      </c>
      <c r="C1111" s="7">
        <v>0.91203072794860518</v>
      </c>
      <c r="D1111" s="7">
        <v>0.98455094883158123</v>
      </c>
      <c r="E1111" s="7">
        <v>1.0205218125524207</v>
      </c>
      <c r="F1111" s="8">
        <v>1.0219587370670531</v>
      </c>
      <c r="G1111" s="8">
        <f t="shared" si="136"/>
        <v>0.9482908383900932</v>
      </c>
      <c r="H1111" s="8">
        <f t="shared" si="137"/>
        <v>1.0212402748097369</v>
      </c>
      <c r="I1111" s="8">
        <f t="shared" si="138"/>
        <v>1.0769272816591684</v>
      </c>
      <c r="J1111" s="22">
        <f t="shared" si="139"/>
        <v>0.10692083676085812</v>
      </c>
      <c r="K1111" s="8"/>
      <c r="L1111" s="8">
        <v>1.0144705207322644</v>
      </c>
      <c r="M1111" s="8">
        <v>1.0626491158418159</v>
      </c>
      <c r="N1111" s="8">
        <v>0.9747058606356781</v>
      </c>
      <c r="O1111" s="8">
        <v>0.89841717239536134</v>
      </c>
      <c r="P1111" s="8">
        <f t="shared" si="140"/>
        <v>1.0385598182870401</v>
      </c>
      <c r="Q1111" s="8">
        <f t="shared" si="141"/>
        <v>0.93656151651551967</v>
      </c>
      <c r="R1111" s="8">
        <f t="shared" si="142"/>
        <v>0.90178870780909615</v>
      </c>
      <c r="S1111" s="22">
        <f t="shared" si="143"/>
        <v>-0.14913865021445291</v>
      </c>
      <c r="T1111" s="25"/>
      <c r="U1111" s="1" t="s">
        <v>3150</v>
      </c>
    </row>
    <row r="1112" spans="1:21">
      <c r="A1112" s="6" t="s">
        <v>3151</v>
      </c>
      <c r="B1112" s="6" t="s">
        <v>3152</v>
      </c>
      <c r="C1112" s="7">
        <v>0.91171719411578367</v>
      </c>
      <c r="D1112" s="7">
        <v>0.99725748490001698</v>
      </c>
      <c r="E1112" s="7">
        <v>1.0711949736857937</v>
      </c>
      <c r="F1112" s="8">
        <v>1.0348996253548148</v>
      </c>
      <c r="G1112" s="8">
        <f t="shared" si="136"/>
        <v>0.95448733950790032</v>
      </c>
      <c r="H1112" s="8">
        <f t="shared" si="137"/>
        <v>1.0530472995203044</v>
      </c>
      <c r="I1112" s="8">
        <f t="shared" si="138"/>
        <v>1.1032595781346017</v>
      </c>
      <c r="J1112" s="22">
        <f t="shared" si="139"/>
        <v>0.14177227236924267</v>
      </c>
      <c r="K1112" s="8"/>
      <c r="L1112" s="8">
        <v>1.049701430126655</v>
      </c>
      <c r="M1112" s="8">
        <v>0.67111212138213228</v>
      </c>
      <c r="N1112" s="8">
        <v>0.96820220689967773</v>
      </c>
      <c r="O1112" s="8">
        <v>1.0806938315222705</v>
      </c>
      <c r="P1112" s="8">
        <f t="shared" si="140"/>
        <v>0.86040677575439362</v>
      </c>
      <c r="Q1112" s="8">
        <f t="shared" si="141"/>
        <v>1.0244480192109742</v>
      </c>
      <c r="R1112" s="8">
        <f t="shared" si="142"/>
        <v>1.1906554528382827</v>
      </c>
      <c r="S1112" s="22">
        <f t="shared" si="143"/>
        <v>0.25175599221492545</v>
      </c>
      <c r="T1112" s="25"/>
      <c r="U1112" s="1" t="s">
        <v>3153</v>
      </c>
    </row>
    <row r="1113" spans="1:21">
      <c r="A1113" s="6" t="s">
        <v>3154</v>
      </c>
      <c r="B1113" s="9" t="s">
        <v>3155</v>
      </c>
      <c r="C1113" s="10">
        <v>0.16172467014223366</v>
      </c>
      <c r="D1113" s="10">
        <v>0.15264021365180938</v>
      </c>
      <c r="E1113" s="10">
        <v>0.49698708011088999</v>
      </c>
      <c r="F1113" s="8">
        <v>0.52147619697819203</v>
      </c>
      <c r="G1113" s="8">
        <f t="shared" si="136"/>
        <v>0.15718244189702152</v>
      </c>
      <c r="H1113" s="8">
        <f t="shared" si="137"/>
        <v>0.50923163854454101</v>
      </c>
      <c r="I1113" s="8">
        <f t="shared" si="138"/>
        <v>3.2397488701579369</v>
      </c>
      <c r="J1113" s="22">
        <f t="shared" si="139"/>
        <v>1.6958819866224217</v>
      </c>
      <c r="K1113" s="8"/>
      <c r="L1113" s="8">
        <v>0.36203469975233354</v>
      </c>
      <c r="M1113" s="8">
        <v>0.44941279427197783</v>
      </c>
      <c r="N1113" s="8">
        <v>0.49039420724474564</v>
      </c>
      <c r="O1113" s="8">
        <v>0.30227587690422336</v>
      </c>
      <c r="P1113" s="8">
        <f t="shared" si="140"/>
        <v>0.40572374701215569</v>
      </c>
      <c r="Q1113" s="8">
        <f t="shared" si="141"/>
        <v>0.3963350420744845</v>
      </c>
      <c r="R1113" s="8">
        <f t="shared" si="142"/>
        <v>0.97685936549977215</v>
      </c>
      <c r="S1113" s="22">
        <f t="shared" si="143"/>
        <v>-3.3777216726636389E-2</v>
      </c>
      <c r="T1113" s="25"/>
      <c r="U1113" s="1" t="s">
        <v>3156</v>
      </c>
    </row>
    <row r="1114" spans="1:21">
      <c r="A1114" s="6" t="s">
        <v>3157</v>
      </c>
      <c r="B1114" s="6" t="s">
        <v>3158</v>
      </c>
      <c r="C1114" s="7">
        <v>0.97938171441157096</v>
      </c>
      <c r="D1114" s="7">
        <v>1.0276183541054467</v>
      </c>
      <c r="E1114" s="7">
        <v>0.97184711967639792</v>
      </c>
      <c r="F1114" s="8">
        <v>1.0974571570834264</v>
      </c>
      <c r="G1114" s="8">
        <f t="shared" si="136"/>
        <v>1.0035000342585088</v>
      </c>
      <c r="H1114" s="8">
        <f t="shared" si="137"/>
        <v>1.0346521383799121</v>
      </c>
      <c r="I1114" s="8">
        <f t="shared" si="138"/>
        <v>1.0310434509794728</v>
      </c>
      <c r="J1114" s="22">
        <f t="shared" si="139"/>
        <v>4.4105133085942223E-2</v>
      </c>
      <c r="K1114" s="8"/>
      <c r="L1114" s="8">
        <v>0.94115741991932556</v>
      </c>
      <c r="M1114" s="8">
        <v>0.91975150050455734</v>
      </c>
      <c r="N1114" s="8">
        <v>0.72344959759739125</v>
      </c>
      <c r="O1114" s="8">
        <v>0.85110834436050031</v>
      </c>
      <c r="P1114" s="8">
        <f t="shared" si="140"/>
        <v>0.93045446021194145</v>
      </c>
      <c r="Q1114" s="8">
        <f t="shared" si="141"/>
        <v>0.78727897097894584</v>
      </c>
      <c r="R1114" s="8">
        <f t="shared" si="142"/>
        <v>0.84612305560834999</v>
      </c>
      <c r="S1114" s="22">
        <f t="shared" si="143"/>
        <v>-0.24106059843851679</v>
      </c>
      <c r="T1114" s="25"/>
      <c r="U1114" s="1" t="s">
        <v>3159</v>
      </c>
    </row>
    <row r="1115" spans="1:21">
      <c r="A1115" s="6" t="s">
        <v>3160</v>
      </c>
      <c r="B1115" s="13" t="s">
        <v>3161</v>
      </c>
      <c r="C1115" s="14">
        <v>1.0032494774351068</v>
      </c>
      <c r="D1115" s="14">
        <v>0.99603738780272955</v>
      </c>
      <c r="E1115" s="14">
        <v>0.9657797700470826</v>
      </c>
      <c r="F1115" s="8">
        <v>1.045374167539513</v>
      </c>
      <c r="G1115" s="8">
        <f t="shared" si="136"/>
        <v>0.99964343261891819</v>
      </c>
      <c r="H1115" s="8">
        <f t="shared" si="137"/>
        <v>1.0055769687932978</v>
      </c>
      <c r="I1115" s="8">
        <f t="shared" si="138"/>
        <v>1.0059356526344945</v>
      </c>
      <c r="J1115" s="22">
        <f t="shared" si="139"/>
        <v>8.5380222465996931E-3</v>
      </c>
      <c r="K1115" s="8"/>
      <c r="L1115" s="8">
        <v>0.93807178594797658</v>
      </c>
      <c r="M1115" s="8">
        <v>1.0795793320146649</v>
      </c>
      <c r="N1115" s="8">
        <v>0.94513529113098582</v>
      </c>
      <c r="O1115" s="8">
        <v>0.98958053308476035</v>
      </c>
      <c r="P1115" s="8">
        <f t="shared" si="140"/>
        <v>1.0088255589813206</v>
      </c>
      <c r="Q1115" s="8">
        <f t="shared" si="141"/>
        <v>0.96735791210787303</v>
      </c>
      <c r="R1115" s="8">
        <f t="shared" si="142"/>
        <v>0.95889512661106613</v>
      </c>
      <c r="S1115" s="22">
        <f t="shared" si="143"/>
        <v>-6.0555057111751617E-2</v>
      </c>
      <c r="T1115" s="25"/>
      <c r="U1115" s="1" t="s">
        <v>3162</v>
      </c>
    </row>
    <row r="1116" spans="1:21">
      <c r="A1116" s="6" t="s">
        <v>3163</v>
      </c>
      <c r="B1116" s="6" t="s">
        <v>3164</v>
      </c>
      <c r="C1116" s="7">
        <v>0.9933470338818281</v>
      </c>
      <c r="D1116" s="7">
        <v>0.95404178053145361</v>
      </c>
      <c r="E1116" s="7">
        <v>0.97355780850468976</v>
      </c>
      <c r="F1116" s="8">
        <v>0.98597385597295562</v>
      </c>
      <c r="G1116" s="8">
        <f t="shared" si="136"/>
        <v>0.97369440720664091</v>
      </c>
      <c r="H1116" s="8">
        <f t="shared" si="137"/>
        <v>0.97976583223882274</v>
      </c>
      <c r="I1116" s="8">
        <f t="shared" si="138"/>
        <v>1.0062354523013024</v>
      </c>
      <c r="J1116" s="22">
        <f t="shared" si="139"/>
        <v>8.9679255432959862E-3</v>
      </c>
      <c r="K1116" s="8"/>
      <c r="L1116" s="8">
        <v>0.76570592878894672</v>
      </c>
      <c r="M1116" s="8">
        <v>0.98302354926732161</v>
      </c>
      <c r="N1116" s="8">
        <v>0.82905209027474935</v>
      </c>
      <c r="O1116" s="8">
        <v>0.8319845641390009</v>
      </c>
      <c r="P1116" s="8">
        <f t="shared" si="140"/>
        <v>0.87436473902813416</v>
      </c>
      <c r="Q1116" s="8">
        <f t="shared" si="141"/>
        <v>0.83051832720687513</v>
      </c>
      <c r="R1116" s="8">
        <f t="shared" si="142"/>
        <v>0.94985340800682927</v>
      </c>
      <c r="S1116" s="22">
        <f t="shared" si="143"/>
        <v>-7.4223217086200471E-2</v>
      </c>
      <c r="T1116" s="25"/>
      <c r="U1116" s="1" t="s">
        <v>3165</v>
      </c>
    </row>
    <row r="1117" spans="1:21">
      <c r="A1117" s="6" t="s">
        <v>3166</v>
      </c>
      <c r="B1117" s="6" t="s">
        <v>3167</v>
      </c>
      <c r="C1117" s="7">
        <v>0.92208993841829456</v>
      </c>
      <c r="D1117" s="7">
        <v>0.84866179201269643</v>
      </c>
      <c r="E1117" s="7">
        <v>1.0410340907458637</v>
      </c>
      <c r="F1117" s="8">
        <v>1.0778378195587544</v>
      </c>
      <c r="G1117" s="8">
        <f t="shared" si="136"/>
        <v>0.88537586521549549</v>
      </c>
      <c r="H1117" s="8">
        <f t="shared" si="137"/>
        <v>1.0594359551523089</v>
      </c>
      <c r="I1117" s="8">
        <f t="shared" si="138"/>
        <v>1.1965945727405256</v>
      </c>
      <c r="J1117" s="22">
        <f t="shared" si="139"/>
        <v>0.25893442465064598</v>
      </c>
      <c r="K1117" s="8"/>
      <c r="L1117" s="8">
        <v>0.36371422204053616</v>
      </c>
      <c r="M1117" s="8">
        <v>0.38041495463810404</v>
      </c>
      <c r="N1117" s="8">
        <v>0.40308616500462591</v>
      </c>
      <c r="O1117" s="8">
        <v>0.55378863039326243</v>
      </c>
      <c r="P1117" s="8">
        <f t="shared" si="140"/>
        <v>0.3720645883393201</v>
      </c>
      <c r="Q1117" s="8">
        <f t="shared" si="141"/>
        <v>0.47843739769894417</v>
      </c>
      <c r="R1117" s="8">
        <f t="shared" si="142"/>
        <v>1.2858987732060458</v>
      </c>
      <c r="S1117" s="22">
        <f t="shared" si="143"/>
        <v>0.36277707723689423</v>
      </c>
      <c r="T1117" s="25"/>
      <c r="U1117" s="1" t="s">
        <v>3168</v>
      </c>
    </row>
    <row r="1118" spans="1:21">
      <c r="A1118" s="6" t="s">
        <v>3169</v>
      </c>
      <c r="B1118" s="6" t="s">
        <v>3170</v>
      </c>
      <c r="C1118" s="7">
        <v>1.0708552101372402</v>
      </c>
      <c r="D1118" s="7">
        <v>0.99144685673503463</v>
      </c>
      <c r="E1118" s="7">
        <v>1.0786292756031366</v>
      </c>
      <c r="F1118" s="8">
        <v>1.0569407364626155</v>
      </c>
      <c r="G1118" s="8">
        <f t="shared" si="136"/>
        <v>1.0311510334361373</v>
      </c>
      <c r="H1118" s="8">
        <f t="shared" si="137"/>
        <v>1.0677850060328762</v>
      </c>
      <c r="I1118" s="8">
        <f t="shared" si="138"/>
        <v>1.0355272616802431</v>
      </c>
      <c r="J1118" s="22">
        <f t="shared" si="139"/>
        <v>5.0365534990753628E-2</v>
      </c>
      <c r="K1118" s="8"/>
      <c r="L1118" s="8">
        <v>1.1131717491575688</v>
      </c>
      <c r="M1118" s="8">
        <v>0.99241549400554441</v>
      </c>
      <c r="N1118" s="8">
        <v>1.3049885348977388</v>
      </c>
      <c r="O1118" s="8">
        <v>0.91303534994687396</v>
      </c>
      <c r="P1118" s="8">
        <f t="shared" si="140"/>
        <v>1.0527936215815565</v>
      </c>
      <c r="Q1118" s="8">
        <f t="shared" si="141"/>
        <v>1.1090119424223064</v>
      </c>
      <c r="R1118" s="8">
        <f t="shared" si="142"/>
        <v>1.0533991845014183</v>
      </c>
      <c r="S1118" s="22">
        <f t="shared" si="143"/>
        <v>7.505224772942197E-2</v>
      </c>
      <c r="T1118" s="25"/>
      <c r="U1118" s="1" t="s">
        <v>3171</v>
      </c>
    </row>
    <row r="1119" spans="1:21">
      <c r="A1119" s="6" t="s">
        <v>3172</v>
      </c>
      <c r="B1119" s="9" t="s">
        <v>3173</v>
      </c>
      <c r="C1119" s="10">
        <v>1.0081680394374939</v>
      </c>
      <c r="D1119" s="10">
        <v>0.9314800955335466</v>
      </c>
      <c r="E1119" s="10">
        <v>1.0306660374267305</v>
      </c>
      <c r="F1119" s="8">
        <v>0.97944398180249481</v>
      </c>
      <c r="G1119" s="8">
        <f t="shared" si="136"/>
        <v>0.9698240674855203</v>
      </c>
      <c r="H1119" s="8">
        <f t="shared" si="137"/>
        <v>1.0050550096146127</v>
      </c>
      <c r="I1119" s="8">
        <f t="shared" si="138"/>
        <v>1.036327147686112</v>
      </c>
      <c r="J1119" s="22">
        <f t="shared" si="139"/>
        <v>5.1479504800660651E-2</v>
      </c>
      <c r="K1119" s="8"/>
      <c r="L1119" s="8">
        <v>1.2196456504980437</v>
      </c>
      <c r="M1119" s="8">
        <v>0.94273704946915537</v>
      </c>
      <c r="N1119" s="8">
        <v>0.91748306553403469</v>
      </c>
      <c r="O1119" s="8">
        <v>0.84134620524219561</v>
      </c>
      <c r="P1119" s="8">
        <f t="shared" si="140"/>
        <v>1.0811913499835994</v>
      </c>
      <c r="Q1119" s="8">
        <f t="shared" si="141"/>
        <v>0.87941463538811515</v>
      </c>
      <c r="R1119" s="8">
        <f t="shared" si="142"/>
        <v>0.81337557445447095</v>
      </c>
      <c r="S1119" s="22">
        <f t="shared" si="143"/>
        <v>-0.29800642735078531</v>
      </c>
      <c r="T1119" s="25"/>
      <c r="U1119" s="1" t="s">
        <v>3174</v>
      </c>
    </row>
    <row r="1120" spans="1:21">
      <c r="A1120" s="6" t="s">
        <v>3175</v>
      </c>
      <c r="B1120" s="6" t="s">
        <v>3176</v>
      </c>
      <c r="C1120" s="7">
        <v>0.96610225020061091</v>
      </c>
      <c r="D1120" s="7">
        <v>1.085030326357366</v>
      </c>
      <c r="E1120" s="7">
        <v>1.1579924470390297</v>
      </c>
      <c r="F1120" s="8">
        <v>0.98318807347702519</v>
      </c>
      <c r="G1120" s="8">
        <f t="shared" si="136"/>
        <v>1.0255662882789884</v>
      </c>
      <c r="H1120" s="8">
        <f t="shared" si="137"/>
        <v>1.0705902602580275</v>
      </c>
      <c r="I1120" s="8">
        <f t="shared" si="138"/>
        <v>1.0439015717400326</v>
      </c>
      <c r="J1120" s="22">
        <f t="shared" si="139"/>
        <v>6.1985688290050828E-2</v>
      </c>
      <c r="K1120" s="8"/>
      <c r="L1120" s="8">
        <v>0.50678608580068263</v>
      </c>
      <c r="M1120" s="8">
        <v>0.67667314129292211</v>
      </c>
      <c r="N1120" s="8">
        <v>0.70880467947244086</v>
      </c>
      <c r="O1120" s="8">
        <v>0.69421324694118336</v>
      </c>
      <c r="P1120" s="8">
        <f t="shared" si="140"/>
        <v>0.59172961354680242</v>
      </c>
      <c r="Q1120" s="8">
        <f t="shared" si="141"/>
        <v>0.70150896320681211</v>
      </c>
      <c r="R1120" s="8">
        <f t="shared" si="142"/>
        <v>1.1855228252005117</v>
      </c>
      <c r="S1120" s="22">
        <f t="shared" si="143"/>
        <v>0.24552343969599011</v>
      </c>
      <c r="T1120" s="25"/>
      <c r="U1120" s="1" t="s">
        <v>3177</v>
      </c>
    </row>
    <row r="1121" spans="1:21">
      <c r="A1121" s="6" t="s">
        <v>3178</v>
      </c>
      <c r="B1121" s="6" t="s">
        <v>3179</v>
      </c>
      <c r="C1121" s="7">
        <v>1.1060036591874989</v>
      </c>
      <c r="D1121" s="7">
        <v>1.0564153419486073</v>
      </c>
      <c r="E1121" s="7">
        <v>1.1829653063828784</v>
      </c>
      <c r="F1121" s="8">
        <v>1.0520229017631333</v>
      </c>
      <c r="G1121" s="8">
        <f t="shared" si="136"/>
        <v>1.0812095005680531</v>
      </c>
      <c r="H1121" s="8">
        <f t="shared" si="137"/>
        <v>1.117494104073006</v>
      </c>
      <c r="I1121" s="8">
        <f t="shared" si="138"/>
        <v>1.0335592718024484</v>
      </c>
      <c r="J1121" s="22">
        <f t="shared" si="139"/>
        <v>4.7621125757550092E-2</v>
      </c>
      <c r="K1121" s="8"/>
      <c r="L1121" s="8">
        <v>0.91463659122886987</v>
      </c>
      <c r="M1121" s="8">
        <v>1.332132021444683</v>
      </c>
      <c r="N1121" s="8">
        <v>0.87364188891078054</v>
      </c>
      <c r="O1121" s="8">
        <v>0.86327347156946455</v>
      </c>
      <c r="P1121" s="8">
        <f t="shared" si="140"/>
        <v>1.1233843063367766</v>
      </c>
      <c r="Q1121" s="8">
        <f t="shared" si="141"/>
        <v>0.86845768024012249</v>
      </c>
      <c r="R1121" s="8">
        <f t="shared" si="142"/>
        <v>0.77307264783861929</v>
      </c>
      <c r="S1121" s="22">
        <f t="shared" si="143"/>
        <v>-0.37132410020455126</v>
      </c>
      <c r="T1121" s="25"/>
      <c r="U1121" s="1" t="s">
        <v>3180</v>
      </c>
    </row>
    <row r="1122" spans="1:21">
      <c r="A1122" s="6" t="s">
        <v>3181</v>
      </c>
      <c r="B1122" s="6" t="s">
        <v>3182</v>
      </c>
      <c r="C1122" s="7">
        <v>1.0398610843718659</v>
      </c>
      <c r="D1122" s="7">
        <v>0.99195916269853657</v>
      </c>
      <c r="E1122" s="7">
        <v>1.0813551863061623</v>
      </c>
      <c r="F1122" s="8">
        <v>1.058337342087242</v>
      </c>
      <c r="G1122" s="8">
        <f t="shared" si="136"/>
        <v>1.0159101235352013</v>
      </c>
      <c r="H1122" s="8">
        <f t="shared" si="137"/>
        <v>1.0698462641967021</v>
      </c>
      <c r="I1122" s="8">
        <f t="shared" si="138"/>
        <v>1.0530914491469108</v>
      </c>
      <c r="J1122" s="22">
        <f t="shared" si="139"/>
        <v>7.4630723640094557E-2</v>
      </c>
      <c r="K1122" s="8"/>
      <c r="L1122" s="8">
        <v>0.84054231725862749</v>
      </c>
      <c r="M1122" s="8">
        <v>0.94351971153067393</v>
      </c>
      <c r="N1122" s="8">
        <v>0.92412708589743076</v>
      </c>
      <c r="O1122" s="8">
        <v>1.05325971748724</v>
      </c>
      <c r="P1122" s="8">
        <f t="shared" si="140"/>
        <v>0.89203101439465071</v>
      </c>
      <c r="Q1122" s="8">
        <f t="shared" si="141"/>
        <v>0.98869340169233544</v>
      </c>
      <c r="R1122" s="8">
        <f t="shared" si="142"/>
        <v>1.108362137344834</v>
      </c>
      <c r="S1122" s="22">
        <f t="shared" si="143"/>
        <v>0.14842933300356678</v>
      </c>
      <c r="T1122" s="25"/>
      <c r="U1122" s="1" t="s">
        <v>3183</v>
      </c>
    </row>
    <row r="1123" spans="1:21">
      <c r="A1123" s="6" t="s">
        <v>3184</v>
      </c>
      <c r="B1123" s="6" t="s">
        <v>3185</v>
      </c>
      <c r="C1123" s="7">
        <v>1.0366538945402961</v>
      </c>
      <c r="D1123" s="7">
        <v>0.97723710711579714</v>
      </c>
      <c r="E1123" s="7">
        <v>1.2372197226334232</v>
      </c>
      <c r="F1123" s="8">
        <v>1.0652386539238268</v>
      </c>
      <c r="G1123" s="8">
        <f t="shared" si="136"/>
        <v>1.0069455008280466</v>
      </c>
      <c r="H1123" s="8">
        <f t="shared" si="137"/>
        <v>1.151229188278625</v>
      </c>
      <c r="I1123" s="8">
        <f t="shared" si="138"/>
        <v>1.1432884772134428</v>
      </c>
      <c r="J1123" s="22">
        <f t="shared" si="139"/>
        <v>0.19318947366130354</v>
      </c>
      <c r="K1123" s="8"/>
      <c r="L1123" s="8">
        <v>0.97267775681652413</v>
      </c>
      <c r="M1123" s="8">
        <v>1.0149067300891834</v>
      </c>
      <c r="N1123" s="8">
        <v>1.1872209345127542</v>
      </c>
      <c r="O1123" s="8">
        <v>0.75799255584744052</v>
      </c>
      <c r="P1123" s="8">
        <f t="shared" si="140"/>
        <v>0.99379224345285377</v>
      </c>
      <c r="Q1123" s="8">
        <f t="shared" si="141"/>
        <v>0.97260674518009738</v>
      </c>
      <c r="R1123" s="8">
        <f t="shared" si="142"/>
        <v>0.97868216580243272</v>
      </c>
      <c r="S1123" s="22">
        <f t="shared" si="143"/>
        <v>-3.1087684771725389E-2</v>
      </c>
      <c r="T1123" s="25"/>
      <c r="U1123" s="1" t="s">
        <v>3186</v>
      </c>
    </row>
    <row r="1124" spans="1:21">
      <c r="A1124" s="6" t="s">
        <v>3187</v>
      </c>
      <c r="B1124" s="6" t="s">
        <v>3188</v>
      </c>
      <c r="C1124" s="7">
        <v>1.1052786121990992</v>
      </c>
      <c r="D1124" s="7">
        <v>0.95213411490420297</v>
      </c>
      <c r="E1124" s="7">
        <v>1.0175880611506305</v>
      </c>
      <c r="F1124" s="8">
        <v>1.0203021250761399</v>
      </c>
      <c r="G1124" s="8">
        <f t="shared" si="136"/>
        <v>1.0287063635516511</v>
      </c>
      <c r="H1124" s="8">
        <f t="shared" si="137"/>
        <v>1.0189450931133852</v>
      </c>
      <c r="I1124" s="8">
        <f t="shared" si="138"/>
        <v>0.990511120778368</v>
      </c>
      <c r="J1124" s="22">
        <f t="shared" si="139"/>
        <v>-1.3754922092906411E-2</v>
      </c>
      <c r="K1124" s="8"/>
      <c r="L1124" s="8">
        <v>0.85171309340806833</v>
      </c>
      <c r="M1124" s="8">
        <v>0.86945516486696939</v>
      </c>
      <c r="N1124" s="8">
        <v>0.78305862536476134</v>
      </c>
      <c r="O1124" s="8">
        <v>0.79824260636598887</v>
      </c>
      <c r="P1124" s="8">
        <f t="shared" si="140"/>
        <v>0.86058412913751892</v>
      </c>
      <c r="Q1124" s="8">
        <f t="shared" si="141"/>
        <v>0.79065061586537511</v>
      </c>
      <c r="R1124" s="8">
        <f t="shared" si="142"/>
        <v>0.91873715665401423</v>
      </c>
      <c r="S1124" s="22">
        <f t="shared" si="143"/>
        <v>-0.12227591784536353</v>
      </c>
      <c r="T1124" s="25"/>
      <c r="U1124" s="1" t="s">
        <v>3189</v>
      </c>
    </row>
    <row r="1125" spans="1:21">
      <c r="A1125" s="6" t="s">
        <v>3190</v>
      </c>
      <c r="B1125" s="6" t="s">
        <v>3191</v>
      </c>
      <c r="C1125" s="7">
        <v>1.0137724566991779</v>
      </c>
      <c r="D1125" s="7">
        <v>1.0114941979910177</v>
      </c>
      <c r="E1125" s="7">
        <v>0.97021636957840018</v>
      </c>
      <c r="F1125" s="8">
        <v>0.97910225914966076</v>
      </c>
      <c r="G1125" s="8">
        <f t="shared" si="136"/>
        <v>1.0126333273450978</v>
      </c>
      <c r="H1125" s="8">
        <f t="shared" si="137"/>
        <v>0.97465931436403053</v>
      </c>
      <c r="I1125" s="8">
        <f t="shared" si="138"/>
        <v>0.96249974007805295</v>
      </c>
      <c r="J1125" s="22">
        <f t="shared" si="139"/>
        <v>-5.5141943790543754E-2</v>
      </c>
      <c r="K1125" s="8"/>
      <c r="L1125" s="8">
        <v>0.70559465433443791</v>
      </c>
      <c r="M1125" s="8">
        <v>0.79971585591165695</v>
      </c>
      <c r="N1125" s="8">
        <v>1.4419395743601346</v>
      </c>
      <c r="O1125" s="8">
        <v>0.71634076227600729</v>
      </c>
      <c r="P1125" s="8">
        <f t="shared" si="140"/>
        <v>0.75265525512304743</v>
      </c>
      <c r="Q1125" s="8">
        <f t="shared" si="141"/>
        <v>1.079140168318071</v>
      </c>
      <c r="R1125" s="8">
        <f t="shared" si="142"/>
        <v>1.4337774976960047</v>
      </c>
      <c r="S1125" s="22">
        <f t="shared" si="143"/>
        <v>0.51982115522749706</v>
      </c>
      <c r="T1125" s="25"/>
      <c r="U1125" s="1" t="s">
        <v>3192</v>
      </c>
    </row>
    <row r="1126" spans="1:21">
      <c r="A1126" s="6" t="s">
        <v>3193</v>
      </c>
      <c r="B1126" s="6" t="s">
        <v>3194</v>
      </c>
      <c r="C1126" s="7">
        <v>0.56667321109573643</v>
      </c>
      <c r="D1126" s="7">
        <v>0.51991640340710155</v>
      </c>
      <c r="E1126" s="7">
        <v>1.2871654413211207</v>
      </c>
      <c r="F1126" s="8">
        <v>1.4377832042929217</v>
      </c>
      <c r="G1126" s="8">
        <f t="shared" si="136"/>
        <v>0.54329480725141899</v>
      </c>
      <c r="H1126" s="8">
        <f t="shared" si="137"/>
        <v>1.3624743228070213</v>
      </c>
      <c r="I1126" s="8">
        <f t="shared" si="138"/>
        <v>2.507799273289415</v>
      </c>
      <c r="J1126" s="22">
        <f t="shared" si="139"/>
        <v>1.3264218780366599</v>
      </c>
      <c r="K1126" s="8"/>
      <c r="L1126" s="8">
        <v>0.31086785794895055</v>
      </c>
      <c r="M1126" s="8">
        <v>0.36962245673716382</v>
      </c>
      <c r="N1126" s="8">
        <v>0.48491990877631369</v>
      </c>
      <c r="O1126" s="8">
        <v>0.47839487904881717</v>
      </c>
      <c r="P1126" s="8">
        <f t="shared" si="140"/>
        <v>0.34024515734305716</v>
      </c>
      <c r="Q1126" s="8">
        <f t="shared" si="141"/>
        <v>0.48165739391256546</v>
      </c>
      <c r="R1126" s="8">
        <f t="shared" si="142"/>
        <v>1.4156186605969159</v>
      </c>
      <c r="S1126" s="22">
        <f t="shared" si="143"/>
        <v>0.50143268451719858</v>
      </c>
      <c r="T1126" s="25"/>
      <c r="U1126" s="1" t="s">
        <v>3195</v>
      </c>
    </row>
    <row r="1127" spans="1:21">
      <c r="A1127" s="6" t="s">
        <v>3196</v>
      </c>
      <c r="B1127" s="6" t="s">
        <v>3197</v>
      </c>
      <c r="C1127" s="7">
        <v>1.0247788006221823</v>
      </c>
      <c r="D1127" s="7">
        <v>0.95809978303182408</v>
      </c>
      <c r="E1127" s="7">
        <v>1.0171563920070428</v>
      </c>
      <c r="F1127" s="8">
        <v>0.98377494498950124</v>
      </c>
      <c r="G1127" s="8">
        <f t="shared" si="136"/>
        <v>0.99143929182700319</v>
      </c>
      <c r="H1127" s="8">
        <f t="shared" si="137"/>
        <v>1.000465668498272</v>
      </c>
      <c r="I1127" s="8">
        <f t="shared" si="138"/>
        <v>1.0091043160642093</v>
      </c>
      <c r="J1127" s="22">
        <f t="shared" si="139"/>
        <v>1.3075320618187785E-2</v>
      </c>
      <c r="K1127" s="8"/>
      <c r="L1127" s="8">
        <v>0.86014976350694672</v>
      </c>
      <c r="M1127" s="8">
        <v>1.0951913805049565</v>
      </c>
      <c r="N1127" s="8">
        <v>1.0829285303577558</v>
      </c>
      <c r="O1127" s="8">
        <v>0.88014445045597056</v>
      </c>
      <c r="P1127" s="8">
        <f t="shared" si="140"/>
        <v>0.97767057200595153</v>
      </c>
      <c r="Q1127" s="8">
        <f t="shared" si="141"/>
        <v>0.98153649040686319</v>
      </c>
      <c r="R1127" s="8">
        <f t="shared" si="142"/>
        <v>1.0039542137317068</v>
      </c>
      <c r="S1127" s="22">
        <f t="shared" si="143"/>
        <v>5.6934753360468431E-3</v>
      </c>
      <c r="T1127" s="25"/>
      <c r="U1127" s="1" t="s">
        <v>3198</v>
      </c>
    </row>
    <row r="1128" spans="1:21">
      <c r="A1128" s="6" t="s">
        <v>3199</v>
      </c>
      <c r="B1128" s="13" t="s">
        <v>3200</v>
      </c>
      <c r="C1128" s="14">
        <v>0.88649731643820529</v>
      </c>
      <c r="D1128" s="14">
        <v>1.0043219145019908</v>
      </c>
      <c r="E1128" s="14">
        <v>1.0055732699874409</v>
      </c>
      <c r="F1128" s="8">
        <v>1.0490736866941084</v>
      </c>
      <c r="G1128" s="8">
        <f t="shared" si="136"/>
        <v>0.94540961547009805</v>
      </c>
      <c r="H1128" s="8">
        <f t="shared" si="137"/>
        <v>1.0273234783407745</v>
      </c>
      <c r="I1128" s="8">
        <f t="shared" si="138"/>
        <v>1.0866437801459692</v>
      </c>
      <c r="J1128" s="22">
        <f t="shared" si="139"/>
        <v>0.11987907850425729</v>
      </c>
      <c r="K1128" s="8"/>
      <c r="L1128" s="8">
        <v>0.89245127356144882</v>
      </c>
      <c r="M1128" s="8">
        <v>0.98553630641219703</v>
      </c>
      <c r="N1128" s="8">
        <v>1.0385726761007175</v>
      </c>
      <c r="O1128" s="8">
        <v>0.82497584887457709</v>
      </c>
      <c r="P1128" s="8">
        <f t="shared" si="140"/>
        <v>0.93899378998682292</v>
      </c>
      <c r="Q1128" s="8">
        <f t="shared" si="141"/>
        <v>0.93177426248764728</v>
      </c>
      <c r="R1128" s="8">
        <f t="shared" si="142"/>
        <v>0.99231142146395135</v>
      </c>
      <c r="S1128" s="22">
        <f t="shared" si="143"/>
        <v>-1.1135135874446823E-2</v>
      </c>
      <c r="T1128" s="25"/>
      <c r="U1128" s="1" t="s">
        <v>3201</v>
      </c>
    </row>
    <row r="1129" spans="1:21">
      <c r="A1129" s="6" t="s">
        <v>3202</v>
      </c>
      <c r="B1129" s="6" t="s">
        <v>3203</v>
      </c>
      <c r="C1129" s="7">
        <v>0.96759153590651303</v>
      </c>
      <c r="D1129" s="7">
        <v>0.90738149264513379</v>
      </c>
      <c r="E1129" s="7">
        <v>1.0200581679167153</v>
      </c>
      <c r="F1129" s="8">
        <v>0.98462182286826405</v>
      </c>
      <c r="G1129" s="8">
        <f t="shared" si="136"/>
        <v>0.93748651427582341</v>
      </c>
      <c r="H1129" s="8">
        <f t="shared" si="137"/>
        <v>1.0023399953924896</v>
      </c>
      <c r="I1129" s="8">
        <f t="shared" si="138"/>
        <v>1.0691780416348318</v>
      </c>
      <c r="J1129" s="22">
        <f t="shared" si="139"/>
        <v>9.6502113485024354E-2</v>
      </c>
      <c r="K1129" s="8"/>
      <c r="L1129" s="8">
        <v>0.5800210692978911</v>
      </c>
      <c r="M1129" s="8">
        <v>0.68404664176722862</v>
      </c>
      <c r="N1129" s="8">
        <v>0.69401939472009466</v>
      </c>
      <c r="O1129" s="8">
        <v>0.53221179982921474</v>
      </c>
      <c r="P1129" s="8">
        <f t="shared" si="140"/>
        <v>0.63203385553255986</v>
      </c>
      <c r="Q1129" s="8">
        <f t="shared" si="141"/>
        <v>0.6131155972746547</v>
      </c>
      <c r="R1129" s="8">
        <f t="shared" si="142"/>
        <v>0.97006765050273391</v>
      </c>
      <c r="S1129" s="22">
        <f t="shared" si="143"/>
        <v>-4.3842733524141933E-2</v>
      </c>
      <c r="T1129" s="25"/>
      <c r="U1129" s="1" t="s">
        <v>3204</v>
      </c>
    </row>
    <row r="1130" spans="1:21">
      <c r="A1130" s="6" t="s">
        <v>3205</v>
      </c>
      <c r="B1130" s="6" t="s">
        <v>3206</v>
      </c>
      <c r="C1130" s="7">
        <v>0.89805234456864713</v>
      </c>
      <c r="D1130" s="7">
        <v>0.85217378420986101</v>
      </c>
      <c r="E1130" s="7">
        <v>0.8800534756797862</v>
      </c>
      <c r="F1130" s="8">
        <v>0.85296945648725742</v>
      </c>
      <c r="G1130" s="8">
        <f t="shared" si="136"/>
        <v>0.87511306438925407</v>
      </c>
      <c r="H1130" s="8">
        <f t="shared" si="137"/>
        <v>0.86651146608352181</v>
      </c>
      <c r="I1130" s="8">
        <f t="shared" si="138"/>
        <v>0.99017087202127951</v>
      </c>
      <c r="J1130" s="22">
        <f t="shared" si="139"/>
        <v>-1.4250584901103976E-2</v>
      </c>
      <c r="K1130" s="8"/>
      <c r="L1130" s="8">
        <v>0.82226286537772419</v>
      </c>
      <c r="M1130" s="8">
        <v>1.2778399900193422</v>
      </c>
      <c r="N1130" s="8">
        <v>0.90068585912235033</v>
      </c>
      <c r="O1130" s="8">
        <v>0.89726574060192033</v>
      </c>
      <c r="P1130" s="8">
        <f t="shared" si="140"/>
        <v>1.0500514276985333</v>
      </c>
      <c r="Q1130" s="8">
        <f t="shared" si="141"/>
        <v>0.89897579986213527</v>
      </c>
      <c r="R1130" s="8">
        <f t="shared" si="142"/>
        <v>0.85612549647447223</v>
      </c>
      <c r="S1130" s="22">
        <f t="shared" si="143"/>
        <v>-0.22410580308483624</v>
      </c>
      <c r="T1130" s="25"/>
      <c r="U1130" s="1" t="s">
        <v>3207</v>
      </c>
    </row>
    <row r="1131" spans="1:21">
      <c r="A1131" s="6" t="s">
        <v>3208</v>
      </c>
      <c r="B1131" s="6" t="s">
        <v>80</v>
      </c>
      <c r="C1131" s="7">
        <v>0.93810629171159221</v>
      </c>
      <c r="D1131" s="7">
        <v>0.98495540090803002</v>
      </c>
      <c r="E1131" s="7">
        <v>1.0146623036218698</v>
      </c>
      <c r="F1131" s="8">
        <v>1.0032234211877562</v>
      </c>
      <c r="G1131" s="8">
        <f t="shared" si="136"/>
        <v>0.96153084630981112</v>
      </c>
      <c r="H1131" s="8">
        <f t="shared" si="137"/>
        <v>1.0089428624048131</v>
      </c>
      <c r="I1131" s="8">
        <f t="shared" si="138"/>
        <v>1.0493088872571912</v>
      </c>
      <c r="J1131" s="22">
        <f t="shared" si="139"/>
        <v>6.9439429599804994E-2</v>
      </c>
      <c r="K1131" s="8"/>
      <c r="L1131" s="8">
        <v>1.0125957051547358</v>
      </c>
      <c r="M1131" s="8">
        <v>0.95011054994346189</v>
      </c>
      <c r="N1131" s="8">
        <v>1.0926138276480584</v>
      </c>
      <c r="O1131" s="8">
        <v>1.0292298365806438</v>
      </c>
      <c r="P1131" s="8">
        <f t="shared" si="140"/>
        <v>0.98135312754909887</v>
      </c>
      <c r="Q1131" s="8">
        <f t="shared" si="141"/>
        <v>1.0609218321143512</v>
      </c>
      <c r="R1131" s="8">
        <f t="shared" si="142"/>
        <v>1.081080604250962</v>
      </c>
      <c r="S1131" s="22">
        <f t="shared" si="143"/>
        <v>0.11247409293185767</v>
      </c>
      <c r="T1131" s="25"/>
      <c r="U1131" s="1">
        <v>0</v>
      </c>
    </row>
    <row r="1132" spans="1:21">
      <c r="A1132" s="6" t="s">
        <v>3209</v>
      </c>
      <c r="B1132" s="6" t="s">
        <v>80</v>
      </c>
      <c r="C1132" s="7">
        <v>1.0029163477377339</v>
      </c>
      <c r="D1132" s="7">
        <v>1.0618012954333182</v>
      </c>
      <c r="E1132" s="7">
        <v>1.1733566710015386</v>
      </c>
      <c r="F1132" s="8">
        <v>1.0072572342418633</v>
      </c>
      <c r="G1132" s="8">
        <f t="shared" si="136"/>
        <v>1.0323588215855262</v>
      </c>
      <c r="H1132" s="8">
        <f t="shared" si="137"/>
        <v>1.0903069526217011</v>
      </c>
      <c r="I1132" s="8">
        <f t="shared" si="138"/>
        <v>1.0561317730081257</v>
      </c>
      <c r="J1132" s="22">
        <f t="shared" si="139"/>
        <v>7.8789850231402656E-2</v>
      </c>
      <c r="K1132" s="8"/>
      <c r="L1132" s="8">
        <v>1.0107990068929378</v>
      </c>
      <c r="M1132" s="8">
        <v>1.3392171727384301</v>
      </c>
      <c r="N1132" s="8">
        <v>1.3573452869163316</v>
      </c>
      <c r="O1132" s="8">
        <v>1.2351859408509278</v>
      </c>
      <c r="P1132" s="8">
        <f t="shared" si="140"/>
        <v>1.1750080898156838</v>
      </c>
      <c r="Q1132" s="8">
        <f t="shared" si="141"/>
        <v>1.2962656138836297</v>
      </c>
      <c r="R1132" s="8">
        <f t="shared" si="142"/>
        <v>1.1031971823163931</v>
      </c>
      <c r="S1132" s="22">
        <f t="shared" si="143"/>
        <v>0.14169067717178463</v>
      </c>
      <c r="T1132" s="25"/>
      <c r="U1132" s="1">
        <v>0</v>
      </c>
    </row>
    <row r="1133" spans="1:21">
      <c r="A1133" s="6" t="s">
        <v>3210</v>
      </c>
      <c r="B1133" s="11" t="s">
        <v>3211</v>
      </c>
      <c r="C1133" s="12">
        <v>1.0089322781549963</v>
      </c>
      <c r="D1133" s="12">
        <v>0.9922894652276365</v>
      </c>
      <c r="E1133" s="12">
        <v>1.051945727430996</v>
      </c>
      <c r="F1133" s="8">
        <v>1.0654318015102113</v>
      </c>
      <c r="G1133" s="8">
        <f t="shared" si="136"/>
        <v>1.0006108716913165</v>
      </c>
      <c r="H1133" s="8">
        <f t="shared" si="137"/>
        <v>1.0586887644706038</v>
      </c>
      <c r="I1133" s="8">
        <f t="shared" si="138"/>
        <v>1.0580424362980578</v>
      </c>
      <c r="J1133" s="22">
        <f t="shared" si="139"/>
        <v>8.1397492677814834E-2</v>
      </c>
      <c r="K1133" s="8"/>
      <c r="L1133" s="8">
        <v>1.1642995323030867</v>
      </c>
      <c r="M1133" s="8">
        <v>1.3174262132361498</v>
      </c>
      <c r="N1133" s="8">
        <v>1.1896071671784809</v>
      </c>
      <c r="O1133" s="8">
        <v>1.2895535464021015</v>
      </c>
      <c r="P1133" s="8">
        <f t="shared" si="140"/>
        <v>1.2408628727696183</v>
      </c>
      <c r="Q1133" s="8">
        <f t="shared" si="141"/>
        <v>1.2395803567902912</v>
      </c>
      <c r="R1133" s="8">
        <f t="shared" si="142"/>
        <v>0.99896643214373526</v>
      </c>
      <c r="S1133" s="22">
        <f t="shared" si="143"/>
        <v>-1.4918943405529579E-3</v>
      </c>
      <c r="T1133" s="25"/>
      <c r="U1133" s="1" t="s">
        <v>3212</v>
      </c>
    </row>
    <row r="1134" spans="1:21">
      <c r="A1134" s="6" t="s">
        <v>3213</v>
      </c>
      <c r="B1134" s="6" t="s">
        <v>3214</v>
      </c>
      <c r="C1134" s="7">
        <v>0.98893143240292547</v>
      </c>
      <c r="D1134" s="7">
        <v>1.0876862283260469</v>
      </c>
      <c r="E1134" s="7">
        <v>1.1458497539073698</v>
      </c>
      <c r="F1134" s="8">
        <v>1.0595779438920965</v>
      </c>
      <c r="G1134" s="8">
        <f t="shared" si="136"/>
        <v>1.0383088303644863</v>
      </c>
      <c r="H1134" s="8">
        <f t="shared" si="137"/>
        <v>1.1027138488997332</v>
      </c>
      <c r="I1134" s="8">
        <f t="shared" si="138"/>
        <v>1.0620287689479038</v>
      </c>
      <c r="J1134" s="22">
        <f t="shared" si="139"/>
        <v>8.6822847362699435E-2</v>
      </c>
      <c r="K1134" s="8"/>
      <c r="L1134" s="8">
        <v>1.0743474432395821</v>
      </c>
      <c r="M1134" s="8">
        <v>0.99266265044602398</v>
      </c>
      <c r="N1134" s="8">
        <v>0.9347481607037047</v>
      </c>
      <c r="O1134" s="8">
        <v>1.1978895631938151</v>
      </c>
      <c r="P1134" s="8">
        <f t="shared" si="140"/>
        <v>1.0335050468428031</v>
      </c>
      <c r="Q1134" s="8">
        <f t="shared" si="141"/>
        <v>1.0663188619487598</v>
      </c>
      <c r="R1134" s="8">
        <f t="shared" si="142"/>
        <v>1.0317500289003889</v>
      </c>
      <c r="S1134" s="22">
        <f t="shared" si="143"/>
        <v>4.509347875633328E-2</v>
      </c>
      <c r="T1134" s="25"/>
      <c r="U1134" s="1" t="s">
        <v>3215</v>
      </c>
    </row>
    <row r="1135" spans="1:21">
      <c r="A1135" s="6" t="s">
        <v>3216</v>
      </c>
      <c r="B1135" s="13" t="s">
        <v>3217</v>
      </c>
      <c r="C1135" s="14">
        <v>0.10099055394277129</v>
      </c>
      <c r="D1135" s="14">
        <v>9.3064422790888557E-2</v>
      </c>
      <c r="E1135" s="14">
        <v>0.11089900053688016</v>
      </c>
      <c r="F1135" s="8">
        <v>0.10084532635267827</v>
      </c>
      <c r="G1135" s="8">
        <f t="shared" si="136"/>
        <v>9.7027488366829923E-2</v>
      </c>
      <c r="H1135" s="8">
        <f t="shared" si="137"/>
        <v>0.10587216344477922</v>
      </c>
      <c r="I1135" s="8">
        <f t="shared" si="138"/>
        <v>1.0911563849257893</v>
      </c>
      <c r="J1135" s="22">
        <f t="shared" si="139"/>
        <v>0.12585788405241638</v>
      </c>
      <c r="K1135" s="8"/>
      <c r="L1135" s="8">
        <v>0.44397976395347666</v>
      </c>
      <c r="M1135" s="8">
        <v>0.99014989330114855</v>
      </c>
      <c r="N1135" s="8">
        <v>0.49914372701907705</v>
      </c>
      <c r="O1135" s="8">
        <v>0.81986949918192542</v>
      </c>
      <c r="P1135" s="8">
        <f t="shared" si="140"/>
        <v>0.71706482862731258</v>
      </c>
      <c r="Q1135" s="8">
        <f t="shared" si="141"/>
        <v>0.65950661310050118</v>
      </c>
      <c r="R1135" s="8">
        <f t="shared" si="142"/>
        <v>0.91973080643629401</v>
      </c>
      <c r="S1135" s="22">
        <f t="shared" si="143"/>
        <v>-0.12071643050955856</v>
      </c>
      <c r="T1135" s="25"/>
      <c r="U1135" s="1" t="s">
        <v>3218</v>
      </c>
    </row>
    <row r="1136" spans="1:21">
      <c r="A1136" s="6" t="s">
        <v>3219</v>
      </c>
      <c r="B1136" s="6" t="s">
        <v>3220</v>
      </c>
      <c r="C1136" s="7">
        <v>1.0428331238288195</v>
      </c>
      <c r="D1136" s="7">
        <v>1.1754860332551593</v>
      </c>
      <c r="E1136" s="7">
        <v>1.1048731607586602</v>
      </c>
      <c r="F1136" s="8">
        <v>1.0852071428546555</v>
      </c>
      <c r="G1136" s="8">
        <f t="shared" si="136"/>
        <v>1.1091595785419894</v>
      </c>
      <c r="H1136" s="8">
        <f t="shared" si="137"/>
        <v>1.0950401518066579</v>
      </c>
      <c r="I1136" s="8">
        <f t="shared" si="138"/>
        <v>0.98727015750619784</v>
      </c>
      <c r="J1136" s="22">
        <f t="shared" si="139"/>
        <v>-1.8483175795209725E-2</v>
      </c>
      <c r="K1136" s="8"/>
      <c r="L1136" s="8">
        <v>0.97291210876371514</v>
      </c>
      <c r="M1136" s="8">
        <v>0.92300572697087147</v>
      </c>
      <c r="N1136" s="8">
        <v>1.0119030168955361</v>
      </c>
      <c r="O1136" s="8">
        <v>1.1740098690428853</v>
      </c>
      <c r="P1136" s="8">
        <f t="shared" si="140"/>
        <v>0.94795891786729336</v>
      </c>
      <c r="Q1136" s="8">
        <f t="shared" si="141"/>
        <v>1.0929564429692107</v>
      </c>
      <c r="R1136" s="8">
        <f t="shared" si="142"/>
        <v>1.1529576043528669</v>
      </c>
      <c r="S1136" s="22">
        <f t="shared" si="143"/>
        <v>0.20533946432151706</v>
      </c>
      <c r="T1136" s="25"/>
      <c r="U1136" s="1" t="s">
        <v>3221</v>
      </c>
    </row>
    <row r="1137" spans="1:21">
      <c r="A1137" s="6" t="s">
        <v>3222</v>
      </c>
      <c r="B1137" s="13" t="s">
        <v>3223</v>
      </c>
      <c r="C1137" s="14">
        <v>1.9243138989418811E-2</v>
      </c>
      <c r="D1137" s="14">
        <v>2.3552592585206766E-2</v>
      </c>
      <c r="E1137" s="14">
        <v>2.5588387567112621E-2</v>
      </c>
      <c r="F1137" s="8">
        <v>2.3356000445879963E-2</v>
      </c>
      <c r="G1137" s="8">
        <f t="shared" si="136"/>
        <v>2.1397865787312786E-2</v>
      </c>
      <c r="H1137" s="8">
        <f t="shared" si="137"/>
        <v>2.4472194006496292E-2</v>
      </c>
      <c r="I1137" s="8">
        <f t="shared" si="138"/>
        <v>1.1436745257560375</v>
      </c>
      <c r="J1137" s="22">
        <f t="shared" si="139"/>
        <v>0.19367653910356086</v>
      </c>
      <c r="K1137" s="8"/>
      <c r="L1137" s="8">
        <v>5.1869897644956191E-2</v>
      </c>
      <c r="M1137" s="8">
        <v>6.2654157661565374E-2</v>
      </c>
      <c r="N1137" s="8">
        <v>7.3177801748953553E-2</v>
      </c>
      <c r="O1137" s="8">
        <v>8.3303587142866453E-2</v>
      </c>
      <c r="P1137" s="8">
        <f t="shared" si="140"/>
        <v>5.7262027653260786E-2</v>
      </c>
      <c r="Q1137" s="8">
        <f t="shared" si="141"/>
        <v>7.8240694445910003E-2</v>
      </c>
      <c r="R1137" s="8">
        <f t="shared" si="142"/>
        <v>1.3663626255025669</v>
      </c>
      <c r="S1137" s="22">
        <f t="shared" si="143"/>
        <v>0.45034041817149467</v>
      </c>
      <c r="T1137" s="25"/>
      <c r="U1137" s="1" t="s">
        <v>3224</v>
      </c>
    </row>
    <row r="1138" spans="1:21">
      <c r="A1138" s="6" t="s">
        <v>3225</v>
      </c>
      <c r="B1138" s="6" t="s">
        <v>3226</v>
      </c>
      <c r="C1138" s="7">
        <v>0.93901423343580448</v>
      </c>
      <c r="D1138" s="7">
        <v>1.1179864297200093</v>
      </c>
      <c r="E1138" s="7">
        <v>1.0635768126887746</v>
      </c>
      <c r="F1138" s="8">
        <v>1.123509794985367</v>
      </c>
      <c r="G1138" s="8">
        <f t="shared" si="136"/>
        <v>1.0285003315779069</v>
      </c>
      <c r="H1138" s="8">
        <f t="shared" si="137"/>
        <v>1.0935433038370708</v>
      </c>
      <c r="I1138" s="8">
        <f t="shared" si="138"/>
        <v>1.0632405943509771</v>
      </c>
      <c r="J1138" s="22">
        <f t="shared" si="139"/>
        <v>8.8468092637581305E-2</v>
      </c>
      <c r="K1138" s="8"/>
      <c r="L1138" s="8">
        <v>1.2632741713334474</v>
      </c>
      <c r="M1138" s="8">
        <v>1.2310038445484679</v>
      </c>
      <c r="N1138" s="8">
        <v>1.0601891367196539</v>
      </c>
      <c r="O1138" s="8">
        <v>1.2202173275361941</v>
      </c>
      <c r="P1138" s="8">
        <f t="shared" si="140"/>
        <v>1.2471390079409577</v>
      </c>
      <c r="Q1138" s="8">
        <f t="shared" si="141"/>
        <v>1.1402032321279241</v>
      </c>
      <c r="R1138" s="8">
        <f t="shared" si="142"/>
        <v>0.91425512702903433</v>
      </c>
      <c r="S1138" s="22">
        <f t="shared" si="143"/>
        <v>-0.12933128284369144</v>
      </c>
      <c r="T1138" s="25"/>
      <c r="U1138" s="1" t="s">
        <v>3227</v>
      </c>
    </row>
    <row r="1139" spans="1:21">
      <c r="A1139" s="6" t="s">
        <v>3228</v>
      </c>
      <c r="B1139" s="6" t="s">
        <v>3229</v>
      </c>
      <c r="C1139" s="7">
        <v>0.19916583534499965</v>
      </c>
      <c r="D1139" s="7">
        <v>0.18002836009533976</v>
      </c>
      <c r="E1139" s="7">
        <v>0.61823015234781509</v>
      </c>
      <c r="F1139" s="8">
        <v>0.58272626812204709</v>
      </c>
      <c r="G1139" s="8">
        <f t="shared" si="136"/>
        <v>0.18959709772016969</v>
      </c>
      <c r="H1139" s="8">
        <f t="shared" si="137"/>
        <v>0.60047821023493109</v>
      </c>
      <c r="I1139" s="8">
        <f t="shared" si="138"/>
        <v>3.1671276483419035</v>
      </c>
      <c r="J1139" s="22">
        <f t="shared" si="139"/>
        <v>1.6631750151143299</v>
      </c>
      <c r="K1139" s="8"/>
      <c r="L1139" s="8">
        <v>0.9775600890496714</v>
      </c>
      <c r="M1139" s="8">
        <v>1.0181609565554974</v>
      </c>
      <c r="N1139" s="8">
        <v>1.1588200869030261</v>
      </c>
      <c r="O1139" s="8">
        <v>1.2779891662158021</v>
      </c>
      <c r="P1139" s="8">
        <f t="shared" si="140"/>
        <v>0.99786052280258442</v>
      </c>
      <c r="Q1139" s="8">
        <f t="shared" si="141"/>
        <v>1.2184046265594142</v>
      </c>
      <c r="R1139" s="8">
        <f t="shared" si="142"/>
        <v>1.2210169645126465</v>
      </c>
      <c r="S1139" s="22">
        <f t="shared" si="143"/>
        <v>0.28808324491847198</v>
      </c>
      <c r="T1139" s="25"/>
      <c r="U1139" s="1" t="s">
        <v>3230</v>
      </c>
    </row>
    <row r="1140" spans="1:21">
      <c r="A1140" s="6" t="s">
        <v>3231</v>
      </c>
      <c r="B1140" s="6" t="s">
        <v>3232</v>
      </c>
      <c r="C1140" s="7">
        <v>0.99168138539496398</v>
      </c>
      <c r="D1140" s="7">
        <v>1.556452925798246</v>
      </c>
      <c r="E1140" s="7">
        <v>1.0172363307373369</v>
      </c>
      <c r="F1140" s="8">
        <v>1.0766343615205125</v>
      </c>
      <c r="G1140" s="8">
        <f t="shared" si="136"/>
        <v>1.274067155596605</v>
      </c>
      <c r="H1140" s="8">
        <f t="shared" si="137"/>
        <v>1.0469353461289246</v>
      </c>
      <c r="I1140" s="8">
        <f t="shared" si="138"/>
        <v>0.82172697218513424</v>
      </c>
      <c r="J1140" s="22">
        <f t="shared" si="139"/>
        <v>-0.28326897264147627</v>
      </c>
      <c r="K1140" s="8"/>
      <c r="L1140" s="8">
        <v>1.1874613164171373</v>
      </c>
      <c r="M1140" s="8">
        <v>1.1236555639001844</v>
      </c>
      <c r="N1140" s="8">
        <v>1.0472286181234518</v>
      </c>
      <c r="O1140" s="8">
        <v>1.3656982315248778</v>
      </c>
      <c r="P1140" s="8">
        <f t="shared" si="140"/>
        <v>1.1555584401586607</v>
      </c>
      <c r="Q1140" s="8">
        <f t="shared" si="141"/>
        <v>1.2064634248241648</v>
      </c>
      <c r="R1140" s="8">
        <f t="shared" si="142"/>
        <v>1.0440522806085988</v>
      </c>
      <c r="S1140" s="22">
        <f t="shared" si="143"/>
        <v>6.2193956243321358E-2</v>
      </c>
      <c r="T1140" s="25"/>
      <c r="U1140" s="1" t="s">
        <v>3233</v>
      </c>
    </row>
    <row r="1141" spans="1:21">
      <c r="A1141" s="6" t="s">
        <v>3234</v>
      </c>
      <c r="B1141" s="11" t="s">
        <v>3235</v>
      </c>
      <c r="C1141" s="12">
        <v>0.67137391539356195</v>
      </c>
      <c r="D1141" s="12">
        <v>0.66723807225360809</v>
      </c>
      <c r="E1141" s="12">
        <v>1.3327145298426477</v>
      </c>
      <c r="F1141" s="8">
        <v>1.3490913183758222</v>
      </c>
      <c r="G1141" s="8">
        <f t="shared" si="136"/>
        <v>0.66930599382358502</v>
      </c>
      <c r="H1141" s="8">
        <f t="shared" si="137"/>
        <v>1.340902924109235</v>
      </c>
      <c r="I1141" s="8">
        <f t="shared" si="138"/>
        <v>2.0034228536472196</v>
      </c>
      <c r="J1141" s="22">
        <f t="shared" si="139"/>
        <v>1.0024669565850546</v>
      </c>
      <c r="K1141" s="8"/>
      <c r="L1141" s="8">
        <v>1.1244987599384704</v>
      </c>
      <c r="M1141" s="8">
        <v>1.2511059017074713</v>
      </c>
      <c r="N1141" s="8">
        <v>1.2667152344945138</v>
      </c>
      <c r="O1141" s="8">
        <v>0.99173320991597624</v>
      </c>
      <c r="P1141" s="8">
        <f t="shared" si="140"/>
        <v>1.1878023308229708</v>
      </c>
      <c r="Q1141" s="8">
        <f t="shared" si="141"/>
        <v>1.1292242222052451</v>
      </c>
      <c r="R1141" s="8">
        <f t="shared" si="142"/>
        <v>0.95068362209969748</v>
      </c>
      <c r="S1141" s="22">
        <f t="shared" si="143"/>
        <v>-7.2962788258065278E-2</v>
      </c>
      <c r="T1141" s="25"/>
      <c r="U1141" s="1" t="s">
        <v>3236</v>
      </c>
    </row>
    <row r="1142" spans="1:21">
      <c r="A1142" s="6" t="s">
        <v>3237</v>
      </c>
      <c r="B1142" s="6" t="s">
        <v>3238</v>
      </c>
      <c r="C1142" s="7">
        <v>1.0383587347562628</v>
      </c>
      <c r="D1142" s="7">
        <v>1.2171648197332168</v>
      </c>
      <c r="E1142" s="7">
        <v>1.0646399978016849</v>
      </c>
      <c r="F1142" s="8">
        <v>1.1043510401666887</v>
      </c>
      <c r="G1142" s="8">
        <f t="shared" si="136"/>
        <v>1.1277617772447397</v>
      </c>
      <c r="H1142" s="8">
        <f t="shared" si="137"/>
        <v>1.0844955189841867</v>
      </c>
      <c r="I1142" s="8">
        <f t="shared" si="138"/>
        <v>0.96163528580809177</v>
      </c>
      <c r="J1142" s="22">
        <f t="shared" si="139"/>
        <v>-5.643826027091433E-2</v>
      </c>
      <c r="K1142" s="8"/>
      <c r="L1142" s="8">
        <v>1.0399367656603604</v>
      </c>
      <c r="M1142" s="8">
        <v>1.0637201270838941</v>
      </c>
      <c r="N1142" s="8">
        <v>1.1150724880313689</v>
      </c>
      <c r="O1142" s="8">
        <v>0.97075712637459333</v>
      </c>
      <c r="P1142" s="8">
        <f t="shared" si="140"/>
        <v>1.0518284463721272</v>
      </c>
      <c r="Q1142" s="8">
        <f t="shared" si="141"/>
        <v>1.042914807202981</v>
      </c>
      <c r="R1142" s="8">
        <f t="shared" si="142"/>
        <v>0.99152557700840827</v>
      </c>
      <c r="S1142" s="22">
        <f t="shared" si="143"/>
        <v>-1.227810675269401E-2</v>
      </c>
      <c r="T1142" s="25"/>
      <c r="U1142" s="1" t="s">
        <v>3239</v>
      </c>
    </row>
    <row r="1143" spans="1:21">
      <c r="A1143" s="6" t="s">
        <v>3240</v>
      </c>
      <c r="B1143" s="6" t="s">
        <v>3241</v>
      </c>
      <c r="C1143" s="7">
        <v>1.076733969502643</v>
      </c>
      <c r="D1143" s="7">
        <v>0.97594960133910158</v>
      </c>
      <c r="E1143" s="7">
        <v>1.005277496685353</v>
      </c>
      <c r="F1143" s="8">
        <v>1.0061726362567811</v>
      </c>
      <c r="G1143" s="8">
        <f t="shared" si="136"/>
        <v>1.0263417854208723</v>
      </c>
      <c r="H1143" s="8">
        <f t="shared" si="137"/>
        <v>1.0057250664710671</v>
      </c>
      <c r="I1143" s="8">
        <f t="shared" si="138"/>
        <v>0.9799124236753638</v>
      </c>
      <c r="J1143" s="22">
        <f t="shared" si="139"/>
        <v>-2.9275275838038527E-2</v>
      </c>
      <c r="K1143" s="8"/>
      <c r="L1143" s="8">
        <v>0.53174456817653137</v>
      </c>
      <c r="M1143" s="8">
        <v>0.65096887148304916</v>
      </c>
      <c r="N1143" s="8">
        <v>0.58565635837062124</v>
      </c>
      <c r="O1143" s="8">
        <v>0.70177264697638331</v>
      </c>
      <c r="P1143" s="8">
        <f t="shared" si="140"/>
        <v>0.59135671982979021</v>
      </c>
      <c r="Q1143" s="8">
        <f t="shared" si="141"/>
        <v>0.64371450267350228</v>
      </c>
      <c r="R1143" s="8">
        <f t="shared" si="142"/>
        <v>1.088538408524016</v>
      </c>
      <c r="S1143" s="22">
        <f t="shared" si="143"/>
        <v>0.12239231318484797</v>
      </c>
      <c r="T1143" s="25"/>
      <c r="U1143" s="1" t="s">
        <v>3242</v>
      </c>
    </row>
    <row r="1144" spans="1:21">
      <c r="A1144" s="6" t="s">
        <v>3243</v>
      </c>
      <c r="B1144" s="6" t="s">
        <v>3244</v>
      </c>
      <c r="C1144" s="7">
        <v>1.001342146618776</v>
      </c>
      <c r="D1144" s="7">
        <v>1.2211351909503567</v>
      </c>
      <c r="E1144" s="7">
        <v>1.0945530706777034</v>
      </c>
      <c r="F1144" s="8">
        <v>1.0347510502883652</v>
      </c>
      <c r="G1144" s="8">
        <f t="shared" si="136"/>
        <v>1.1112386687845663</v>
      </c>
      <c r="H1144" s="8">
        <f t="shared" si="137"/>
        <v>1.0646520604830343</v>
      </c>
      <c r="I1144" s="8">
        <f t="shared" si="138"/>
        <v>0.95807686538438508</v>
      </c>
      <c r="J1144" s="22">
        <f t="shared" si="139"/>
        <v>-6.1786688549780193E-2</v>
      </c>
      <c r="K1144" s="8"/>
      <c r="L1144" s="8">
        <v>1.124850287859257</v>
      </c>
      <c r="M1144" s="8">
        <v>1.4428992995196004</v>
      </c>
      <c r="N1144" s="8">
        <v>1.077968909523108</v>
      </c>
      <c r="O1144" s="8">
        <v>1.152533162982615</v>
      </c>
      <c r="P1144" s="8">
        <f t="shared" si="140"/>
        <v>1.2838747936894288</v>
      </c>
      <c r="Q1144" s="8">
        <f t="shared" si="141"/>
        <v>1.1152510362528614</v>
      </c>
      <c r="R1144" s="8">
        <f t="shared" si="142"/>
        <v>0.86866027881737684</v>
      </c>
      <c r="S1144" s="22">
        <f t="shared" si="143"/>
        <v>-0.20313602589305615</v>
      </c>
      <c r="T1144" s="25"/>
      <c r="U1144" s="1" t="s">
        <v>3245</v>
      </c>
    </row>
    <row r="1145" spans="1:21">
      <c r="A1145" s="6" t="s">
        <v>3246</v>
      </c>
      <c r="B1145" s="6" t="s">
        <v>3247</v>
      </c>
      <c r="C1145" s="7">
        <v>1.0724424751658987</v>
      </c>
      <c r="D1145" s="7">
        <v>1.0648549086105075</v>
      </c>
      <c r="E1145" s="7">
        <v>1.1267364034940719</v>
      </c>
      <c r="F1145" s="8">
        <v>1.0310218161204798</v>
      </c>
      <c r="G1145" s="8">
        <f t="shared" si="136"/>
        <v>1.0686486918882032</v>
      </c>
      <c r="H1145" s="8">
        <f t="shared" si="137"/>
        <v>1.0788791098072759</v>
      </c>
      <c r="I1145" s="8">
        <f t="shared" si="138"/>
        <v>1.0095732283179015</v>
      </c>
      <c r="J1145" s="22">
        <f t="shared" si="139"/>
        <v>1.3745558811567285E-2</v>
      </c>
      <c r="K1145" s="8"/>
      <c r="L1145" s="8">
        <v>1.1203585422047615</v>
      </c>
      <c r="M1145" s="8">
        <v>1.0923490814394416</v>
      </c>
      <c r="N1145" s="8">
        <v>0.96867009565766338</v>
      </c>
      <c r="O1145" s="8">
        <v>1.252807853515765</v>
      </c>
      <c r="P1145" s="8">
        <f t="shared" si="140"/>
        <v>1.1063538118221015</v>
      </c>
      <c r="Q1145" s="8">
        <f t="shared" si="141"/>
        <v>1.1107389745867142</v>
      </c>
      <c r="R1145" s="8">
        <f t="shared" si="142"/>
        <v>1.0039636169892077</v>
      </c>
      <c r="S1145" s="22">
        <f t="shared" si="143"/>
        <v>5.7069878740175217E-3</v>
      </c>
      <c r="T1145" s="25"/>
      <c r="U1145" s="1" t="s">
        <v>3248</v>
      </c>
    </row>
    <row r="1146" spans="1:21">
      <c r="A1146" s="6" t="s">
        <v>3249</v>
      </c>
      <c r="B1146" s="6" t="s">
        <v>3250</v>
      </c>
      <c r="C1146" s="7">
        <v>1.2174126811167343</v>
      </c>
      <c r="D1146" s="7">
        <v>1.1272281596668663</v>
      </c>
      <c r="E1146" s="7">
        <v>1.6012047432811392</v>
      </c>
      <c r="F1146" s="8">
        <v>1.297602629097707</v>
      </c>
      <c r="G1146" s="8">
        <f t="shared" si="136"/>
        <v>1.1723204203918003</v>
      </c>
      <c r="H1146" s="8">
        <f t="shared" si="137"/>
        <v>1.4494036861894231</v>
      </c>
      <c r="I1146" s="8">
        <f t="shared" si="138"/>
        <v>1.2363545503242355</v>
      </c>
      <c r="J1146" s="22">
        <f t="shared" si="139"/>
        <v>0.30609252531732156</v>
      </c>
      <c r="K1146" s="8"/>
      <c r="L1146" s="8">
        <v>0.87967909243953568</v>
      </c>
      <c r="M1146" s="8">
        <v>1.2122611478121024</v>
      </c>
      <c r="N1146" s="8">
        <v>1.011388339261752</v>
      </c>
      <c r="O1146" s="8">
        <v>0.91558852479319985</v>
      </c>
      <c r="P1146" s="8">
        <f t="shared" si="140"/>
        <v>1.0459701201258191</v>
      </c>
      <c r="Q1146" s="8">
        <f t="shared" si="141"/>
        <v>0.96348843202747592</v>
      </c>
      <c r="R1146" s="8">
        <f t="shared" si="142"/>
        <v>0.92114336106616357</v>
      </c>
      <c r="S1146" s="22">
        <f t="shared" si="143"/>
        <v>-0.11850238894665645</v>
      </c>
      <c r="T1146" s="25"/>
      <c r="U1146" s="1" t="s">
        <v>3251</v>
      </c>
    </row>
    <row r="1147" spans="1:21">
      <c r="A1147" s="6" t="s">
        <v>3252</v>
      </c>
      <c r="B1147" s="6" t="s">
        <v>3253</v>
      </c>
      <c r="C1147" s="7">
        <v>1.1434252285257136</v>
      </c>
      <c r="D1147" s="7">
        <v>1.1305244440899247</v>
      </c>
      <c r="E1147" s="7">
        <v>1.4808330032044188</v>
      </c>
      <c r="F1147" s="8">
        <v>1.1805774780086653</v>
      </c>
      <c r="G1147" s="8">
        <f t="shared" si="136"/>
        <v>1.1369748363078191</v>
      </c>
      <c r="H1147" s="8">
        <f t="shared" si="137"/>
        <v>1.3307052406065421</v>
      </c>
      <c r="I1147" s="8">
        <f t="shared" si="138"/>
        <v>1.1703911099104336</v>
      </c>
      <c r="J1147" s="22">
        <f t="shared" si="139"/>
        <v>0.2269907161672661</v>
      </c>
      <c r="K1147" s="8"/>
      <c r="L1147" s="8">
        <v>1.4555208853458528</v>
      </c>
      <c r="M1147" s="8">
        <v>1.4568224456666148</v>
      </c>
      <c r="N1147" s="8">
        <v>1.0975266596069075</v>
      </c>
      <c r="O1147" s="8">
        <v>1.1046736501769778</v>
      </c>
      <c r="P1147" s="8">
        <f t="shared" si="140"/>
        <v>1.4561716655062338</v>
      </c>
      <c r="Q1147" s="8">
        <f t="shared" si="141"/>
        <v>1.1011001548919426</v>
      </c>
      <c r="R1147" s="8">
        <f t="shared" si="142"/>
        <v>0.75616095339222822</v>
      </c>
      <c r="S1147" s="22">
        <f t="shared" si="143"/>
        <v>-0.40323474146517002</v>
      </c>
      <c r="T1147" s="25"/>
      <c r="U1147" s="1" t="s">
        <v>3254</v>
      </c>
    </row>
    <row r="1148" spans="1:21">
      <c r="A1148" s="6" t="s">
        <v>3255</v>
      </c>
      <c r="B1148" s="6" t="s">
        <v>3256</v>
      </c>
      <c r="C1148" s="7">
        <v>1.159892286703692</v>
      </c>
      <c r="D1148" s="7">
        <v>1.0774670725277717</v>
      </c>
      <c r="E1148" s="7">
        <v>1.6467378440566074</v>
      </c>
      <c r="F1148" s="8">
        <v>1.5373879288407457</v>
      </c>
      <c r="G1148" s="8">
        <f t="shared" si="136"/>
        <v>1.1186796796157319</v>
      </c>
      <c r="H1148" s="8">
        <f t="shared" si="137"/>
        <v>1.5920628864486766</v>
      </c>
      <c r="I1148" s="8">
        <f t="shared" si="138"/>
        <v>1.4231624257227524</v>
      </c>
      <c r="J1148" s="22">
        <f t="shared" si="139"/>
        <v>0.50910032624395729</v>
      </c>
      <c r="K1148" s="8"/>
      <c r="L1148" s="8">
        <v>1.346000408691894</v>
      </c>
      <c r="M1148" s="8">
        <v>1.3675989706534981</v>
      </c>
      <c r="N1148" s="8">
        <v>1.1110018558368939</v>
      </c>
      <c r="O1148" s="8">
        <v>1.1232467456277011</v>
      </c>
      <c r="P1148" s="8">
        <f t="shared" si="140"/>
        <v>1.3567996896726959</v>
      </c>
      <c r="Q1148" s="8">
        <f t="shared" si="141"/>
        <v>1.1171243007322975</v>
      </c>
      <c r="R1148" s="8">
        <f t="shared" si="142"/>
        <v>0.82335241468236486</v>
      </c>
      <c r="S1148" s="22">
        <f t="shared" si="143"/>
        <v>-0.28041802379141101</v>
      </c>
      <c r="T1148" s="25"/>
      <c r="U1148" s="1" t="s">
        <v>3257</v>
      </c>
    </row>
    <row r="1149" spans="1:21">
      <c r="A1149" s="6" t="s">
        <v>3258</v>
      </c>
      <c r="B1149" s="6" t="s">
        <v>3259</v>
      </c>
      <c r="C1149" s="7">
        <v>1.1009152663590003</v>
      </c>
      <c r="D1149" s="7">
        <v>1.0241333253800455</v>
      </c>
      <c r="E1149" s="7">
        <v>1.4857732167365887</v>
      </c>
      <c r="F1149" s="8">
        <v>1.656077120674023</v>
      </c>
      <c r="G1149" s="8">
        <f t="shared" si="136"/>
        <v>1.0625242958695229</v>
      </c>
      <c r="H1149" s="8">
        <f t="shared" si="137"/>
        <v>1.5709251687053059</v>
      </c>
      <c r="I1149" s="8">
        <f t="shared" si="138"/>
        <v>1.4784839977891802</v>
      </c>
      <c r="J1149" s="22">
        <f t="shared" si="139"/>
        <v>0.56411862868980389</v>
      </c>
      <c r="K1149" s="8"/>
      <c r="L1149" s="8">
        <v>1.4200946826621366</v>
      </c>
      <c r="M1149" s="8">
        <v>1.4284818404916266</v>
      </c>
      <c r="N1149" s="8">
        <v>1.7309544601678624</v>
      </c>
      <c r="O1149" s="8">
        <v>1.1664004067557965</v>
      </c>
      <c r="P1149" s="8">
        <f t="shared" si="140"/>
        <v>1.4242882615768817</v>
      </c>
      <c r="Q1149" s="8">
        <f t="shared" si="141"/>
        <v>1.4486774334618295</v>
      </c>
      <c r="R1149" s="8">
        <f t="shared" si="142"/>
        <v>1.0171237610692274</v>
      </c>
      <c r="S1149" s="22">
        <f t="shared" si="143"/>
        <v>2.4495233391737814E-2</v>
      </c>
      <c r="T1149" s="25"/>
      <c r="U1149" s="1" t="s">
        <v>3260</v>
      </c>
    </row>
    <row r="1150" spans="1:21">
      <c r="A1150" s="6" t="s">
        <v>3261</v>
      </c>
      <c r="B1150" s="6" t="s">
        <v>3262</v>
      </c>
      <c r="C1150" s="7">
        <v>1.0743367420725287</v>
      </c>
      <c r="D1150" s="7">
        <v>1.1736659989111393</v>
      </c>
      <c r="E1150" s="7">
        <v>1.5858645009377186</v>
      </c>
      <c r="F1150" s="8">
        <v>1.651226144754443</v>
      </c>
      <c r="G1150" s="8">
        <f t="shared" si="136"/>
        <v>1.1240013704918339</v>
      </c>
      <c r="H1150" s="8">
        <f t="shared" si="137"/>
        <v>1.6185453228460807</v>
      </c>
      <c r="I1150" s="8">
        <f t="shared" si="138"/>
        <v>1.4399851862616921</v>
      </c>
      <c r="J1150" s="22">
        <f t="shared" si="139"/>
        <v>0.52605397012819655</v>
      </c>
      <c r="K1150" s="8"/>
      <c r="L1150" s="8">
        <v>1.4145483532452812</v>
      </c>
      <c r="M1150" s="8">
        <v>1.3859297399890647</v>
      </c>
      <c r="N1150" s="8">
        <v>1.1802493920187682</v>
      </c>
      <c r="O1150" s="8">
        <v>1.2090033831131159</v>
      </c>
      <c r="P1150" s="8">
        <f t="shared" si="140"/>
        <v>1.4002390466171728</v>
      </c>
      <c r="Q1150" s="8">
        <f t="shared" si="141"/>
        <v>1.194626387565942</v>
      </c>
      <c r="R1150" s="8">
        <f t="shared" si="142"/>
        <v>0.853158887728514</v>
      </c>
      <c r="S1150" s="22">
        <f t="shared" si="143"/>
        <v>-0.22911364854696153</v>
      </c>
      <c r="T1150" s="25"/>
      <c r="U1150" s="1" t="s">
        <v>3263</v>
      </c>
    </row>
    <row r="1151" spans="1:21">
      <c r="A1151" s="6" t="s">
        <v>3264</v>
      </c>
      <c r="B1151" s="6" t="s">
        <v>3265</v>
      </c>
      <c r="C1151" s="7">
        <v>1.1760458110488492</v>
      </c>
      <c r="D1151" s="7">
        <v>1.0984985805031138</v>
      </c>
      <c r="E1151" s="7">
        <v>1.9431266743677085</v>
      </c>
      <c r="F1151" s="8">
        <v>1.7997863536974161</v>
      </c>
      <c r="G1151" s="8">
        <f t="shared" si="136"/>
        <v>1.1372721957759815</v>
      </c>
      <c r="H1151" s="8">
        <f t="shared" si="137"/>
        <v>1.8714565140325623</v>
      </c>
      <c r="I1151" s="8">
        <f t="shared" si="138"/>
        <v>1.6455660491687598</v>
      </c>
      <c r="J1151" s="22">
        <f t="shared" si="139"/>
        <v>0.71858393402583798</v>
      </c>
      <c r="K1151" s="8"/>
      <c r="L1151" s="8">
        <v>1.4425534109346136</v>
      </c>
      <c r="M1151" s="8">
        <v>1.4566164819662153</v>
      </c>
      <c r="N1151" s="8">
        <v>1.7643617174880368</v>
      </c>
      <c r="O1151" s="8">
        <v>1.1322579509676747</v>
      </c>
      <c r="P1151" s="8">
        <f t="shared" si="140"/>
        <v>1.4495849464504145</v>
      </c>
      <c r="Q1151" s="8">
        <f t="shared" si="141"/>
        <v>1.4483098342278558</v>
      </c>
      <c r="R1151" s="8">
        <f t="shared" si="142"/>
        <v>0.99912036046891828</v>
      </c>
      <c r="S1151" s="22">
        <f t="shared" si="143"/>
        <v>-1.2696100707662329E-3</v>
      </c>
      <c r="T1151" s="25"/>
      <c r="U1151" s="1" t="s">
        <v>3266</v>
      </c>
    </row>
    <row r="1152" spans="1:21">
      <c r="A1152" s="6" t="s">
        <v>3267</v>
      </c>
      <c r="B1152" s="6" t="s">
        <v>3268</v>
      </c>
      <c r="C1152" s="7">
        <v>0.72068364255959139</v>
      </c>
      <c r="D1152" s="7">
        <v>0.79284740546275023</v>
      </c>
      <c r="E1152" s="7">
        <v>1.1490473031191302</v>
      </c>
      <c r="F1152" s="8">
        <v>1.0519337567232636</v>
      </c>
      <c r="G1152" s="8">
        <f t="shared" si="136"/>
        <v>0.75676552401117081</v>
      </c>
      <c r="H1152" s="8">
        <f t="shared" si="137"/>
        <v>1.1004905299211969</v>
      </c>
      <c r="I1152" s="8">
        <f t="shared" si="138"/>
        <v>1.454202781448263</v>
      </c>
      <c r="J1152" s="22">
        <f t="shared" si="139"/>
        <v>0.54022846003562885</v>
      </c>
      <c r="K1152" s="8"/>
      <c r="L1152" s="8">
        <v>0.86054035008559848</v>
      </c>
      <c r="M1152" s="8">
        <v>0.87097929624992665</v>
      </c>
      <c r="N1152" s="8">
        <v>1.0788578981632808</v>
      </c>
      <c r="O1152" s="8">
        <v>1.3238461889458897</v>
      </c>
      <c r="P1152" s="8">
        <f t="shared" si="140"/>
        <v>0.86575982316776257</v>
      </c>
      <c r="Q1152" s="8">
        <f t="shared" si="141"/>
        <v>1.2013520435545852</v>
      </c>
      <c r="R1152" s="8">
        <f t="shared" si="142"/>
        <v>1.3876273897290718</v>
      </c>
      <c r="S1152" s="22">
        <f t="shared" si="143"/>
        <v>0.47262022270170401</v>
      </c>
      <c r="T1152" s="25"/>
      <c r="U1152" s="1" t="s">
        <v>3269</v>
      </c>
    </row>
    <row r="1153" spans="1:21">
      <c r="A1153" s="6" t="s">
        <v>3270</v>
      </c>
      <c r="B1153" s="6" t="s">
        <v>3271</v>
      </c>
      <c r="C1153" s="7">
        <v>1.1909647959272716</v>
      </c>
      <c r="D1153" s="7">
        <v>1.0659604109528009</v>
      </c>
      <c r="E1153" s="7">
        <v>1.8737158748534195</v>
      </c>
      <c r="F1153" s="8">
        <v>1.6157389901329517</v>
      </c>
      <c r="G1153" s="8">
        <f t="shared" si="136"/>
        <v>1.1284626034400362</v>
      </c>
      <c r="H1153" s="8">
        <f t="shared" si="137"/>
        <v>1.7447274324931856</v>
      </c>
      <c r="I1153" s="8">
        <f t="shared" si="138"/>
        <v>1.5461101034048543</v>
      </c>
      <c r="J1153" s="22">
        <f t="shared" si="139"/>
        <v>0.62864306181132656</v>
      </c>
      <c r="K1153" s="8"/>
      <c r="L1153" s="8">
        <v>1.343149126667736</v>
      </c>
      <c r="M1153" s="8">
        <v>1.548023172203568</v>
      </c>
      <c r="N1153" s="8">
        <v>1.7133150539918038</v>
      </c>
      <c r="O1153" s="8">
        <v>1.409102203912417</v>
      </c>
      <c r="P1153" s="8">
        <f t="shared" si="140"/>
        <v>1.4455861494356519</v>
      </c>
      <c r="Q1153" s="8">
        <f t="shared" si="141"/>
        <v>1.5612086289521105</v>
      </c>
      <c r="R1153" s="8">
        <f t="shared" si="142"/>
        <v>1.0799831124292363</v>
      </c>
      <c r="S1153" s="22">
        <f t="shared" si="143"/>
        <v>0.11100875330996794</v>
      </c>
      <c r="T1153" s="25"/>
      <c r="U1153" s="1" t="s">
        <v>3272</v>
      </c>
    </row>
    <row r="1154" spans="1:21">
      <c r="A1154" s="6" t="s">
        <v>3273</v>
      </c>
      <c r="B1154" s="6" t="s">
        <v>3274</v>
      </c>
      <c r="C1154" s="7">
        <v>1.1990513560321259</v>
      </c>
      <c r="D1154" s="7">
        <v>0.98839998442578636</v>
      </c>
      <c r="E1154" s="7">
        <v>1.6855640853604081</v>
      </c>
      <c r="F1154" s="8">
        <v>1.5477064672056717</v>
      </c>
      <c r="G1154" s="8">
        <f t="shared" si="136"/>
        <v>1.0937256702289562</v>
      </c>
      <c r="H1154" s="8">
        <f t="shared" si="137"/>
        <v>1.61663527628304</v>
      </c>
      <c r="I1154" s="8">
        <f t="shared" si="138"/>
        <v>1.4780994176945852</v>
      </c>
      <c r="J1154" s="22">
        <f t="shared" si="139"/>
        <v>0.56374330912633719</v>
      </c>
      <c r="K1154" s="8"/>
      <c r="L1154" s="8">
        <v>1.3085431557991885</v>
      </c>
      <c r="M1154" s="8">
        <v>1.3161492382936721</v>
      </c>
      <c r="N1154" s="8">
        <v>1.5363127368458376</v>
      </c>
      <c r="O1154" s="8">
        <v>1.1852738757178523</v>
      </c>
      <c r="P1154" s="8">
        <f t="shared" si="140"/>
        <v>1.3123461970464303</v>
      </c>
      <c r="Q1154" s="8">
        <f t="shared" si="141"/>
        <v>1.3607933062818449</v>
      </c>
      <c r="R1154" s="8">
        <f t="shared" si="142"/>
        <v>1.0369164092100467</v>
      </c>
      <c r="S1154" s="22">
        <f t="shared" si="143"/>
        <v>5.229959629298063E-2</v>
      </c>
      <c r="T1154" s="25"/>
      <c r="U1154" s="1" t="s">
        <v>3275</v>
      </c>
    </row>
    <row r="1155" spans="1:21">
      <c r="A1155" s="6" t="s">
        <v>3276</v>
      </c>
      <c r="B1155" s="6" t="s">
        <v>80</v>
      </c>
      <c r="C1155" s="7">
        <v>1.4779266364171384</v>
      </c>
      <c r="D1155" s="7">
        <v>1.1043900990833859</v>
      </c>
      <c r="E1155" s="7">
        <v>1.9818330075760682</v>
      </c>
      <c r="F1155" s="8">
        <v>1.9726088709916119</v>
      </c>
      <c r="G1155" s="8">
        <f t="shared" si="136"/>
        <v>1.291158367750262</v>
      </c>
      <c r="H1155" s="8">
        <f t="shared" si="137"/>
        <v>1.97722093928384</v>
      </c>
      <c r="I1155" s="8">
        <f t="shared" si="138"/>
        <v>1.5313543161471246</v>
      </c>
      <c r="J1155" s="22">
        <f t="shared" si="139"/>
        <v>0.61480812412311259</v>
      </c>
      <c r="K1155" s="8"/>
      <c r="L1155" s="8">
        <v>1.3390089089340271</v>
      </c>
      <c r="M1155" s="8">
        <v>1.408709325253263</v>
      </c>
      <c r="N1155" s="8">
        <v>1.4605147580521645</v>
      </c>
      <c r="O1155" s="8">
        <v>1.6734809561368629</v>
      </c>
      <c r="P1155" s="8">
        <f t="shared" si="140"/>
        <v>1.3738591170936449</v>
      </c>
      <c r="Q1155" s="8">
        <f t="shared" si="141"/>
        <v>1.5669978570945138</v>
      </c>
      <c r="R1155" s="8">
        <f t="shared" si="142"/>
        <v>1.1405811830323969</v>
      </c>
      <c r="S1155" s="22">
        <f t="shared" si="143"/>
        <v>0.18976913686481683</v>
      </c>
      <c r="T1155" s="25"/>
      <c r="U1155" s="1">
        <v>0</v>
      </c>
    </row>
    <row r="1156" spans="1:21">
      <c r="A1156" s="6" t="s">
        <v>3277</v>
      </c>
      <c r="B1156" s="6" t="s">
        <v>80</v>
      </c>
      <c r="C1156" s="7">
        <v>1.4529027173850733</v>
      </c>
      <c r="D1156" s="7">
        <v>1.1694596973160709</v>
      </c>
      <c r="E1156" s="7">
        <v>2.063258598253547</v>
      </c>
      <c r="F1156" s="8">
        <v>1.9913516156242312</v>
      </c>
      <c r="G1156" s="8">
        <f t="shared" si="136"/>
        <v>1.3111812073505722</v>
      </c>
      <c r="H1156" s="8">
        <f t="shared" si="137"/>
        <v>2.027305106938889</v>
      </c>
      <c r="I1156" s="8">
        <f t="shared" si="138"/>
        <v>1.5461669947476953</v>
      </c>
      <c r="J1156" s="22">
        <f t="shared" si="139"/>
        <v>0.62869614687168174</v>
      </c>
      <c r="K1156" s="8"/>
      <c r="L1156" s="8">
        <v>1.1739470207957856</v>
      </c>
      <c r="M1156" s="8">
        <v>1.2958412174342693</v>
      </c>
      <c r="N1156" s="8">
        <v>1.4805871857697483</v>
      </c>
      <c r="O1156" s="8">
        <v>1.3688020911419798</v>
      </c>
      <c r="P1156" s="8">
        <f t="shared" si="140"/>
        <v>1.2348941191150273</v>
      </c>
      <c r="Q1156" s="8">
        <f t="shared" si="141"/>
        <v>1.4246946384558641</v>
      </c>
      <c r="R1156" s="8">
        <f t="shared" si="142"/>
        <v>1.1536978080977947</v>
      </c>
      <c r="S1156" s="22">
        <f t="shared" si="143"/>
        <v>0.20626538355760779</v>
      </c>
      <c r="T1156" s="25"/>
      <c r="U1156" s="1">
        <v>0</v>
      </c>
    </row>
    <row r="1157" spans="1:21">
      <c r="A1157" s="6" t="s">
        <v>3278</v>
      </c>
      <c r="B1157" s="6" t="s">
        <v>3279</v>
      </c>
      <c r="C1157" s="7">
        <v>0.80985442518182027</v>
      </c>
      <c r="D1157" s="7">
        <v>0.80295722357800525</v>
      </c>
      <c r="E1157" s="7">
        <v>1.1814479495080163</v>
      </c>
      <c r="F1157" s="8">
        <v>1.2211095609011942</v>
      </c>
      <c r="G1157" s="8">
        <f t="shared" si="136"/>
        <v>0.80640582437991282</v>
      </c>
      <c r="H1157" s="8">
        <f t="shared" si="137"/>
        <v>1.2012787552046054</v>
      </c>
      <c r="I1157" s="8">
        <f t="shared" si="138"/>
        <v>1.4896702366061541</v>
      </c>
      <c r="J1157" s="22">
        <f t="shared" si="139"/>
        <v>0.57499300138108222</v>
      </c>
      <c r="K1157" s="8"/>
      <c r="L1157" s="8">
        <v>1.4381250014716964</v>
      </c>
      <c r="M1157" s="8">
        <v>1.4163830256512557</v>
      </c>
      <c r="N1157" s="8">
        <v>1.2723076155802702</v>
      </c>
      <c r="O1157" s="8">
        <v>1.0678159856516518</v>
      </c>
      <c r="P1157" s="8">
        <f t="shared" si="140"/>
        <v>1.427254013561476</v>
      </c>
      <c r="Q1157" s="8">
        <f t="shared" si="141"/>
        <v>1.1700618006159611</v>
      </c>
      <c r="R1157" s="8">
        <f t="shared" si="142"/>
        <v>0.81979927153700249</v>
      </c>
      <c r="S1157" s="22">
        <f t="shared" si="143"/>
        <v>-0.28665738687419851</v>
      </c>
      <c r="T1157" s="25"/>
      <c r="U1157" s="1" t="s">
        <v>3280</v>
      </c>
    </row>
    <row r="1158" spans="1:21">
      <c r="A1158" s="6" t="s">
        <v>3281</v>
      </c>
      <c r="B1158" s="6" t="s">
        <v>3282</v>
      </c>
      <c r="C1158" s="7">
        <v>1.3153688673163904</v>
      </c>
      <c r="D1158" s="7">
        <v>1.26073834759526</v>
      </c>
      <c r="E1158" s="7">
        <v>1.3796733792664619</v>
      </c>
      <c r="F1158" s="8">
        <v>1.37084204612571</v>
      </c>
      <c r="G1158" s="8">
        <f t="shared" ref="G1158:G1221" si="144">AVERAGE(C1158:D1158)</f>
        <v>1.2880536074558253</v>
      </c>
      <c r="H1158" s="8">
        <f t="shared" ref="H1158:H1221" si="145">AVERAGE(E1158:F1158)</f>
        <v>1.3752577126960861</v>
      </c>
      <c r="I1158" s="8">
        <f t="shared" ref="I1158:I1221" si="146">H1158/G1158</f>
        <v>1.0677022328383576</v>
      </c>
      <c r="J1158" s="22">
        <f t="shared" ref="J1158:J1221" si="147">LOG(I1158,2)</f>
        <v>9.4509355728843905E-2</v>
      </c>
      <c r="K1158" s="8"/>
      <c r="L1158" s="8">
        <v>1.2108668051313487</v>
      </c>
      <c r="M1158" s="8">
        <v>1.3101839816900096</v>
      </c>
      <c r="N1158" s="8">
        <v>1.3987053014812227</v>
      </c>
      <c r="O1158" s="8">
        <v>1.303048945516488</v>
      </c>
      <c r="P1158" s="8">
        <f t="shared" ref="P1158:P1221" si="148">AVERAGE(L1158:M1158)</f>
        <v>1.260525393410679</v>
      </c>
      <c r="Q1158" s="8">
        <f t="shared" ref="Q1158:Q1221" si="149">AVERAGE(N1158:O1158)</f>
        <v>1.3508771234988552</v>
      </c>
      <c r="R1158" s="8">
        <f t="shared" ref="R1158:R1221" si="150">Q1158/P1158</f>
        <v>1.0716778341479549</v>
      </c>
      <c r="S1158" s="22">
        <f t="shared" ref="S1158:S1221" si="151">LOG(R1158,2)</f>
        <v>9.9871270598096876E-2</v>
      </c>
      <c r="T1158" s="25"/>
      <c r="U1158" s="1" t="s">
        <v>3283</v>
      </c>
    </row>
    <row r="1159" spans="1:21">
      <c r="A1159" s="6" t="s">
        <v>3284</v>
      </c>
      <c r="B1159" s="6" t="s">
        <v>3285</v>
      </c>
      <c r="C1159" s="7">
        <v>7.5391488559530387E-2</v>
      </c>
      <c r="D1159" s="7">
        <v>8.3180239970272268E-2</v>
      </c>
      <c r="E1159" s="7">
        <v>0.1330229996334493</v>
      </c>
      <c r="F1159" s="8">
        <v>0.12402199578896649</v>
      </c>
      <c r="G1159" s="8">
        <f t="shared" si="144"/>
        <v>7.9285864264901335E-2</v>
      </c>
      <c r="H1159" s="8">
        <f t="shared" si="145"/>
        <v>0.12852249771120788</v>
      </c>
      <c r="I1159" s="8">
        <f t="shared" si="146"/>
        <v>1.6210014093029552</v>
      </c>
      <c r="J1159" s="22">
        <f t="shared" si="147"/>
        <v>0.69688534513892197</v>
      </c>
      <c r="K1159" s="8"/>
      <c r="L1159" s="8">
        <v>0.2808649516347268</v>
      </c>
      <c r="M1159" s="8">
        <v>0.28715517890970538</v>
      </c>
      <c r="N1159" s="8">
        <v>0.30684953368909279</v>
      </c>
      <c r="O1159" s="8">
        <v>0.34152229214627816</v>
      </c>
      <c r="P1159" s="8">
        <f t="shared" si="148"/>
        <v>0.28401006527221606</v>
      </c>
      <c r="Q1159" s="8">
        <f t="shared" si="149"/>
        <v>0.3241859129176855</v>
      </c>
      <c r="R1159" s="8">
        <f t="shared" si="150"/>
        <v>1.141459238801843</v>
      </c>
      <c r="S1159" s="22">
        <f t="shared" si="151"/>
        <v>0.19087934223593733</v>
      </c>
      <c r="T1159" s="25"/>
      <c r="U1159" s="1" t="s">
        <v>3286</v>
      </c>
    </row>
    <row r="1160" spans="1:21">
      <c r="A1160" s="6" t="s">
        <v>3287</v>
      </c>
      <c r="B1160" s="6" t="s">
        <v>3288</v>
      </c>
      <c r="C1160" s="7">
        <v>9.5315899860133224E-2</v>
      </c>
      <c r="D1160" s="7">
        <v>9.4875448687058772E-2</v>
      </c>
      <c r="E1160" s="7">
        <v>0.13156688375717049</v>
      </c>
      <c r="F1160" s="8">
        <v>0.1312123982286181</v>
      </c>
      <c r="G1160" s="8">
        <f t="shared" si="144"/>
        <v>9.5095674273595998E-2</v>
      </c>
      <c r="H1160" s="8">
        <f t="shared" si="145"/>
        <v>0.1313896409928943</v>
      </c>
      <c r="I1160" s="8">
        <f t="shared" si="146"/>
        <v>1.3816573886933949</v>
      </c>
      <c r="J1160" s="22">
        <f t="shared" si="147"/>
        <v>0.46639991318493323</v>
      </c>
      <c r="K1160" s="8"/>
      <c r="L1160" s="8">
        <v>0.96246731011667153</v>
      </c>
      <c r="M1160" s="8">
        <v>1.0059226213720536</v>
      </c>
      <c r="N1160" s="8">
        <v>1.1655398733230262</v>
      </c>
      <c r="O1160" s="8">
        <v>1.2231812525450829</v>
      </c>
      <c r="P1160" s="8">
        <f t="shared" si="148"/>
        <v>0.98419496574436249</v>
      </c>
      <c r="Q1160" s="8">
        <f t="shared" si="149"/>
        <v>1.1943605629340546</v>
      </c>
      <c r="R1160" s="8">
        <f t="shared" si="150"/>
        <v>1.2135406139074696</v>
      </c>
      <c r="S1160" s="22">
        <f t="shared" si="151"/>
        <v>0.27922239238060353</v>
      </c>
      <c r="T1160" s="25"/>
      <c r="U1160" s="1" t="s">
        <v>3289</v>
      </c>
    </row>
    <row r="1161" spans="1:21">
      <c r="A1161" s="6" t="s">
        <v>3290</v>
      </c>
      <c r="B1161" s="6" t="s">
        <v>3291</v>
      </c>
      <c r="C1161" s="7">
        <v>1.1078499141157347</v>
      </c>
      <c r="D1161" s="7">
        <v>1.0649080025181434</v>
      </c>
      <c r="E1161" s="7">
        <v>1.3567915583535095</v>
      </c>
      <c r="F1161" s="8">
        <v>1.1673913515770706</v>
      </c>
      <c r="G1161" s="8">
        <f t="shared" si="144"/>
        <v>1.086378958316939</v>
      </c>
      <c r="H1161" s="8">
        <f t="shared" si="145"/>
        <v>1.2620914549652902</v>
      </c>
      <c r="I1161" s="8">
        <f t="shared" si="146"/>
        <v>1.1617414395806891</v>
      </c>
      <c r="J1161" s="22">
        <f t="shared" si="147"/>
        <v>0.21628901423104424</v>
      </c>
      <c r="K1161" s="8"/>
      <c r="L1161" s="8">
        <v>1.1440413559611669</v>
      </c>
      <c r="M1161" s="8">
        <v>1.101611697835686</v>
      </c>
      <c r="N1161" s="8">
        <v>0.9040307216597675</v>
      </c>
      <c r="O1161" s="8">
        <v>0.92596292593388607</v>
      </c>
      <c r="P1161" s="8">
        <f t="shared" si="148"/>
        <v>1.1228265268984265</v>
      </c>
      <c r="Q1161" s="8">
        <f t="shared" si="149"/>
        <v>0.91499682379682679</v>
      </c>
      <c r="R1161" s="8">
        <f t="shared" si="150"/>
        <v>0.81490488679877748</v>
      </c>
      <c r="S1161" s="22">
        <f t="shared" si="151"/>
        <v>-0.29529641266183848</v>
      </c>
      <c r="T1161" s="25"/>
      <c r="U1161" s="1" t="s">
        <v>3292</v>
      </c>
    </row>
    <row r="1162" spans="1:21">
      <c r="A1162" s="6" t="s">
        <v>3293</v>
      </c>
      <c r="B1162" s="6" t="s">
        <v>3294</v>
      </c>
      <c r="C1162" s="7">
        <v>1.2032198096704496</v>
      </c>
      <c r="D1162" s="7">
        <v>1.1108580654004516</v>
      </c>
      <c r="E1162" s="7">
        <v>1.1574184510571102</v>
      </c>
      <c r="F1162" s="8">
        <v>1.1058426446406264</v>
      </c>
      <c r="G1162" s="8">
        <f t="shared" si="144"/>
        <v>1.1570389375354506</v>
      </c>
      <c r="H1162" s="8">
        <f t="shared" si="145"/>
        <v>1.1316305478488684</v>
      </c>
      <c r="I1162" s="8">
        <f t="shared" si="146"/>
        <v>0.97804016022079321</v>
      </c>
      <c r="J1162" s="22">
        <f t="shared" si="147"/>
        <v>-3.2034388644597303E-2</v>
      </c>
      <c r="K1162" s="8"/>
      <c r="L1162" s="8">
        <v>0.95902269933470341</v>
      </c>
      <c r="M1162" s="8">
        <v>1.2823479589871238</v>
      </c>
      <c r="N1162" s="8">
        <v>0.99562116602663209</v>
      </c>
      <c r="O1162" s="8">
        <v>1.149240847479732</v>
      </c>
      <c r="P1162" s="8">
        <f t="shared" si="148"/>
        <v>1.1206853291609136</v>
      </c>
      <c r="Q1162" s="8">
        <f t="shared" si="149"/>
        <v>1.0724310067531819</v>
      </c>
      <c r="R1162" s="8">
        <f t="shared" si="150"/>
        <v>0.95694213071936896</v>
      </c>
      <c r="S1162" s="22">
        <f t="shared" si="151"/>
        <v>-6.3496411815055331E-2</v>
      </c>
      <c r="T1162" s="25"/>
      <c r="U1162" s="1" t="s">
        <v>3295</v>
      </c>
    </row>
    <row r="1163" spans="1:21">
      <c r="A1163" s="6" t="s">
        <v>3296</v>
      </c>
      <c r="B1163" s="6" t="s">
        <v>3297</v>
      </c>
      <c r="C1163" s="7">
        <v>0.14567363451927881</v>
      </c>
      <c r="D1163" s="7">
        <v>0.13665877145936647</v>
      </c>
      <c r="E1163" s="7">
        <v>0.42162803550575084</v>
      </c>
      <c r="F1163" s="8">
        <v>0.42383546249867415</v>
      </c>
      <c r="G1163" s="8">
        <f t="shared" si="144"/>
        <v>0.14116620298932264</v>
      </c>
      <c r="H1163" s="8">
        <f t="shared" si="145"/>
        <v>0.4227317490022125</v>
      </c>
      <c r="I1163" s="8">
        <f t="shared" si="146"/>
        <v>2.9945676801563232</v>
      </c>
      <c r="J1163" s="22">
        <f t="shared" si="147"/>
        <v>1.5823477390027203</v>
      </c>
      <c r="K1163" s="8"/>
      <c r="L1163" s="8">
        <v>0.83002202554999682</v>
      </c>
      <c r="M1163" s="8">
        <v>0.85711203554809612</v>
      </c>
      <c r="N1163" s="8">
        <v>0.96038302329060887</v>
      </c>
      <c r="O1163" s="8">
        <v>1.0606329164095696</v>
      </c>
      <c r="P1163" s="8">
        <f t="shared" si="148"/>
        <v>0.84356703054904647</v>
      </c>
      <c r="Q1163" s="8">
        <f t="shared" si="149"/>
        <v>1.0105079698500892</v>
      </c>
      <c r="R1163" s="8">
        <f t="shared" si="150"/>
        <v>1.1978988429554758</v>
      </c>
      <c r="S1163" s="22">
        <f t="shared" si="151"/>
        <v>0.26050608431347555</v>
      </c>
      <c r="T1163" s="25"/>
      <c r="U1163" s="1" t="s">
        <v>3298</v>
      </c>
    </row>
    <row r="1164" spans="1:21">
      <c r="A1164" s="6" t="s">
        <v>3299</v>
      </c>
      <c r="B1164" s="6" t="s">
        <v>3300</v>
      </c>
      <c r="C1164" s="7">
        <v>1.1217538054704916</v>
      </c>
      <c r="D1164" s="7">
        <v>1.1067492861266026</v>
      </c>
      <c r="E1164" s="7">
        <v>1.1691104159750139</v>
      </c>
      <c r="F1164" s="8">
        <v>1.0906154916996826</v>
      </c>
      <c r="G1164" s="8">
        <f t="shared" si="144"/>
        <v>1.1142515457985471</v>
      </c>
      <c r="H1164" s="8">
        <f t="shared" si="145"/>
        <v>1.1298629538373484</v>
      </c>
      <c r="I1164" s="8">
        <f t="shared" si="146"/>
        <v>1.0140106676070286</v>
      </c>
      <c r="J1164" s="22">
        <f t="shared" si="147"/>
        <v>2.0072829878535998E-2</v>
      </c>
      <c r="K1164" s="8"/>
      <c r="L1164" s="8">
        <v>1.2254633433199387</v>
      </c>
      <c r="M1164" s="8">
        <v>1.2151545266174408</v>
      </c>
      <c r="N1164" s="8">
        <v>1.3975562316093959</v>
      </c>
      <c r="O1164" s="8">
        <v>1.1817404684561463</v>
      </c>
      <c r="P1164" s="8">
        <f t="shared" si="148"/>
        <v>1.2203089349686898</v>
      </c>
      <c r="Q1164" s="8">
        <f t="shared" si="149"/>
        <v>1.2896483500327711</v>
      </c>
      <c r="R1164" s="8">
        <f t="shared" si="150"/>
        <v>1.0568211975485211</v>
      </c>
      <c r="S1164" s="22">
        <f t="shared" si="151"/>
        <v>7.9731309331204869E-2</v>
      </c>
      <c r="T1164" s="25"/>
      <c r="U1164" s="1" t="s">
        <v>3301</v>
      </c>
    </row>
    <row r="1165" spans="1:21">
      <c r="A1165" s="6" t="s">
        <v>3302</v>
      </c>
      <c r="B1165" s="6" t="s">
        <v>3303</v>
      </c>
      <c r="C1165" s="7">
        <v>1.2074112254623448</v>
      </c>
      <c r="D1165" s="7">
        <v>1.1545862962302866</v>
      </c>
      <c r="E1165" s="7">
        <v>1.1595990383792223</v>
      </c>
      <c r="F1165" s="8">
        <v>1.1277765725574271</v>
      </c>
      <c r="G1165" s="8">
        <f t="shared" si="144"/>
        <v>1.1809987608463157</v>
      </c>
      <c r="H1165" s="8">
        <f t="shared" si="145"/>
        <v>1.1436878054683248</v>
      </c>
      <c r="I1165" s="8">
        <f t="shared" si="146"/>
        <v>0.9684072865993073</v>
      </c>
      <c r="J1165" s="22">
        <f t="shared" si="147"/>
        <v>-4.6314160220962672E-2</v>
      </c>
      <c r="K1165" s="8"/>
      <c r="L1165" s="8">
        <v>1.1241917863300754</v>
      </c>
      <c r="M1165" s="8">
        <v>1.1260176893050406</v>
      </c>
      <c r="N1165" s="8">
        <v>1.3697870430402472</v>
      </c>
      <c r="O1165" s="8">
        <v>1.1019230067381827</v>
      </c>
      <c r="P1165" s="8">
        <f t="shared" si="148"/>
        <v>1.125104737817558</v>
      </c>
      <c r="Q1165" s="8">
        <f t="shared" si="149"/>
        <v>1.2358550248892151</v>
      </c>
      <c r="R1165" s="8">
        <f t="shared" si="150"/>
        <v>1.0984355352431339</v>
      </c>
      <c r="S1165" s="22">
        <f t="shared" si="151"/>
        <v>0.13545020365826776</v>
      </c>
      <c r="T1165" s="25"/>
      <c r="U1165" s="1" t="s">
        <v>3304</v>
      </c>
    </row>
    <row r="1166" spans="1:21">
      <c r="A1166" s="6" t="s">
        <v>3305</v>
      </c>
      <c r="B1166" s="6" t="s">
        <v>3306</v>
      </c>
      <c r="C1166" s="7">
        <v>1.1749530635569927</v>
      </c>
      <c r="D1166" s="7">
        <v>1.1601956171511683</v>
      </c>
      <c r="E1166" s="7">
        <v>1.1152556475065352</v>
      </c>
      <c r="F1166" s="8">
        <v>1.0086833095980141</v>
      </c>
      <c r="G1166" s="8">
        <f t="shared" si="144"/>
        <v>1.1675743403540806</v>
      </c>
      <c r="H1166" s="8">
        <f t="shared" si="145"/>
        <v>1.0619694785522746</v>
      </c>
      <c r="I1166" s="8">
        <f t="shared" si="146"/>
        <v>0.90955191618053199</v>
      </c>
      <c r="J1166" s="22">
        <f t="shared" si="147"/>
        <v>-0.13677210728154732</v>
      </c>
      <c r="K1166" s="8"/>
      <c r="L1166" s="8">
        <v>0.94920555860609424</v>
      </c>
      <c r="M1166" s="8">
        <v>1.0885951690520301</v>
      </c>
      <c r="N1166" s="8">
        <v>0.93783252705600717</v>
      </c>
      <c r="O1166" s="8">
        <v>0.89085127977853251</v>
      </c>
      <c r="P1166" s="8">
        <f t="shared" si="148"/>
        <v>1.0189003638290621</v>
      </c>
      <c r="Q1166" s="8">
        <f t="shared" si="149"/>
        <v>0.91434190341726984</v>
      </c>
      <c r="R1166" s="8">
        <f t="shared" si="150"/>
        <v>0.89738107461375516</v>
      </c>
      <c r="S1166" s="22">
        <f t="shared" si="151"/>
        <v>-0.15620733637877685</v>
      </c>
      <c r="T1166" s="25"/>
      <c r="U1166" s="1" t="s">
        <v>3307</v>
      </c>
    </row>
    <row r="1167" spans="1:21">
      <c r="A1167" s="6" t="s">
        <v>3308</v>
      </c>
      <c r="B1167" s="6" t="s">
        <v>3309</v>
      </c>
      <c r="C1167" s="7">
        <v>1.1225434925037472</v>
      </c>
      <c r="D1167" s="7">
        <v>1.0391283106165485</v>
      </c>
      <c r="E1167" s="7">
        <v>1.0360085135108303</v>
      </c>
      <c r="F1167" s="8">
        <v>0.91621089365305819</v>
      </c>
      <c r="G1167" s="8">
        <f t="shared" si="144"/>
        <v>1.0808359015601479</v>
      </c>
      <c r="H1167" s="8">
        <f t="shared" si="145"/>
        <v>0.97610970358194427</v>
      </c>
      <c r="I1167" s="8">
        <f t="shared" si="146"/>
        <v>0.90310629224377625</v>
      </c>
      <c r="J1167" s="22">
        <f t="shared" si="147"/>
        <v>-0.14703229736016066</v>
      </c>
      <c r="K1167" s="8"/>
      <c r="L1167" s="8">
        <v>1.0295941627302756</v>
      </c>
      <c r="M1167" s="8">
        <v>1.4545531168141386</v>
      </c>
      <c r="N1167" s="8">
        <v>1.4243678619520224</v>
      </c>
      <c r="O1167" s="8">
        <v>1.6150854918928197</v>
      </c>
      <c r="P1167" s="8">
        <f t="shared" si="148"/>
        <v>1.2420736397722072</v>
      </c>
      <c r="Q1167" s="8">
        <f t="shared" si="149"/>
        <v>1.5197266769224211</v>
      </c>
      <c r="R1167" s="8">
        <f t="shared" si="150"/>
        <v>1.2235399160400302</v>
      </c>
      <c r="S1167" s="22">
        <f t="shared" si="151"/>
        <v>0.29106116781179103</v>
      </c>
      <c r="T1167" s="25"/>
      <c r="U1167" s="1" t="s">
        <v>3310</v>
      </c>
    </row>
    <row r="1168" spans="1:21">
      <c r="A1168" s="6" t="s">
        <v>3311</v>
      </c>
      <c r="B1168" s="6" t="s">
        <v>3312</v>
      </c>
      <c r="C1168" s="7">
        <v>1.1333763787291766</v>
      </c>
      <c r="D1168" s="7">
        <v>1.1253804749028491</v>
      </c>
      <c r="E1168" s="7">
        <v>0.94461034358204021</v>
      </c>
      <c r="F1168" s="8">
        <v>1.0894562082202928</v>
      </c>
      <c r="G1168" s="8">
        <f t="shared" si="144"/>
        <v>1.1293784268160127</v>
      </c>
      <c r="H1168" s="8">
        <f t="shared" si="145"/>
        <v>1.0170332759011664</v>
      </c>
      <c r="I1168" s="8">
        <f t="shared" si="146"/>
        <v>0.90052479465932944</v>
      </c>
      <c r="J1168" s="22">
        <f t="shared" si="147"/>
        <v>-0.15116209566908459</v>
      </c>
      <c r="K1168" s="8"/>
      <c r="L1168" s="8">
        <v>0.95867823825650667</v>
      </c>
      <c r="M1168" s="8">
        <v>1.161549294903669</v>
      </c>
      <c r="N1168" s="8">
        <v>1.0310029424966336</v>
      </c>
      <c r="O1168" s="8">
        <v>1.1560722979477263</v>
      </c>
      <c r="P1168" s="8">
        <f t="shared" si="148"/>
        <v>1.0601137665800877</v>
      </c>
      <c r="Q1168" s="8">
        <f t="shared" si="149"/>
        <v>1.0935376202221798</v>
      </c>
      <c r="R1168" s="8">
        <f t="shared" si="150"/>
        <v>1.0315285535343222</v>
      </c>
      <c r="S1168" s="22">
        <f t="shared" si="151"/>
        <v>4.4783756728245597E-2</v>
      </c>
      <c r="T1168" s="25"/>
      <c r="U1168" s="1" t="s">
        <v>3313</v>
      </c>
    </row>
    <row r="1169" spans="1:21">
      <c r="A1169" s="6" t="s">
        <v>3314</v>
      </c>
      <c r="B1169" s="9" t="s">
        <v>3315</v>
      </c>
      <c r="C1169" s="10">
        <v>1.1263366900481031</v>
      </c>
      <c r="D1169" s="10">
        <v>1.2018823385298902</v>
      </c>
      <c r="E1169" s="10">
        <v>1.1133619795689116</v>
      </c>
      <c r="F1169" s="8">
        <v>1.0916823169874648</v>
      </c>
      <c r="G1169" s="8">
        <f t="shared" si="144"/>
        <v>1.1641095142889966</v>
      </c>
      <c r="H1169" s="8">
        <f t="shared" si="145"/>
        <v>1.1025221482781882</v>
      </c>
      <c r="I1169" s="8">
        <f t="shared" si="146"/>
        <v>0.94709486929292552</v>
      </c>
      <c r="J1169" s="22">
        <f t="shared" si="147"/>
        <v>-7.8419149021276002E-2</v>
      </c>
      <c r="K1169" s="8"/>
      <c r="L1169" s="8">
        <v>0.9594102180476749</v>
      </c>
      <c r="M1169" s="8">
        <v>0.88464023493515209</v>
      </c>
      <c r="N1169" s="8">
        <v>1.082567452994863</v>
      </c>
      <c r="O1169" s="8">
        <v>1.0326541082428571</v>
      </c>
      <c r="P1169" s="8">
        <f t="shared" si="148"/>
        <v>0.9220252264914135</v>
      </c>
      <c r="Q1169" s="8">
        <f t="shared" si="149"/>
        <v>1.0576107806188602</v>
      </c>
      <c r="R1169" s="8">
        <f t="shared" si="150"/>
        <v>1.1470518921086259</v>
      </c>
      <c r="S1169" s="22">
        <f t="shared" si="151"/>
        <v>0.19793065970102003</v>
      </c>
      <c r="T1169" s="25"/>
      <c r="U1169" s="1" t="s">
        <v>3316</v>
      </c>
    </row>
    <row r="1170" spans="1:21">
      <c r="A1170" s="6" t="s">
        <v>3317</v>
      </c>
      <c r="B1170" s="6" t="s">
        <v>3318</v>
      </c>
      <c r="C1170" s="7">
        <v>1.152193878290857</v>
      </c>
      <c r="D1170" s="7">
        <v>1.1146963607722604</v>
      </c>
      <c r="E1170" s="7">
        <v>1.3656430213649775</v>
      </c>
      <c r="F1170" s="8">
        <v>1.3673286348446143</v>
      </c>
      <c r="G1170" s="8">
        <f t="shared" si="144"/>
        <v>1.1334451195315587</v>
      </c>
      <c r="H1170" s="8">
        <f t="shared" si="145"/>
        <v>1.3664858281047958</v>
      </c>
      <c r="I1170" s="8">
        <f t="shared" si="146"/>
        <v>1.2056038749097535</v>
      </c>
      <c r="J1170" s="22">
        <f t="shared" si="147"/>
        <v>0.26975595899603666</v>
      </c>
      <c r="K1170" s="8"/>
      <c r="L1170" s="8">
        <v>1.1561836089676045</v>
      </c>
      <c r="M1170" s="8">
        <v>1.1765446878605157</v>
      </c>
      <c r="N1170" s="8">
        <v>0.91130816418133753</v>
      </c>
      <c r="O1170" s="8">
        <v>1.3912047953056801</v>
      </c>
      <c r="P1170" s="8">
        <f t="shared" si="148"/>
        <v>1.1663641484140601</v>
      </c>
      <c r="Q1170" s="8">
        <f t="shared" si="149"/>
        <v>1.1512564797435088</v>
      </c>
      <c r="R1170" s="8">
        <f t="shared" si="150"/>
        <v>0.98704721103516968</v>
      </c>
      <c r="S1170" s="22">
        <f t="shared" si="151"/>
        <v>-1.8809003622719363E-2</v>
      </c>
      <c r="T1170" s="25"/>
      <c r="U1170" s="1" t="s">
        <v>3319</v>
      </c>
    </row>
    <row r="1171" spans="1:21">
      <c r="A1171" s="6" t="s">
        <v>3320</v>
      </c>
      <c r="B1171" s="6" t="s">
        <v>3321</v>
      </c>
      <c r="C1171" s="7">
        <v>1.1881617603440116</v>
      </c>
      <c r="D1171" s="7">
        <v>1.0995750226296312</v>
      </c>
      <c r="E1171" s="7">
        <v>1.0686025555887162</v>
      </c>
      <c r="F1171" s="8">
        <v>1.1390209110906508</v>
      </c>
      <c r="G1171" s="8">
        <f t="shared" si="144"/>
        <v>1.1438683914868215</v>
      </c>
      <c r="H1171" s="8">
        <f t="shared" si="145"/>
        <v>1.1038117333396835</v>
      </c>
      <c r="I1171" s="8">
        <f t="shared" si="146"/>
        <v>0.96498141005970839</v>
      </c>
      <c r="J1171" s="22">
        <f t="shared" si="147"/>
        <v>-5.1426945121153582E-2</v>
      </c>
      <c r="K1171" s="8"/>
      <c r="L1171" s="8">
        <v>1.1941604428388033</v>
      </c>
      <c r="M1171" s="8">
        <v>1.1123855138897254</v>
      </c>
      <c r="N1171" s="8">
        <v>1.1795202234302529</v>
      </c>
      <c r="O1171" s="8">
        <v>1.0906712059673682</v>
      </c>
      <c r="P1171" s="8">
        <f t="shared" si="148"/>
        <v>1.1532729783642643</v>
      </c>
      <c r="Q1171" s="8">
        <f t="shared" si="149"/>
        <v>1.1350957146988105</v>
      </c>
      <c r="R1171" s="8">
        <f t="shared" si="150"/>
        <v>0.98423854195280347</v>
      </c>
      <c r="S1171" s="22">
        <f t="shared" si="151"/>
        <v>-2.292008258974991E-2</v>
      </c>
      <c r="T1171" s="25"/>
      <c r="U1171" s="1" t="s">
        <v>3322</v>
      </c>
    </row>
    <row r="1172" spans="1:21">
      <c r="A1172" s="6" t="s">
        <v>3323</v>
      </c>
      <c r="B1172" s="6" t="s">
        <v>3324</v>
      </c>
      <c r="C1172" s="7">
        <v>1.172334272369786</v>
      </c>
      <c r="D1172" s="7">
        <v>1.0691584638359184</v>
      </c>
      <c r="E1172" s="7">
        <v>1.0334405850196589</v>
      </c>
      <c r="F1172" s="8">
        <v>1.1428543699580813</v>
      </c>
      <c r="G1172" s="8">
        <f t="shared" si="144"/>
        <v>1.1207463681028522</v>
      </c>
      <c r="H1172" s="8">
        <f t="shared" si="145"/>
        <v>1.08814747748887</v>
      </c>
      <c r="I1172" s="8">
        <f t="shared" si="146"/>
        <v>0.97091323109155903</v>
      </c>
      <c r="J1172" s="22">
        <f t="shared" si="147"/>
        <v>-4.258572474995679E-2</v>
      </c>
      <c r="K1172" s="8"/>
      <c r="L1172" s="8">
        <v>1.1681105738001691</v>
      </c>
      <c r="M1172" s="8">
        <v>1.1531501158574584</v>
      </c>
      <c r="N1172" s="8">
        <v>1.330048376639569</v>
      </c>
      <c r="O1172" s="8">
        <v>1.3909034077850333</v>
      </c>
      <c r="P1172" s="8">
        <f t="shared" si="148"/>
        <v>1.1606303448288138</v>
      </c>
      <c r="Q1172" s="8">
        <f t="shared" si="149"/>
        <v>1.360475892212301</v>
      </c>
      <c r="R1172" s="8">
        <f t="shared" si="150"/>
        <v>1.1721870777150527</v>
      </c>
      <c r="S1172" s="22">
        <f t="shared" si="151"/>
        <v>0.22920283815034703</v>
      </c>
      <c r="T1172" s="25"/>
      <c r="U1172" s="1" t="s">
        <v>3325</v>
      </c>
    </row>
    <row r="1173" spans="1:21">
      <c r="A1173" s="6" t="s">
        <v>3326</v>
      </c>
      <c r="B1173" s="6" t="s">
        <v>3327</v>
      </c>
      <c r="C1173" s="7">
        <v>1.1232724343805984</v>
      </c>
      <c r="D1173" s="7">
        <v>1.0704400423241565</v>
      </c>
      <c r="E1173" s="7">
        <v>1.2210213056135835</v>
      </c>
      <c r="F1173" s="8">
        <v>1.1629249097055561</v>
      </c>
      <c r="G1173" s="8">
        <f t="shared" si="144"/>
        <v>1.0968562383523774</v>
      </c>
      <c r="H1173" s="8">
        <f t="shared" si="145"/>
        <v>1.1919731076595697</v>
      </c>
      <c r="I1173" s="8">
        <f t="shared" si="146"/>
        <v>1.0867177174012068</v>
      </c>
      <c r="J1173" s="22">
        <f t="shared" si="147"/>
        <v>0.11997723880720718</v>
      </c>
      <c r="K1173" s="8"/>
      <c r="L1173" s="8">
        <v>1.0031137173438955</v>
      </c>
      <c r="M1173" s="8">
        <v>0.96348697854695942</v>
      </c>
      <c r="N1173" s="8">
        <v>1.3007949728193107</v>
      </c>
      <c r="O1173" s="8">
        <v>1.325803703325322</v>
      </c>
      <c r="P1173" s="8">
        <f t="shared" si="148"/>
        <v>0.98330034794542742</v>
      </c>
      <c r="Q1173" s="8">
        <f t="shared" si="149"/>
        <v>1.3132993380723164</v>
      </c>
      <c r="R1173" s="8">
        <f t="shared" si="150"/>
        <v>1.3356034509866803</v>
      </c>
      <c r="S1173" s="22">
        <f t="shared" si="151"/>
        <v>0.41749172621278108</v>
      </c>
      <c r="T1173" s="25"/>
      <c r="U1173" s="1" t="s">
        <v>3328</v>
      </c>
    </row>
    <row r="1174" spans="1:21">
      <c r="A1174" s="6" t="s">
        <v>3329</v>
      </c>
      <c r="B1174" s="6" t="s">
        <v>3330</v>
      </c>
      <c r="C1174" s="7">
        <v>1.0739203695330348</v>
      </c>
      <c r="D1174" s="7">
        <v>1.0595369650347735</v>
      </c>
      <c r="E1174" s="7">
        <v>1.0247756196081081</v>
      </c>
      <c r="F1174" s="8">
        <v>1.0081001117740267</v>
      </c>
      <c r="G1174" s="8">
        <f t="shared" si="144"/>
        <v>1.066728667283904</v>
      </c>
      <c r="H1174" s="8">
        <f t="shared" si="145"/>
        <v>1.0164378656910675</v>
      </c>
      <c r="I1174" s="8">
        <f t="shared" si="146"/>
        <v>0.95285511383050525</v>
      </c>
      <c r="J1174" s="22">
        <f t="shared" si="147"/>
        <v>-6.9671232744969017E-2</v>
      </c>
      <c r="K1174" s="8"/>
      <c r="L1174" s="8">
        <v>0.9949758243714959</v>
      </c>
      <c r="M1174" s="8">
        <v>1.2147587537828026</v>
      </c>
      <c r="N1174" s="8">
        <v>1.3478110817415589</v>
      </c>
      <c r="O1174" s="8">
        <v>1.1962573007006345</v>
      </c>
      <c r="P1174" s="8">
        <f t="shared" si="148"/>
        <v>1.1048672890771494</v>
      </c>
      <c r="Q1174" s="8">
        <f t="shared" si="149"/>
        <v>1.2720341912210968</v>
      </c>
      <c r="R1174" s="8">
        <f t="shared" si="150"/>
        <v>1.1513004356238794</v>
      </c>
      <c r="S1174" s="22">
        <f t="shared" si="151"/>
        <v>0.20326435860164302</v>
      </c>
      <c r="T1174" s="25"/>
      <c r="U1174" s="1" t="s">
        <v>3331</v>
      </c>
    </row>
    <row r="1175" spans="1:21">
      <c r="A1175" s="6" t="s">
        <v>3332</v>
      </c>
      <c r="B1175" s="6" t="s">
        <v>3333</v>
      </c>
      <c r="C1175" s="7">
        <v>0.70012167486840526</v>
      </c>
      <c r="D1175" s="7">
        <v>0.70681951668142551</v>
      </c>
      <c r="E1175" s="7">
        <v>1.0104224773990744</v>
      </c>
      <c r="F1175" s="8">
        <v>1.0198067412652894</v>
      </c>
      <c r="G1175" s="8">
        <f t="shared" si="144"/>
        <v>0.70347059577491544</v>
      </c>
      <c r="H1175" s="8">
        <f t="shared" si="145"/>
        <v>1.0151146093321819</v>
      </c>
      <c r="I1175" s="8">
        <f t="shared" si="146"/>
        <v>1.4430092962364287</v>
      </c>
      <c r="J1175" s="22">
        <f t="shared" si="147"/>
        <v>0.52908059407096419</v>
      </c>
      <c r="K1175" s="8"/>
      <c r="L1175" s="8">
        <v>1.0204228865232854</v>
      </c>
      <c r="M1175" s="8">
        <v>0.99550060339324808</v>
      </c>
      <c r="N1175" s="8">
        <v>1.210784499526208</v>
      </c>
      <c r="O1175" s="8">
        <v>1.4077308776878137</v>
      </c>
      <c r="P1175" s="8">
        <f t="shared" si="148"/>
        <v>1.0079617449582667</v>
      </c>
      <c r="Q1175" s="8">
        <f t="shared" si="149"/>
        <v>1.3092576886070109</v>
      </c>
      <c r="R1175" s="8">
        <f t="shared" si="150"/>
        <v>1.2989160502923838</v>
      </c>
      <c r="S1175" s="22">
        <f t="shared" si="151"/>
        <v>0.37730819157054651</v>
      </c>
      <c r="T1175" s="25"/>
      <c r="U1175" s="1" t="s">
        <v>3334</v>
      </c>
    </row>
    <row r="1176" spans="1:21">
      <c r="A1176" s="6" t="s">
        <v>3335</v>
      </c>
      <c r="B1176" s="6" t="s">
        <v>3336</v>
      </c>
      <c r="C1176" s="7">
        <v>0.99352078030106294</v>
      </c>
      <c r="D1176" s="7">
        <v>1.1109160262366031</v>
      </c>
      <c r="E1176" s="7">
        <v>1.1119273826464693</v>
      </c>
      <c r="F1176" s="8">
        <v>1.0687455733001487</v>
      </c>
      <c r="G1176" s="8">
        <f t="shared" si="144"/>
        <v>1.0522184032688331</v>
      </c>
      <c r="H1176" s="8">
        <f t="shared" si="145"/>
        <v>1.0903364779733091</v>
      </c>
      <c r="I1176" s="8">
        <f t="shared" si="146"/>
        <v>1.0362263904395304</v>
      </c>
      <c r="J1176" s="22">
        <f t="shared" si="147"/>
        <v>5.1339231483308427E-2</v>
      </c>
      <c r="K1176" s="8"/>
      <c r="L1176" s="8">
        <v>1.1242348439648502</v>
      </c>
      <c r="M1176" s="8">
        <v>1.0736877256139918</v>
      </c>
      <c r="N1176" s="8">
        <v>1.1910109221485212</v>
      </c>
      <c r="O1176" s="8">
        <v>1.3110859460670694</v>
      </c>
      <c r="P1176" s="8">
        <f t="shared" si="148"/>
        <v>1.098961284789421</v>
      </c>
      <c r="Q1176" s="8">
        <f t="shared" si="149"/>
        <v>1.2510484341077954</v>
      </c>
      <c r="R1176" s="8">
        <f t="shared" si="150"/>
        <v>1.1383917262813465</v>
      </c>
      <c r="S1176" s="22">
        <f t="shared" si="151"/>
        <v>0.18699708165004125</v>
      </c>
      <c r="T1176" s="25"/>
      <c r="U1176" s="1" t="s">
        <v>3337</v>
      </c>
    </row>
    <row r="1177" spans="1:21">
      <c r="A1177" s="6" t="s">
        <v>3338</v>
      </c>
      <c r="B1177" s="13" t="s">
        <v>3339</v>
      </c>
      <c r="C1177" s="14">
        <v>1.0360558887077023</v>
      </c>
      <c r="D1177" s="14">
        <v>1.0594146032695648</v>
      </c>
      <c r="E1177" s="14">
        <v>0.97116473261644465</v>
      </c>
      <c r="F1177" s="8">
        <v>1.1192704189295108</v>
      </c>
      <c r="G1177" s="8">
        <f t="shared" si="144"/>
        <v>1.0477352459886335</v>
      </c>
      <c r="H1177" s="8">
        <f t="shared" si="145"/>
        <v>1.0452175757729778</v>
      </c>
      <c r="I1177" s="8">
        <f t="shared" si="146"/>
        <v>0.99759703586827408</v>
      </c>
      <c r="J1177" s="22">
        <f t="shared" si="147"/>
        <v>-3.4709163521917164E-3</v>
      </c>
      <c r="K1177" s="8"/>
      <c r="L1177" s="8">
        <v>1.1907588896916097</v>
      </c>
      <c r="M1177" s="8">
        <v>1.4267170941112528</v>
      </c>
      <c r="N1177" s="8">
        <v>1.5159583063188868</v>
      </c>
      <c r="O1177" s="8">
        <v>1.5928832778718378</v>
      </c>
      <c r="P1177" s="8">
        <f t="shared" si="148"/>
        <v>1.3087379919014313</v>
      </c>
      <c r="Q1177" s="8">
        <f t="shared" si="149"/>
        <v>1.5544207920953623</v>
      </c>
      <c r="R1177" s="8">
        <f t="shared" si="150"/>
        <v>1.1877249699437433</v>
      </c>
      <c r="S1177" s="22">
        <f t="shared" si="151"/>
        <v>0.24820080378640791</v>
      </c>
      <c r="T1177" s="25"/>
      <c r="U1177" s="1" t="s">
        <v>3340</v>
      </c>
    </row>
    <row r="1178" spans="1:21">
      <c r="A1178" s="6" t="s">
        <v>3341</v>
      </c>
      <c r="B1178" s="6" t="s">
        <v>3342</v>
      </c>
      <c r="C1178" s="7">
        <v>1.1069049894605572</v>
      </c>
      <c r="D1178" s="7">
        <v>1.0480285190122529</v>
      </c>
      <c r="E1178" s="7">
        <v>0.97315164935402698</v>
      </c>
      <c r="F1178" s="8">
        <v>1.0008385876485228</v>
      </c>
      <c r="G1178" s="8">
        <f t="shared" si="144"/>
        <v>1.0774667542364051</v>
      </c>
      <c r="H1178" s="8">
        <f t="shared" si="145"/>
        <v>0.98699511850127486</v>
      </c>
      <c r="I1178" s="8">
        <f t="shared" si="146"/>
        <v>0.91603301412371929</v>
      </c>
      <c r="J1178" s="22">
        <f t="shared" si="147"/>
        <v>-0.12652850043602634</v>
      </c>
      <c r="K1178" s="8"/>
      <c r="L1178" s="8">
        <v>1.0016928153963338</v>
      </c>
      <c r="M1178" s="8">
        <v>0.9037252805165934</v>
      </c>
      <c r="N1178" s="8">
        <v>1.2338616527853972</v>
      </c>
      <c r="O1178" s="8">
        <v>1.3335393163552569</v>
      </c>
      <c r="P1178" s="8">
        <f t="shared" si="148"/>
        <v>0.95270904795646361</v>
      </c>
      <c r="Q1178" s="8">
        <f t="shared" si="149"/>
        <v>1.283700484570327</v>
      </c>
      <c r="R1178" s="8">
        <f t="shared" si="150"/>
        <v>1.3474213216761524</v>
      </c>
      <c r="S1178" s="22">
        <f t="shared" si="151"/>
        <v>0.43020103391168285</v>
      </c>
      <c r="T1178" s="25"/>
      <c r="U1178" s="1" t="s">
        <v>3343</v>
      </c>
    </row>
    <row r="1179" spans="1:21">
      <c r="A1179" s="6" t="s">
        <v>3344</v>
      </c>
      <c r="B1179" s="6" t="s">
        <v>80</v>
      </c>
      <c r="C1179" s="7">
        <v>1.0283682516916497</v>
      </c>
      <c r="D1179" s="7">
        <v>1.0296291735806125</v>
      </c>
      <c r="E1179" s="7">
        <v>1.0507346509196991</v>
      </c>
      <c r="F1179" s="8">
        <v>0.965064379664895</v>
      </c>
      <c r="G1179" s="8">
        <f t="shared" si="144"/>
        <v>1.0289987126361311</v>
      </c>
      <c r="H1179" s="8">
        <f t="shared" si="145"/>
        <v>1.0078995152922969</v>
      </c>
      <c r="I1179" s="8">
        <f t="shared" si="146"/>
        <v>0.97949540938707169</v>
      </c>
      <c r="J1179" s="22">
        <f t="shared" si="147"/>
        <v>-2.9889363874873745E-2</v>
      </c>
      <c r="K1179" s="8"/>
      <c r="L1179" s="8">
        <v>1.2153878567826819</v>
      </c>
      <c r="M1179" s="8">
        <v>1.2241253775359064</v>
      </c>
      <c r="N1179" s="8">
        <v>1.3668664904493542</v>
      </c>
      <c r="O1179" s="8">
        <v>1.5882117713018122</v>
      </c>
      <c r="P1179" s="8">
        <f t="shared" si="148"/>
        <v>1.2197566171592942</v>
      </c>
      <c r="Q1179" s="8">
        <f t="shared" si="149"/>
        <v>1.4775391308755832</v>
      </c>
      <c r="R1179" s="8">
        <f t="shared" si="150"/>
        <v>1.2113393033412205</v>
      </c>
      <c r="S1179" s="22">
        <f t="shared" si="151"/>
        <v>0.27660302909816109</v>
      </c>
      <c r="T1179" s="25"/>
      <c r="U1179" s="1">
        <v>0</v>
      </c>
    </row>
    <row r="1180" spans="1:21">
      <c r="A1180" s="6" t="s">
        <v>3345</v>
      </c>
      <c r="B1180" s="6" t="s">
        <v>80</v>
      </c>
      <c r="C1180" s="7">
        <v>0.96206828820729284</v>
      </c>
      <c r="D1180" s="7">
        <v>1.1472123898532378</v>
      </c>
      <c r="E1180" s="7">
        <v>0.94922257268769183</v>
      </c>
      <c r="F1180" s="8">
        <v>1.0288036345255853</v>
      </c>
      <c r="G1180" s="8">
        <f t="shared" si="144"/>
        <v>1.0546403390302652</v>
      </c>
      <c r="H1180" s="8">
        <f t="shared" si="145"/>
        <v>0.98901310360663852</v>
      </c>
      <c r="I1180" s="8">
        <f t="shared" si="146"/>
        <v>0.9377728757426721</v>
      </c>
      <c r="J1180" s="22">
        <f t="shared" si="147"/>
        <v>-9.2689543912931577E-2</v>
      </c>
      <c r="K1180" s="8"/>
      <c r="L1180" s="8">
        <v>1.3309114908829383</v>
      </c>
      <c r="M1180" s="8">
        <v>1.3764099693527991</v>
      </c>
      <c r="N1180" s="8">
        <v>1.5836097950226922</v>
      </c>
      <c r="O1180" s="8">
        <v>1.6880212718893479</v>
      </c>
      <c r="P1180" s="8">
        <f t="shared" si="148"/>
        <v>1.3536607301178687</v>
      </c>
      <c r="Q1180" s="8">
        <f t="shared" si="149"/>
        <v>1.63581553345602</v>
      </c>
      <c r="R1180" s="8">
        <f t="shared" si="150"/>
        <v>1.2084383457837202</v>
      </c>
      <c r="S1180" s="22">
        <f t="shared" si="151"/>
        <v>0.27314386904797539</v>
      </c>
      <c r="T1180" s="25"/>
      <c r="U1180" s="1">
        <v>0</v>
      </c>
    </row>
    <row r="1181" spans="1:21">
      <c r="A1181" s="6" t="s">
        <v>3346</v>
      </c>
      <c r="B1181" s="6" t="s">
        <v>3347</v>
      </c>
      <c r="C1181" s="7">
        <v>1.1874328184671603</v>
      </c>
      <c r="D1181" s="7">
        <v>1.2565973678568825</v>
      </c>
      <c r="E1181" s="7">
        <v>1.0832497901668505</v>
      </c>
      <c r="F1181" s="8">
        <v>1.1393409586769856</v>
      </c>
      <c r="G1181" s="8">
        <f t="shared" si="144"/>
        <v>1.2220150931620215</v>
      </c>
      <c r="H1181" s="8">
        <f t="shared" si="145"/>
        <v>1.1112953744219181</v>
      </c>
      <c r="I1181" s="8">
        <f t="shared" si="146"/>
        <v>0.9093957845859244</v>
      </c>
      <c r="J1181" s="22">
        <f t="shared" si="147"/>
        <v>-0.13701977825936021</v>
      </c>
      <c r="K1181" s="8"/>
      <c r="L1181" s="8">
        <v>1.3233333471626083</v>
      </c>
      <c r="M1181" s="8">
        <v>1.1261496135832534</v>
      </c>
      <c r="N1181" s="8">
        <v>1.3472844247169717</v>
      </c>
      <c r="O1181" s="8">
        <v>1.2632155615376677</v>
      </c>
      <c r="P1181" s="8">
        <f t="shared" si="148"/>
        <v>1.2247414803729308</v>
      </c>
      <c r="Q1181" s="8">
        <f t="shared" si="149"/>
        <v>1.3052499931273198</v>
      </c>
      <c r="R1181" s="8">
        <f t="shared" si="150"/>
        <v>1.0657351074039514</v>
      </c>
      <c r="S1181" s="22">
        <f t="shared" si="151"/>
        <v>9.1848895203717876E-2</v>
      </c>
      <c r="T1181" s="25"/>
      <c r="U1181" s="1" t="s">
        <v>3348</v>
      </c>
    </row>
    <row r="1182" spans="1:21">
      <c r="A1182" s="6" t="s">
        <v>3349</v>
      </c>
      <c r="B1182" s="6" t="s">
        <v>3350</v>
      </c>
      <c r="C1182" s="7">
        <v>1.1737989055853115</v>
      </c>
      <c r="D1182" s="7">
        <v>1.0841187996559045</v>
      </c>
      <c r="E1182" s="7">
        <v>1.0113693113678861</v>
      </c>
      <c r="F1182" s="8">
        <v>1.0205819676410777</v>
      </c>
      <c r="G1182" s="8">
        <f t="shared" si="144"/>
        <v>1.128958852620608</v>
      </c>
      <c r="H1182" s="8">
        <f t="shared" si="145"/>
        <v>1.0159756395044819</v>
      </c>
      <c r="I1182" s="8">
        <f t="shared" si="146"/>
        <v>0.89992264744294037</v>
      </c>
      <c r="J1182" s="22">
        <f t="shared" si="147"/>
        <v>-0.15212709449664766</v>
      </c>
      <c r="K1182" s="8"/>
      <c r="L1182" s="8">
        <v>1.0551273401516144</v>
      </c>
      <c r="M1182" s="8">
        <v>0.84946042741175787</v>
      </c>
      <c r="N1182" s="8">
        <v>0.94803052216847039</v>
      </c>
      <c r="O1182" s="8">
        <v>1.0160777946072825</v>
      </c>
      <c r="P1182" s="8">
        <f t="shared" si="148"/>
        <v>0.95229388378168611</v>
      </c>
      <c r="Q1182" s="8">
        <f t="shared" si="149"/>
        <v>0.98205415838787646</v>
      </c>
      <c r="R1182" s="8">
        <f t="shared" si="150"/>
        <v>1.0312511453796263</v>
      </c>
      <c r="S1182" s="22">
        <f t="shared" si="151"/>
        <v>4.4395721717327696E-2</v>
      </c>
      <c r="T1182" s="25"/>
      <c r="U1182" s="1" t="s">
        <v>3351</v>
      </c>
    </row>
    <row r="1183" spans="1:21">
      <c r="A1183" s="6" t="s">
        <v>3352</v>
      </c>
      <c r="B1183" s="6" t="s">
        <v>3353</v>
      </c>
      <c r="C1183" s="7">
        <v>1.1212475958337893</v>
      </c>
      <c r="D1183" s="7">
        <v>1.1191722253417355</v>
      </c>
      <c r="E1183" s="7">
        <v>1.0847417709661904</v>
      </c>
      <c r="F1183" s="8">
        <v>1.1497816221600801</v>
      </c>
      <c r="G1183" s="8">
        <f t="shared" si="144"/>
        <v>1.1202099105877625</v>
      </c>
      <c r="H1183" s="8">
        <f t="shared" si="145"/>
        <v>1.1172616965631352</v>
      </c>
      <c r="I1183" s="8">
        <f t="shared" si="146"/>
        <v>0.99736815930946332</v>
      </c>
      <c r="J1183" s="22">
        <f t="shared" si="147"/>
        <v>-3.8019487718238087E-3</v>
      </c>
      <c r="K1183" s="8"/>
      <c r="L1183" s="8">
        <v>0.85719139309277048</v>
      </c>
      <c r="M1183" s="8">
        <v>1.2756198207982747</v>
      </c>
      <c r="N1183" s="8">
        <v>0.88344321978953666</v>
      </c>
      <c r="O1183" s="8">
        <v>0.97604348561469778</v>
      </c>
      <c r="P1183" s="8">
        <f t="shared" si="148"/>
        <v>1.0664056069455226</v>
      </c>
      <c r="Q1183" s="8">
        <f t="shared" si="149"/>
        <v>0.92974335270211728</v>
      </c>
      <c r="R1183" s="8">
        <f t="shared" si="150"/>
        <v>0.87184777222351317</v>
      </c>
      <c r="S1183" s="22">
        <f t="shared" si="151"/>
        <v>-0.19785183767206285</v>
      </c>
      <c r="T1183" s="25"/>
      <c r="U1183" s="1" t="s">
        <v>3354</v>
      </c>
    </row>
    <row r="1184" spans="1:21">
      <c r="A1184" s="6" t="s">
        <v>3355</v>
      </c>
      <c r="B1184" s="9" t="s">
        <v>3356</v>
      </c>
      <c r="C1184" s="10">
        <v>1.1263704373572165</v>
      </c>
      <c r="D1184" s="10">
        <v>1.1138655887874227</v>
      </c>
      <c r="E1184" s="10">
        <v>1.1285543609775741</v>
      </c>
      <c r="F1184" s="8">
        <v>1.0416979961705788</v>
      </c>
      <c r="G1184" s="8">
        <f t="shared" si="144"/>
        <v>1.1201180130723196</v>
      </c>
      <c r="H1184" s="8">
        <f t="shared" si="145"/>
        <v>1.0851261785740764</v>
      </c>
      <c r="I1184" s="8">
        <f t="shared" si="146"/>
        <v>0.96876058228698092</v>
      </c>
      <c r="J1184" s="22">
        <f t="shared" si="147"/>
        <v>-4.5787930201962486E-2</v>
      </c>
      <c r="K1184" s="8"/>
      <c r="L1184" s="8">
        <v>0.82640518422893028</v>
      </c>
      <c r="M1184" s="8">
        <v>0.86753405352690161</v>
      </c>
      <c r="N1184" s="8">
        <v>1.0430681761508154</v>
      </c>
      <c r="O1184" s="8">
        <v>1.0093468066461704</v>
      </c>
      <c r="P1184" s="8">
        <f t="shared" si="148"/>
        <v>0.84696961887791589</v>
      </c>
      <c r="Q1184" s="8">
        <f t="shared" si="149"/>
        <v>1.0262074913984929</v>
      </c>
      <c r="R1184" s="8">
        <f t="shared" si="150"/>
        <v>1.2116225523626636</v>
      </c>
      <c r="S1184" s="22">
        <f t="shared" si="151"/>
        <v>0.27694033689314107</v>
      </c>
      <c r="T1184" s="25"/>
      <c r="U1184" s="1" t="s">
        <v>3357</v>
      </c>
    </row>
    <row r="1185" spans="1:21">
      <c r="A1185" s="6" t="s">
        <v>3358</v>
      </c>
      <c r="B1185" s="6" t="s">
        <v>3359</v>
      </c>
      <c r="C1185" s="7">
        <v>1.2224152790942011</v>
      </c>
      <c r="D1185" s="7">
        <v>1.1156559346152126</v>
      </c>
      <c r="E1185" s="7">
        <v>1.0495295895048475</v>
      </c>
      <c r="F1185" s="8">
        <v>1.04920133402798</v>
      </c>
      <c r="G1185" s="8">
        <f t="shared" si="144"/>
        <v>1.169035606854707</v>
      </c>
      <c r="H1185" s="8">
        <f t="shared" si="145"/>
        <v>1.0493654617664139</v>
      </c>
      <c r="I1185" s="8">
        <f t="shared" si="146"/>
        <v>0.89763344727346162</v>
      </c>
      <c r="J1185" s="22">
        <f t="shared" si="147"/>
        <v>-0.1558016607894443</v>
      </c>
      <c r="K1185" s="8"/>
      <c r="L1185" s="8">
        <v>0.85206753455459283</v>
      </c>
      <c r="M1185" s="8">
        <v>1.1673539631450289</v>
      </c>
      <c r="N1185" s="8">
        <v>0.9516213655179292</v>
      </c>
      <c r="O1185" s="8">
        <v>1.0557102535723382</v>
      </c>
      <c r="P1185" s="8">
        <f t="shared" si="148"/>
        <v>1.0097107488498109</v>
      </c>
      <c r="Q1185" s="8">
        <f t="shared" si="149"/>
        <v>1.0036658095451336</v>
      </c>
      <c r="R1185" s="8">
        <f t="shared" si="150"/>
        <v>0.99401319703532598</v>
      </c>
      <c r="S1185" s="22">
        <f t="shared" si="151"/>
        <v>-8.6630890041963799E-3</v>
      </c>
      <c r="T1185" s="25"/>
      <c r="U1185" s="1" t="s">
        <v>3360</v>
      </c>
    </row>
    <row r="1186" spans="1:21">
      <c r="A1186" s="6" t="s">
        <v>3361</v>
      </c>
      <c r="B1186" s="6" t="s">
        <v>3362</v>
      </c>
      <c r="C1186" s="7">
        <v>1.2116566369488213</v>
      </c>
      <c r="D1186" s="7">
        <v>1.074420019739891</v>
      </c>
      <c r="E1186" s="7">
        <v>1.1063826655412303</v>
      </c>
      <c r="F1186" s="8">
        <v>1.1551157485989909</v>
      </c>
      <c r="G1186" s="8">
        <f t="shared" si="144"/>
        <v>1.1430383283443561</v>
      </c>
      <c r="H1186" s="8">
        <f t="shared" si="145"/>
        <v>1.1307492070701106</v>
      </c>
      <c r="I1186" s="8">
        <f t="shared" si="146"/>
        <v>0.98924872336341874</v>
      </c>
      <c r="J1186" s="22">
        <f t="shared" si="147"/>
        <v>-1.5594796502328524E-2</v>
      </c>
      <c r="K1186" s="8"/>
      <c r="L1186" s="8">
        <v>1.0708003192095694</v>
      </c>
      <c r="M1186" s="8">
        <v>1.1882419738620442</v>
      </c>
      <c r="N1186" s="8">
        <v>0.94051369009026975</v>
      </c>
      <c r="O1186" s="8">
        <v>0.97935874834181269</v>
      </c>
      <c r="P1186" s="8">
        <f t="shared" si="148"/>
        <v>1.1295211465358068</v>
      </c>
      <c r="Q1186" s="8">
        <f t="shared" si="149"/>
        <v>0.95993621921604122</v>
      </c>
      <c r="R1186" s="8">
        <f t="shared" si="150"/>
        <v>0.84986121965057904</v>
      </c>
      <c r="S1186" s="22">
        <f t="shared" si="151"/>
        <v>-0.23470082312941773</v>
      </c>
      <c r="T1186" s="25"/>
      <c r="U1186" s="1" t="s">
        <v>3363</v>
      </c>
    </row>
    <row r="1187" spans="1:21">
      <c r="A1187" s="6" t="s">
        <v>3364</v>
      </c>
      <c r="B1187" s="6" t="s">
        <v>3365</v>
      </c>
      <c r="C1187" s="7">
        <v>1.0957751269149292</v>
      </c>
      <c r="D1187" s="7">
        <v>1.0874483276881615</v>
      </c>
      <c r="E1187" s="7">
        <v>1.090308007025266</v>
      </c>
      <c r="F1187" s="8">
        <v>1.0956580192265994</v>
      </c>
      <c r="G1187" s="8">
        <f t="shared" si="144"/>
        <v>1.0916117273015453</v>
      </c>
      <c r="H1187" s="8">
        <f t="shared" si="145"/>
        <v>1.0929830131259326</v>
      </c>
      <c r="I1187" s="8">
        <f t="shared" si="146"/>
        <v>1.0012562029062999</v>
      </c>
      <c r="J1187" s="22">
        <f t="shared" si="147"/>
        <v>1.8111803362956742E-3</v>
      </c>
      <c r="K1187" s="8"/>
      <c r="L1187" s="8">
        <v>0.81245451056195928</v>
      </c>
      <c r="M1187" s="8">
        <v>1.217353264587653</v>
      </c>
      <c r="N1187" s="8">
        <v>0.98097052516083982</v>
      </c>
      <c r="O1187" s="8">
        <v>1.0599296788613937</v>
      </c>
      <c r="P1187" s="8">
        <f t="shared" si="148"/>
        <v>1.0149038875748062</v>
      </c>
      <c r="Q1187" s="8">
        <f t="shared" si="149"/>
        <v>1.0204501020111167</v>
      </c>
      <c r="R1187" s="8">
        <f t="shared" si="150"/>
        <v>1.0054647681462368</v>
      </c>
      <c r="S1187" s="22">
        <f t="shared" si="151"/>
        <v>7.8625299662629464E-3</v>
      </c>
      <c r="T1187" s="25"/>
      <c r="U1187" s="1" t="s">
        <v>3366</v>
      </c>
    </row>
    <row r="1188" spans="1:21">
      <c r="A1188" s="6" t="s">
        <v>3367</v>
      </c>
      <c r="B1188" s="6" t="s">
        <v>3368</v>
      </c>
      <c r="C1188" s="7">
        <v>1.1089028301600756</v>
      </c>
      <c r="D1188" s="7">
        <v>1.0578818611580036</v>
      </c>
      <c r="E1188" s="7">
        <v>1.086599573980753</v>
      </c>
      <c r="F1188" s="8">
        <v>1.1774408457879784</v>
      </c>
      <c r="G1188" s="8">
        <f t="shared" si="144"/>
        <v>1.0833923456590395</v>
      </c>
      <c r="H1188" s="8">
        <f t="shared" si="145"/>
        <v>1.1320202098843657</v>
      </c>
      <c r="I1188" s="8">
        <f t="shared" si="146"/>
        <v>1.044884814278197</v>
      </c>
      <c r="J1188" s="22">
        <f t="shared" si="147"/>
        <v>6.3343911656565013E-2</v>
      </c>
      <c r="K1188" s="8"/>
      <c r="L1188" s="8">
        <v>0.88875263938255344</v>
      </c>
      <c r="M1188" s="8">
        <v>1.2537203906149617</v>
      </c>
      <c r="N1188" s="8">
        <v>0.94132761458281378</v>
      </c>
      <c r="O1188" s="8">
        <v>0.97222591035317152</v>
      </c>
      <c r="P1188" s="8">
        <f t="shared" si="148"/>
        <v>1.0712365149987575</v>
      </c>
      <c r="Q1188" s="8">
        <f t="shared" si="149"/>
        <v>0.95677676246799259</v>
      </c>
      <c r="R1188" s="8">
        <f t="shared" si="150"/>
        <v>0.89315174480315618</v>
      </c>
      <c r="S1188" s="22">
        <f t="shared" si="151"/>
        <v>-0.16302278754000507</v>
      </c>
      <c r="T1188" s="25"/>
      <c r="U1188" s="1" t="s">
        <v>3369</v>
      </c>
    </row>
    <row r="1189" spans="1:21">
      <c r="A1189" s="6" t="s">
        <v>3370</v>
      </c>
      <c r="B1189" s="6" t="s">
        <v>3371</v>
      </c>
      <c r="C1189" s="7">
        <v>1.0393968723099374</v>
      </c>
      <c r="D1189" s="7">
        <v>1.137410568450733</v>
      </c>
      <c r="E1189" s="7">
        <v>1.0999628443133018</v>
      </c>
      <c r="F1189" s="8">
        <v>1.0551399947966338</v>
      </c>
      <c r="G1189" s="8">
        <f t="shared" si="144"/>
        <v>1.0884037203803352</v>
      </c>
      <c r="H1189" s="8">
        <f t="shared" si="145"/>
        <v>1.0775514195549678</v>
      </c>
      <c r="I1189" s="8">
        <f t="shared" si="146"/>
        <v>0.99002915864567687</v>
      </c>
      <c r="J1189" s="22">
        <f t="shared" si="147"/>
        <v>-1.4457078367816779E-2</v>
      </c>
      <c r="K1189" s="8"/>
      <c r="L1189" s="8">
        <v>1.2258078043981355</v>
      </c>
      <c r="M1189" s="8">
        <v>1.259744932653343</v>
      </c>
      <c r="N1189" s="8">
        <v>1.4532861203929979</v>
      </c>
      <c r="O1189" s="8">
        <v>1.5241166919109239</v>
      </c>
      <c r="P1189" s="8">
        <f t="shared" si="148"/>
        <v>1.2427763685257394</v>
      </c>
      <c r="Q1189" s="8">
        <f t="shared" si="149"/>
        <v>1.4887014061519608</v>
      </c>
      <c r="R1189" s="8">
        <f t="shared" si="150"/>
        <v>1.1978835805495347</v>
      </c>
      <c r="S1189" s="22">
        <f t="shared" si="151"/>
        <v>0.26048770284682188</v>
      </c>
      <c r="T1189" s="25"/>
      <c r="U1189" s="1" t="s">
        <v>3372</v>
      </c>
    </row>
    <row r="1190" spans="1:21">
      <c r="A1190" s="6" t="s">
        <v>3373</v>
      </c>
      <c r="B1190" s="6" t="s">
        <v>3374</v>
      </c>
      <c r="C1190" s="7">
        <v>1.1910572794659489</v>
      </c>
      <c r="D1190" s="7">
        <v>1.1175879624869285</v>
      </c>
      <c r="E1190" s="7">
        <v>1.0645785112212658</v>
      </c>
      <c r="F1190" s="8">
        <v>1.0029935747298429</v>
      </c>
      <c r="G1190" s="8">
        <f t="shared" si="144"/>
        <v>1.1543226209764388</v>
      </c>
      <c r="H1190" s="8">
        <f t="shared" si="145"/>
        <v>1.0337860429755543</v>
      </c>
      <c r="I1190" s="8">
        <f t="shared" si="146"/>
        <v>0.89557808552783724</v>
      </c>
      <c r="J1190" s="22">
        <f t="shared" si="147"/>
        <v>-0.15910886849131883</v>
      </c>
      <c r="K1190" s="8"/>
      <c r="L1190" s="8">
        <v>0.97491096656653142</v>
      </c>
      <c r="M1190" s="8">
        <v>0.81634743358036299</v>
      </c>
      <c r="N1190" s="8">
        <v>1.2530606952271706</v>
      </c>
      <c r="O1190" s="8">
        <v>0.86759420943528698</v>
      </c>
      <c r="P1190" s="8">
        <f t="shared" si="148"/>
        <v>0.89562920007344715</v>
      </c>
      <c r="Q1190" s="8">
        <f t="shared" si="149"/>
        <v>1.0603274523312287</v>
      </c>
      <c r="R1190" s="8">
        <f t="shared" si="150"/>
        <v>1.1838911150331803</v>
      </c>
      <c r="S1190" s="22">
        <f t="shared" si="151"/>
        <v>0.24353639935766924</v>
      </c>
      <c r="T1190" s="25"/>
      <c r="U1190" s="1" t="s">
        <v>3375</v>
      </c>
    </row>
    <row r="1191" spans="1:21">
      <c r="A1191" s="6" t="s">
        <v>3376</v>
      </c>
      <c r="B1191" s="6" t="s">
        <v>3377</v>
      </c>
      <c r="C1191" s="7">
        <v>1.2397613959785336</v>
      </c>
      <c r="D1191" s="7">
        <v>1.0395597968412318</v>
      </c>
      <c r="E1191" s="7">
        <v>1.136480508974067</v>
      </c>
      <c r="F1191" s="8">
        <v>1.1192277459179996</v>
      </c>
      <c r="G1191" s="8">
        <f t="shared" si="144"/>
        <v>1.1396605964098827</v>
      </c>
      <c r="H1191" s="8">
        <f t="shared" si="145"/>
        <v>1.1278541274460334</v>
      </c>
      <c r="I1191" s="8">
        <f t="shared" si="146"/>
        <v>0.98964036398113475</v>
      </c>
      <c r="J1191" s="22">
        <f t="shared" si="147"/>
        <v>-1.5023750870736638E-2</v>
      </c>
      <c r="K1191" s="8"/>
      <c r="L1191" s="8">
        <v>1.2819980177789907</v>
      </c>
      <c r="M1191" s="8">
        <v>1.2853382426266122</v>
      </c>
      <c r="N1191" s="8">
        <v>1.0247788140242382</v>
      </c>
      <c r="O1191" s="8">
        <v>1.0864517806783129</v>
      </c>
      <c r="P1191" s="8">
        <f t="shared" si="148"/>
        <v>1.2836681302028015</v>
      </c>
      <c r="Q1191" s="8">
        <f t="shared" si="149"/>
        <v>1.0556152973512756</v>
      </c>
      <c r="R1191" s="8">
        <f t="shared" si="150"/>
        <v>0.82234284120187917</v>
      </c>
      <c r="S1191" s="22">
        <f t="shared" si="151"/>
        <v>-0.28218810465081012</v>
      </c>
      <c r="T1191" s="25"/>
      <c r="U1191" s="1" t="s">
        <v>3378</v>
      </c>
    </row>
    <row r="1192" spans="1:21">
      <c r="A1192" s="6" t="s">
        <v>3379</v>
      </c>
      <c r="B1192" s="6" t="s">
        <v>3380</v>
      </c>
      <c r="C1192" s="7">
        <v>1.1377297816048164</v>
      </c>
      <c r="D1192" s="7">
        <v>1.1818407694072912</v>
      </c>
      <c r="E1192" s="7">
        <v>1.1294581570387126</v>
      </c>
      <c r="F1192" s="8">
        <v>1.2281221591262153</v>
      </c>
      <c r="G1192" s="8">
        <f t="shared" si="144"/>
        <v>1.1597852755060538</v>
      </c>
      <c r="H1192" s="8">
        <f t="shared" si="145"/>
        <v>1.1787901580824638</v>
      </c>
      <c r="I1192" s="8">
        <f t="shared" si="146"/>
        <v>1.0163865527333218</v>
      </c>
      <c r="J1192" s="22">
        <f t="shared" si="147"/>
        <v>2.3449193103977112E-2</v>
      </c>
      <c r="K1192" s="8"/>
      <c r="L1192" s="8">
        <v>1.1669049600264805</v>
      </c>
      <c r="M1192" s="8">
        <v>0.98463883782040018</v>
      </c>
      <c r="N1192" s="8">
        <v>0.9770924143434242</v>
      </c>
      <c r="O1192" s="8">
        <v>0.99854708715632634</v>
      </c>
      <c r="P1192" s="8">
        <f t="shared" si="148"/>
        <v>1.0757718989234404</v>
      </c>
      <c r="Q1192" s="8">
        <f t="shared" si="149"/>
        <v>0.98781975074987527</v>
      </c>
      <c r="R1192" s="8">
        <f t="shared" si="150"/>
        <v>0.9182427536343144</v>
      </c>
      <c r="S1192" s="22">
        <f t="shared" si="151"/>
        <v>-0.12305248899668515</v>
      </c>
      <c r="T1192" s="25"/>
      <c r="U1192" s="1" t="s">
        <v>3381</v>
      </c>
    </row>
    <row r="1193" spans="1:21">
      <c r="A1193" s="6" t="s">
        <v>3382</v>
      </c>
      <c r="B1193" s="6" t="s">
        <v>3383</v>
      </c>
      <c r="C1193" s="7">
        <v>1.1698909671899698</v>
      </c>
      <c r="D1193" s="7">
        <v>1.1219350251982891</v>
      </c>
      <c r="E1193" s="7">
        <v>1.2490318105242666</v>
      </c>
      <c r="F1193" s="8">
        <v>1.1480391408567026</v>
      </c>
      <c r="G1193" s="8">
        <f t="shared" si="144"/>
        <v>1.1459129961941295</v>
      </c>
      <c r="H1193" s="8">
        <f t="shared" si="145"/>
        <v>1.1985354756904845</v>
      </c>
      <c r="I1193" s="8">
        <f t="shared" si="146"/>
        <v>1.0459218803444308</v>
      </c>
      <c r="J1193" s="22">
        <f t="shared" si="147"/>
        <v>6.47751010605188E-2</v>
      </c>
      <c r="K1193" s="8"/>
      <c r="L1193" s="8">
        <v>1.2917290432380506</v>
      </c>
      <c r="M1193" s="8">
        <v>0.77158112850684391</v>
      </c>
      <c r="N1193" s="8">
        <v>0.9166226123385367</v>
      </c>
      <c r="O1193" s="8">
        <v>0.90757828717443056</v>
      </c>
      <c r="P1193" s="8">
        <f t="shared" si="148"/>
        <v>1.0316550858724471</v>
      </c>
      <c r="Q1193" s="8">
        <f t="shared" si="149"/>
        <v>0.91210044975648363</v>
      </c>
      <c r="R1193" s="8">
        <f t="shared" si="150"/>
        <v>0.88411375298474015</v>
      </c>
      <c r="S1193" s="22">
        <f t="shared" si="151"/>
        <v>-0.17769609143694956</v>
      </c>
      <c r="T1193" s="25"/>
      <c r="U1193" s="1" t="s">
        <v>3384</v>
      </c>
    </row>
    <row r="1194" spans="1:21">
      <c r="A1194" s="6" t="s">
        <v>3385</v>
      </c>
      <c r="B1194" s="6" t="s">
        <v>3386</v>
      </c>
      <c r="C1194" s="7">
        <v>1.0601042211819731</v>
      </c>
      <c r="D1194" s="7">
        <v>1.1115213949697407</v>
      </c>
      <c r="E1194" s="7">
        <v>1.2337390073310333</v>
      </c>
      <c r="F1194" s="8">
        <v>1.0776926813803482</v>
      </c>
      <c r="G1194" s="8">
        <f t="shared" si="144"/>
        <v>1.0858128080758569</v>
      </c>
      <c r="H1194" s="8">
        <f t="shared" si="145"/>
        <v>1.1557158443556907</v>
      </c>
      <c r="I1194" s="8">
        <f t="shared" si="146"/>
        <v>1.0643785335372009</v>
      </c>
      <c r="J1194" s="22">
        <f t="shared" si="147"/>
        <v>9.0011319388853234E-2</v>
      </c>
      <c r="K1194" s="8"/>
      <c r="L1194" s="8">
        <v>1.0975391104045971</v>
      </c>
      <c r="M1194" s="8">
        <v>1.3824784861505846</v>
      </c>
      <c r="N1194" s="8">
        <v>1.0039519225973765</v>
      </c>
      <c r="O1194" s="8">
        <v>1.1440670283752949</v>
      </c>
      <c r="P1194" s="8">
        <f t="shared" si="148"/>
        <v>1.2400087982775907</v>
      </c>
      <c r="Q1194" s="8">
        <f t="shared" si="149"/>
        <v>1.0740094754863359</v>
      </c>
      <c r="R1194" s="8">
        <f t="shared" si="150"/>
        <v>0.86613052824961168</v>
      </c>
      <c r="S1194" s="22">
        <f t="shared" si="151"/>
        <v>-0.20734363544564452</v>
      </c>
      <c r="T1194" s="25"/>
      <c r="U1194" s="1" t="s">
        <v>3387</v>
      </c>
    </row>
    <row r="1195" spans="1:21">
      <c r="A1195" s="6" t="s">
        <v>3388</v>
      </c>
      <c r="B1195" s="6" t="s">
        <v>3389</v>
      </c>
      <c r="C1195" s="7">
        <v>1.1665837308968479</v>
      </c>
      <c r="D1195" s="7">
        <v>1.1348989322175023</v>
      </c>
      <c r="E1195" s="7">
        <v>1.0999413253594652</v>
      </c>
      <c r="F1195" s="8">
        <v>1.1541627180085721</v>
      </c>
      <c r="G1195" s="8">
        <f t="shared" si="144"/>
        <v>1.1507413315571751</v>
      </c>
      <c r="H1195" s="8">
        <f t="shared" si="145"/>
        <v>1.1270520216840185</v>
      </c>
      <c r="I1195" s="8">
        <f t="shared" si="146"/>
        <v>0.97941387067317698</v>
      </c>
      <c r="J1195" s="22">
        <f t="shared" si="147"/>
        <v>-3.0009466933695016E-2</v>
      </c>
      <c r="K1195" s="8"/>
      <c r="L1195" s="8">
        <v>1.2042789870108346</v>
      </c>
      <c r="M1195" s="8">
        <v>1.1528422925416288</v>
      </c>
      <c r="N1195" s="8">
        <v>1.0392379432447258</v>
      </c>
      <c r="O1195" s="8">
        <v>0.97870574204707794</v>
      </c>
      <c r="P1195" s="8">
        <f t="shared" si="148"/>
        <v>1.1785606397762316</v>
      </c>
      <c r="Q1195" s="8">
        <f t="shared" si="149"/>
        <v>1.0089718426459018</v>
      </c>
      <c r="R1195" s="8">
        <f t="shared" si="150"/>
        <v>0.85610515793016051</v>
      </c>
      <c r="S1195" s="22">
        <f t="shared" si="151"/>
        <v>-0.22414007687492796</v>
      </c>
      <c r="T1195" s="25"/>
      <c r="U1195" s="1" t="s">
        <v>3390</v>
      </c>
    </row>
    <row r="1196" spans="1:21">
      <c r="A1196" s="6" t="s">
        <v>3391</v>
      </c>
      <c r="B1196" s="6" t="s">
        <v>3392</v>
      </c>
      <c r="C1196" s="7">
        <v>1.1952216974105532</v>
      </c>
      <c r="D1196" s="7">
        <v>1.168812461459021</v>
      </c>
      <c r="E1196" s="7">
        <v>1.0868936663498536</v>
      </c>
      <c r="F1196" s="8">
        <v>1.0882898125723175</v>
      </c>
      <c r="G1196" s="8">
        <f t="shared" si="144"/>
        <v>1.1820170794347871</v>
      </c>
      <c r="H1196" s="8">
        <f t="shared" si="145"/>
        <v>1.0875917394610854</v>
      </c>
      <c r="I1196" s="8">
        <f t="shared" si="146"/>
        <v>0.92011507987781904</v>
      </c>
      <c r="J1196" s="22">
        <f t="shared" si="147"/>
        <v>-0.12011378286323253</v>
      </c>
      <c r="K1196" s="8"/>
      <c r="L1196" s="8">
        <v>1.1033088334643937</v>
      </c>
      <c r="M1196" s="8">
        <v>1.1589547840988186</v>
      </c>
      <c r="N1196" s="8">
        <v>1.0483826243080145</v>
      </c>
      <c r="O1196" s="8">
        <v>1.070126623309944</v>
      </c>
      <c r="P1196" s="8">
        <f t="shared" si="148"/>
        <v>1.131131808781606</v>
      </c>
      <c r="Q1196" s="8">
        <f t="shared" si="149"/>
        <v>1.0592546238089793</v>
      </c>
      <c r="R1196" s="8">
        <f t="shared" si="150"/>
        <v>0.93645551790286141</v>
      </c>
      <c r="S1196" s="22">
        <f t="shared" si="151"/>
        <v>-9.4717627514692163E-2</v>
      </c>
      <c r="T1196" s="25"/>
      <c r="U1196" s="1" t="s">
        <v>3393</v>
      </c>
    </row>
    <row r="1197" spans="1:21">
      <c r="A1197" s="6" t="s">
        <v>3394</v>
      </c>
      <c r="B1197" s="6" t="s">
        <v>3395</v>
      </c>
      <c r="C1197" s="7">
        <v>1.1295696822611752</v>
      </c>
      <c r="D1197" s="7">
        <v>1.1019771772834646</v>
      </c>
      <c r="E1197" s="7">
        <v>1.0673544562661914</v>
      </c>
      <c r="F1197" s="8">
        <v>1.1977389749301799</v>
      </c>
      <c r="G1197" s="8">
        <f t="shared" si="144"/>
        <v>1.1157734297723199</v>
      </c>
      <c r="H1197" s="8">
        <f t="shared" si="145"/>
        <v>1.1325467155981856</v>
      </c>
      <c r="I1197" s="8">
        <f t="shared" si="146"/>
        <v>1.0150328779824846</v>
      </c>
      <c r="J1197" s="22">
        <f t="shared" si="147"/>
        <v>2.1526458577028819E-2</v>
      </c>
      <c r="K1197" s="8"/>
      <c r="L1197" s="8">
        <v>1.0754936014000009</v>
      </c>
      <c r="M1197" s="8">
        <v>1.1783916277554938</v>
      </c>
      <c r="N1197" s="8">
        <v>0.94003491097700853</v>
      </c>
      <c r="O1197" s="8">
        <v>1.0654551167399184</v>
      </c>
      <c r="P1197" s="8">
        <f t="shared" si="148"/>
        <v>1.1269426145777475</v>
      </c>
      <c r="Q1197" s="8">
        <f t="shared" si="149"/>
        <v>1.0027450138584635</v>
      </c>
      <c r="R1197" s="8">
        <f t="shared" si="150"/>
        <v>0.88979243564605159</v>
      </c>
      <c r="S1197" s="22">
        <f t="shared" si="151"/>
        <v>-0.16845926104248279</v>
      </c>
      <c r="T1197" s="25"/>
      <c r="U1197" s="1" t="s">
        <v>3396</v>
      </c>
    </row>
    <row r="1198" spans="1:21">
      <c r="A1198" s="6" t="s">
        <v>3397</v>
      </c>
      <c r="B1198" s="6" t="s">
        <v>3398</v>
      </c>
      <c r="C1198" s="7">
        <v>1.0638029262608113</v>
      </c>
      <c r="D1198" s="7">
        <v>1.1278727908573625</v>
      </c>
      <c r="E1198" s="7">
        <v>1.2227213029666775</v>
      </c>
      <c r="F1198" s="8">
        <v>1.0915187371100048</v>
      </c>
      <c r="G1198" s="8">
        <f t="shared" si="144"/>
        <v>1.0958378585590869</v>
      </c>
      <c r="H1198" s="8">
        <f t="shared" si="145"/>
        <v>1.1571200200383411</v>
      </c>
      <c r="I1198" s="8">
        <f t="shared" si="146"/>
        <v>1.0559226540683984</v>
      </c>
      <c r="J1198" s="22">
        <f t="shared" si="147"/>
        <v>7.850416170518032E-2</v>
      </c>
      <c r="K1198" s="8"/>
      <c r="L1198" s="8">
        <v>1.043286490588599</v>
      </c>
      <c r="M1198" s="8">
        <v>1.0533713867692316</v>
      </c>
      <c r="N1198" s="8">
        <v>0.94027430053363914</v>
      </c>
      <c r="O1198" s="8">
        <v>0.93676264542373011</v>
      </c>
      <c r="P1198" s="8">
        <f t="shared" si="148"/>
        <v>1.0483289386789152</v>
      </c>
      <c r="Q1198" s="8">
        <f t="shared" si="149"/>
        <v>0.93851847297868463</v>
      </c>
      <c r="R1198" s="8">
        <f t="shared" si="150"/>
        <v>0.89525189885665879</v>
      </c>
      <c r="S1198" s="22">
        <f t="shared" si="151"/>
        <v>-0.15963442133801078</v>
      </c>
      <c r="T1198" s="25"/>
      <c r="U1198" s="1" t="s">
        <v>3399</v>
      </c>
    </row>
    <row r="1199" spans="1:21">
      <c r="A1199" s="6" t="s">
        <v>3400</v>
      </c>
      <c r="B1199" s="6" t="s">
        <v>3401</v>
      </c>
      <c r="C1199" s="7">
        <v>1.1907670526075729</v>
      </c>
      <c r="D1199" s="7">
        <v>1.035766582119763</v>
      </c>
      <c r="E1199" s="7">
        <v>1.1163818060906523</v>
      </c>
      <c r="F1199" s="8">
        <v>1.1664952183353337</v>
      </c>
      <c r="G1199" s="8">
        <f t="shared" si="144"/>
        <v>1.1132668173636679</v>
      </c>
      <c r="H1199" s="8">
        <f t="shared" si="145"/>
        <v>1.1414385122129929</v>
      </c>
      <c r="I1199" s="8">
        <f t="shared" si="146"/>
        <v>1.0253054293992507</v>
      </c>
      <c r="J1199" s="22">
        <f t="shared" si="147"/>
        <v>3.6053739820016209E-2</v>
      </c>
      <c r="K1199" s="8"/>
      <c r="L1199" s="8">
        <v>1.1968300161948286</v>
      </c>
      <c r="M1199" s="8">
        <v>1.0653764960865899</v>
      </c>
      <c r="N1199" s="8">
        <v>1.1427499875317939</v>
      </c>
      <c r="O1199" s="8">
        <v>0.94238854580913722</v>
      </c>
      <c r="P1199" s="8">
        <f t="shared" si="148"/>
        <v>1.1311032561407093</v>
      </c>
      <c r="Q1199" s="8">
        <f t="shared" si="149"/>
        <v>1.0425692666704656</v>
      </c>
      <c r="R1199" s="8">
        <f t="shared" si="150"/>
        <v>0.92172775651595318</v>
      </c>
      <c r="S1199" s="22">
        <f t="shared" si="151"/>
        <v>-0.11758739881246141</v>
      </c>
      <c r="T1199" s="25"/>
      <c r="U1199" s="1" t="s">
        <v>3402</v>
      </c>
    </row>
    <row r="1200" spans="1:21">
      <c r="A1200" s="6" t="s">
        <v>3403</v>
      </c>
      <c r="B1200" s="6" t="s">
        <v>3404</v>
      </c>
      <c r="C1200" s="7">
        <v>1.1055753454814858</v>
      </c>
      <c r="D1200" s="7">
        <v>1.0970827066751179</v>
      </c>
      <c r="E1200" s="7">
        <v>1.1163531141522034</v>
      </c>
      <c r="F1200" s="8">
        <v>1.1255504637902551</v>
      </c>
      <c r="G1200" s="8">
        <f t="shared" si="144"/>
        <v>1.101329026078302</v>
      </c>
      <c r="H1200" s="8">
        <f t="shared" si="145"/>
        <v>1.1209517889712293</v>
      </c>
      <c r="I1200" s="8">
        <f t="shared" si="146"/>
        <v>1.0178173483384902</v>
      </c>
      <c r="J1200" s="22">
        <f t="shared" si="147"/>
        <v>2.5478686866545024E-2</v>
      </c>
      <c r="K1200" s="8"/>
      <c r="L1200" s="8">
        <v>0.86511399789129717</v>
      </c>
      <c r="M1200" s="8">
        <v>1.165023300896604</v>
      </c>
      <c r="N1200" s="8">
        <v>0.89823749438930722</v>
      </c>
      <c r="O1200" s="8">
        <v>0.93872166430793436</v>
      </c>
      <c r="P1200" s="8">
        <f t="shared" si="148"/>
        <v>1.0150686493939505</v>
      </c>
      <c r="Q1200" s="8">
        <f t="shared" si="149"/>
        <v>0.91847957934862079</v>
      </c>
      <c r="R1200" s="8">
        <f t="shared" si="150"/>
        <v>0.90484479044545563</v>
      </c>
      <c r="S1200" s="22">
        <f t="shared" si="151"/>
        <v>-0.14425774938570088</v>
      </c>
      <c r="T1200" s="25"/>
      <c r="U1200" s="1" t="s">
        <v>3405</v>
      </c>
    </row>
    <row r="1201" spans="1:21">
      <c r="A1201" s="6" t="s">
        <v>3406</v>
      </c>
      <c r="B1201" s="6" t="s">
        <v>3407</v>
      </c>
      <c r="C1201" s="7">
        <v>1.1666444760532522</v>
      </c>
      <c r="D1201" s="7">
        <v>1.0350002110639824</v>
      </c>
      <c r="E1201" s="7">
        <v>1.0271355315455255</v>
      </c>
      <c r="F1201" s="8">
        <v>1.117513713288963</v>
      </c>
      <c r="G1201" s="8">
        <f t="shared" si="144"/>
        <v>1.1008223435586173</v>
      </c>
      <c r="H1201" s="8">
        <f t="shared" si="145"/>
        <v>1.0723246224172442</v>
      </c>
      <c r="I1201" s="8">
        <f t="shared" si="146"/>
        <v>0.97411233401272657</v>
      </c>
      <c r="J1201" s="22">
        <f t="shared" si="147"/>
        <v>-3.7839942314670971E-2</v>
      </c>
      <c r="K1201" s="8"/>
      <c r="L1201" s="8">
        <v>0.70993428216363264</v>
      </c>
      <c r="M1201" s="8">
        <v>0.68772126232295294</v>
      </c>
      <c r="N1201" s="8">
        <v>0.91197845493990315</v>
      </c>
      <c r="O1201" s="8">
        <v>1.130705514959953</v>
      </c>
      <c r="P1201" s="8">
        <f t="shared" si="148"/>
        <v>0.69882777224329273</v>
      </c>
      <c r="Q1201" s="8">
        <f t="shared" si="149"/>
        <v>1.0213419849499281</v>
      </c>
      <c r="R1201" s="8">
        <f t="shared" si="150"/>
        <v>1.4615074350456037</v>
      </c>
      <c r="S1201" s="22">
        <f t="shared" si="151"/>
        <v>0.54745716850498993</v>
      </c>
      <c r="T1201" s="25"/>
      <c r="U1201" s="1" t="s">
        <v>3408</v>
      </c>
    </row>
    <row r="1202" spans="1:21">
      <c r="A1202" s="6" t="s">
        <v>3409</v>
      </c>
      <c r="B1202" s="6" t="s">
        <v>3410</v>
      </c>
      <c r="C1202" s="7">
        <v>1.0419211710316263</v>
      </c>
      <c r="D1202" s="7">
        <v>1.095034757131099</v>
      </c>
      <c r="E1202" s="7">
        <v>1.108886037170892</v>
      </c>
      <c r="F1202" s="8">
        <v>1.1805844243026431</v>
      </c>
      <c r="G1202" s="8">
        <f t="shared" si="144"/>
        <v>1.0684779640813626</v>
      </c>
      <c r="H1202" s="8">
        <f t="shared" si="145"/>
        <v>1.1447352307367675</v>
      </c>
      <c r="I1202" s="8">
        <f t="shared" si="146"/>
        <v>1.0713699947204509</v>
      </c>
      <c r="J1202" s="22">
        <f t="shared" si="147"/>
        <v>9.9456796956844271E-2</v>
      </c>
      <c r="K1202" s="8"/>
      <c r="L1202" s="8">
        <v>1.1403383993705511</v>
      </c>
      <c r="M1202" s="8">
        <v>0.98389126691052808</v>
      </c>
      <c r="N1202" s="8">
        <v>0.95310558076903895</v>
      </c>
      <c r="O1202" s="8">
        <v>1.0406911087934387</v>
      </c>
      <c r="P1202" s="8">
        <f t="shared" si="148"/>
        <v>1.0621148331405397</v>
      </c>
      <c r="Q1202" s="8">
        <f t="shared" si="149"/>
        <v>0.99689834478123884</v>
      </c>
      <c r="R1202" s="8">
        <f t="shared" si="150"/>
        <v>0.93859751664849278</v>
      </c>
      <c r="S1202" s="22">
        <f t="shared" si="151"/>
        <v>-9.1421451614350377E-2</v>
      </c>
      <c r="T1202" s="25"/>
      <c r="U1202" s="1" t="s">
        <v>3411</v>
      </c>
    </row>
    <row r="1203" spans="1:21">
      <c r="A1203" s="6" t="s">
        <v>3412</v>
      </c>
      <c r="B1203" s="6" t="s">
        <v>80</v>
      </c>
      <c r="C1203" s="7">
        <v>1.092366648694467</v>
      </c>
      <c r="D1203" s="7">
        <v>1.0272656594842133</v>
      </c>
      <c r="E1203" s="7">
        <v>1.0080051815847593</v>
      </c>
      <c r="F1203" s="8">
        <v>1.0606590376187601</v>
      </c>
      <c r="G1203" s="8">
        <f t="shared" si="144"/>
        <v>1.05981615408934</v>
      </c>
      <c r="H1203" s="8">
        <f t="shared" si="145"/>
        <v>1.0343321096017597</v>
      </c>
      <c r="I1203" s="8">
        <f t="shared" si="146"/>
        <v>0.97595427811771951</v>
      </c>
      <c r="J1203" s="22">
        <f t="shared" si="147"/>
        <v>-3.5114533449534593E-2</v>
      </c>
      <c r="K1203" s="8"/>
      <c r="L1203" s="8">
        <v>1.0324359666253993</v>
      </c>
      <c r="M1203" s="8">
        <v>1.2241693522953105</v>
      </c>
      <c r="N1203" s="8">
        <v>1.0591551543563911</v>
      </c>
      <c r="O1203" s="8">
        <v>1.183096712299057</v>
      </c>
      <c r="P1203" s="8">
        <f t="shared" si="148"/>
        <v>1.1283026594603549</v>
      </c>
      <c r="Q1203" s="8">
        <f t="shared" si="149"/>
        <v>1.1211259333277241</v>
      </c>
      <c r="R1203" s="8">
        <f t="shared" si="150"/>
        <v>0.99363936079343884</v>
      </c>
      <c r="S1203" s="22">
        <f t="shared" si="151"/>
        <v>-9.2057710705467401E-3</v>
      </c>
      <c r="T1203" s="25"/>
      <c r="U1203" s="1">
        <v>0</v>
      </c>
    </row>
    <row r="1204" spans="1:21">
      <c r="A1204" s="6" t="s">
        <v>3413</v>
      </c>
      <c r="B1204" s="6" t="s">
        <v>80</v>
      </c>
      <c r="C1204" s="7">
        <v>1.0772951004443836</v>
      </c>
      <c r="D1204" s="7">
        <v>0.97323328000522724</v>
      </c>
      <c r="E1204" s="7">
        <v>1.0640620563291867</v>
      </c>
      <c r="F1204" s="8">
        <v>1.1699019470876513</v>
      </c>
      <c r="G1204" s="8">
        <f t="shared" si="144"/>
        <v>1.0252641902248054</v>
      </c>
      <c r="H1204" s="8">
        <f t="shared" si="145"/>
        <v>1.1169820017084189</v>
      </c>
      <c r="I1204" s="8">
        <f t="shared" si="146"/>
        <v>1.089457734267987</v>
      </c>
      <c r="J1204" s="22">
        <f t="shared" si="147"/>
        <v>0.12361022789506954</v>
      </c>
      <c r="K1204" s="8"/>
      <c r="L1204" s="8">
        <v>1.1812000947716481</v>
      </c>
      <c r="M1204" s="8">
        <v>1.2478277728547933</v>
      </c>
      <c r="N1204" s="8">
        <v>1.3469014014263627</v>
      </c>
      <c r="O1204" s="8">
        <v>1.5303453673376246</v>
      </c>
      <c r="P1204" s="8">
        <f t="shared" si="148"/>
        <v>1.2145139338132207</v>
      </c>
      <c r="Q1204" s="8">
        <f t="shared" si="149"/>
        <v>1.4386233843819936</v>
      </c>
      <c r="R1204" s="8">
        <f t="shared" si="150"/>
        <v>1.1845260431596156</v>
      </c>
      <c r="S1204" s="22">
        <f t="shared" si="151"/>
        <v>0.24430991822709996</v>
      </c>
      <c r="T1204" s="25"/>
      <c r="U1204" s="1">
        <v>0</v>
      </c>
    </row>
    <row r="1205" spans="1:21">
      <c r="A1205" s="6" t="s">
        <v>3414</v>
      </c>
      <c r="B1205" s="6" t="s">
        <v>3415</v>
      </c>
      <c r="C1205" s="7">
        <v>1.2894846812263456</v>
      </c>
      <c r="D1205" s="7">
        <v>1.2298065813690897</v>
      </c>
      <c r="E1205" s="7">
        <v>1.3121182101886606</v>
      </c>
      <c r="F1205" s="8">
        <v>1.3338160964710846</v>
      </c>
      <c r="G1205" s="8">
        <f t="shared" si="144"/>
        <v>1.2596456312977176</v>
      </c>
      <c r="H1205" s="8">
        <f t="shared" si="145"/>
        <v>1.3229671533298726</v>
      </c>
      <c r="I1205" s="8">
        <f t="shared" si="146"/>
        <v>1.050269314209362</v>
      </c>
      <c r="J1205" s="22">
        <f t="shared" si="147"/>
        <v>7.0759316895939714E-2</v>
      </c>
      <c r="K1205" s="8"/>
      <c r="L1205" s="8">
        <v>1.0693794172620075</v>
      </c>
      <c r="M1205" s="8">
        <v>0.95473600142551507</v>
      </c>
      <c r="N1205" s="8">
        <v>0.75714128971123629</v>
      </c>
      <c r="O1205" s="8">
        <v>0.75582967052876115</v>
      </c>
      <c r="P1205" s="8">
        <f t="shared" si="148"/>
        <v>1.0120577093437613</v>
      </c>
      <c r="Q1205" s="8">
        <f t="shared" si="149"/>
        <v>0.75648548011999872</v>
      </c>
      <c r="R1205" s="8">
        <f t="shared" si="150"/>
        <v>0.74747267189982602</v>
      </c>
      <c r="S1205" s="22">
        <f t="shared" si="151"/>
        <v>-0.41990726050680249</v>
      </c>
      <c r="T1205" s="25"/>
      <c r="U1205" s="1" t="s">
        <v>3416</v>
      </c>
    </row>
    <row r="1206" spans="1:21">
      <c r="A1206" s="6" t="s">
        <v>3417</v>
      </c>
      <c r="B1206" s="6" t="s">
        <v>3418</v>
      </c>
      <c r="C1206" s="7">
        <v>1.1097465128879127</v>
      </c>
      <c r="D1206" s="7">
        <v>1.0051954610963127</v>
      </c>
      <c r="E1206" s="7">
        <v>1.1181033223975829</v>
      </c>
      <c r="F1206" s="8">
        <v>1.1750227084690055</v>
      </c>
      <c r="G1206" s="8">
        <f t="shared" si="144"/>
        <v>1.0574709869921128</v>
      </c>
      <c r="H1206" s="8">
        <f t="shared" si="145"/>
        <v>1.1465630154332942</v>
      </c>
      <c r="I1206" s="8">
        <f t="shared" si="146"/>
        <v>1.084250092472604</v>
      </c>
      <c r="J1206" s="22">
        <f t="shared" si="147"/>
        <v>0.11669756624437447</v>
      </c>
      <c r="K1206" s="8"/>
      <c r="L1206" s="8">
        <v>1.3765956413787905</v>
      </c>
      <c r="M1206" s="8">
        <v>1.2578100432395563</v>
      </c>
      <c r="N1206" s="8">
        <v>1.2342925539873322</v>
      </c>
      <c r="O1206" s="8">
        <v>1.3835696447826276</v>
      </c>
      <c r="P1206" s="8">
        <f t="shared" si="148"/>
        <v>1.3172028423091735</v>
      </c>
      <c r="Q1206" s="8">
        <f t="shared" si="149"/>
        <v>1.3089310993849799</v>
      </c>
      <c r="R1206" s="8">
        <f t="shared" si="150"/>
        <v>0.99372022086614042</v>
      </c>
      <c r="S1206" s="22">
        <f t="shared" si="151"/>
        <v>-9.0883726620921892E-3</v>
      </c>
      <c r="T1206" s="25"/>
      <c r="U1206" s="1" t="s">
        <v>3419</v>
      </c>
    </row>
    <row r="1207" spans="1:21">
      <c r="A1207" s="6" t="s">
        <v>3420</v>
      </c>
      <c r="B1207" s="6" t="s">
        <v>3421</v>
      </c>
      <c r="C1207" s="7">
        <v>0.50096530486607194</v>
      </c>
      <c r="D1207" s="7">
        <v>0.46152925808838358</v>
      </c>
      <c r="E1207" s="7">
        <v>0.87701930958117791</v>
      </c>
      <c r="F1207" s="8">
        <v>0.94564104725867482</v>
      </c>
      <c r="G1207" s="8">
        <f t="shared" si="144"/>
        <v>0.48124728147722773</v>
      </c>
      <c r="H1207" s="8">
        <f t="shared" si="145"/>
        <v>0.91133017841992636</v>
      </c>
      <c r="I1207" s="8">
        <f t="shared" si="146"/>
        <v>1.8936837952050849</v>
      </c>
      <c r="J1207" s="22">
        <f t="shared" si="147"/>
        <v>0.92119545162247252</v>
      </c>
      <c r="K1207" s="8"/>
      <c r="L1207" s="8">
        <v>2.2710749461863662</v>
      </c>
      <c r="M1207" s="8">
        <v>2.2658434530630136</v>
      </c>
      <c r="N1207" s="8">
        <v>2.6775243130018453</v>
      </c>
      <c r="O1207" s="8">
        <v>2.8016481606793149</v>
      </c>
      <c r="P1207" s="8">
        <f t="shared" si="148"/>
        <v>2.2684591996246901</v>
      </c>
      <c r="Q1207" s="8">
        <f t="shared" si="149"/>
        <v>2.7395862368405801</v>
      </c>
      <c r="R1207" s="8">
        <f t="shared" si="150"/>
        <v>1.2076859205992494</v>
      </c>
      <c r="S1207" s="22">
        <f t="shared" si="151"/>
        <v>0.27224530589667451</v>
      </c>
      <c r="T1207" s="25"/>
      <c r="U1207" s="1" t="s">
        <v>3422</v>
      </c>
    </row>
    <row r="1208" spans="1:21">
      <c r="A1208" s="6" t="s">
        <v>3423</v>
      </c>
      <c r="B1208" s="6" t="s">
        <v>3424</v>
      </c>
      <c r="C1208" s="7">
        <v>1.0792929411439021</v>
      </c>
      <c r="D1208" s="7">
        <v>1.0055303459274103</v>
      </c>
      <c r="E1208" s="7">
        <v>1.0724831402639221</v>
      </c>
      <c r="F1208" s="8">
        <v>1.1012268472288222</v>
      </c>
      <c r="G1208" s="8">
        <f t="shared" si="144"/>
        <v>1.0424116435356563</v>
      </c>
      <c r="H1208" s="8">
        <f t="shared" si="145"/>
        <v>1.0868549937463721</v>
      </c>
      <c r="I1208" s="8">
        <f t="shared" si="146"/>
        <v>1.0426351245079848</v>
      </c>
      <c r="J1208" s="22">
        <f t="shared" si="147"/>
        <v>6.0234367674528173E-2</v>
      </c>
      <c r="K1208" s="8"/>
      <c r="L1208" s="8">
        <v>0.50773562926210314</v>
      </c>
      <c r="M1208" s="8">
        <v>0.58358903205370594</v>
      </c>
      <c r="N1208" s="8">
        <v>0.60814522966435591</v>
      </c>
      <c r="O1208" s="8">
        <v>0.63502350600283108</v>
      </c>
      <c r="P1208" s="8">
        <f t="shared" si="148"/>
        <v>0.54566233065790448</v>
      </c>
      <c r="Q1208" s="8">
        <f t="shared" si="149"/>
        <v>0.6215843678335935</v>
      </c>
      <c r="R1208" s="8">
        <f t="shared" si="150"/>
        <v>1.1391373985522326</v>
      </c>
      <c r="S1208" s="22">
        <f t="shared" si="151"/>
        <v>0.18794177009687119</v>
      </c>
      <c r="T1208" s="25"/>
      <c r="U1208" s="1" t="s">
        <v>3425</v>
      </c>
    </row>
    <row r="1209" spans="1:21">
      <c r="A1209" s="6" t="s">
        <v>3426</v>
      </c>
      <c r="B1209" s="6" t="s">
        <v>3427</v>
      </c>
      <c r="C1209" s="7">
        <v>1.2261949777149117</v>
      </c>
      <c r="D1209" s="7">
        <v>1.1018226150537274</v>
      </c>
      <c r="E1209" s="7">
        <v>1.3693012435172052</v>
      </c>
      <c r="F1209" s="8">
        <v>1.2500916478859423</v>
      </c>
      <c r="G1209" s="8">
        <f t="shared" si="144"/>
        <v>1.1640087963843195</v>
      </c>
      <c r="H1209" s="8">
        <f t="shared" si="145"/>
        <v>1.3096964457015736</v>
      </c>
      <c r="I1209" s="8">
        <f t="shared" si="146"/>
        <v>1.1251602649136274</v>
      </c>
      <c r="J1209" s="22">
        <f t="shared" si="147"/>
        <v>0.17013050982330641</v>
      </c>
      <c r="K1209" s="8"/>
      <c r="L1209" s="8">
        <v>1.0931041740228131</v>
      </c>
      <c r="M1209" s="8">
        <v>0.74629564184940433</v>
      </c>
      <c r="N1209" s="8">
        <v>0.6618163682609346</v>
      </c>
      <c r="O1209" s="8">
        <v>0.72252634949728856</v>
      </c>
      <c r="P1209" s="8">
        <f t="shared" si="148"/>
        <v>0.91969990793610878</v>
      </c>
      <c r="Q1209" s="8">
        <f t="shared" si="149"/>
        <v>0.69217135887911163</v>
      </c>
      <c r="R1209" s="8">
        <f t="shared" si="150"/>
        <v>0.75260566289759434</v>
      </c>
      <c r="S1209" s="22">
        <f t="shared" si="151"/>
        <v>-0.41003395004237092</v>
      </c>
      <c r="T1209" s="25"/>
      <c r="U1209" s="1" t="s">
        <v>3428</v>
      </c>
    </row>
    <row r="1210" spans="1:21">
      <c r="A1210" s="6" t="s">
        <v>3429</v>
      </c>
      <c r="B1210" s="6" t="s">
        <v>3430</v>
      </c>
      <c r="C1210" s="7">
        <v>1.2410235453393779</v>
      </c>
      <c r="D1210" s="7">
        <v>1.0501022289278945</v>
      </c>
      <c r="E1210" s="7">
        <v>0.9992254484194133</v>
      </c>
      <c r="F1210" s="8">
        <v>1.0963194509050245</v>
      </c>
      <c r="G1210" s="8">
        <f t="shared" si="144"/>
        <v>1.1455628871336363</v>
      </c>
      <c r="H1210" s="8">
        <f t="shared" si="145"/>
        <v>1.0477724496622189</v>
      </c>
      <c r="I1210" s="8">
        <f t="shared" si="146"/>
        <v>0.91463546997746836</v>
      </c>
      <c r="J1210" s="22">
        <f t="shared" si="147"/>
        <v>-0.1287312262909906</v>
      </c>
      <c r="K1210" s="8"/>
      <c r="L1210" s="8">
        <v>1.1219958469565707</v>
      </c>
      <c r="M1210" s="8">
        <v>1.180766264763323</v>
      </c>
      <c r="N1210" s="8">
        <v>0.98824796768240986</v>
      </c>
      <c r="O1210" s="8">
        <v>0.96986504144143815</v>
      </c>
      <c r="P1210" s="8">
        <f t="shared" si="148"/>
        <v>1.1513810558599469</v>
      </c>
      <c r="Q1210" s="8">
        <f t="shared" si="149"/>
        <v>0.97905650456192395</v>
      </c>
      <c r="R1210" s="8">
        <f t="shared" si="150"/>
        <v>0.85033230274114879</v>
      </c>
      <c r="S1210" s="22">
        <f t="shared" si="151"/>
        <v>-0.23390135030817372</v>
      </c>
      <c r="T1210" s="25"/>
      <c r="U1210" s="1" t="s">
        <v>3431</v>
      </c>
    </row>
    <row r="1211" spans="1:21">
      <c r="A1211" s="6" t="s">
        <v>3432</v>
      </c>
      <c r="B1211" s="6" t="s">
        <v>3433</v>
      </c>
      <c r="C1211" s="7">
        <v>1.2353674963319574</v>
      </c>
      <c r="D1211" s="7">
        <v>1.1480045212806413</v>
      </c>
      <c r="E1211" s="7">
        <v>1.208956345495845</v>
      </c>
      <c r="F1211" s="8">
        <v>1.1993463250304384</v>
      </c>
      <c r="G1211" s="8">
        <f t="shared" si="144"/>
        <v>1.1916860088062995</v>
      </c>
      <c r="H1211" s="8">
        <f t="shared" si="145"/>
        <v>1.2041513352631417</v>
      </c>
      <c r="I1211" s="8">
        <f t="shared" si="146"/>
        <v>1.0104602440279788</v>
      </c>
      <c r="J1211" s="22">
        <f t="shared" si="147"/>
        <v>1.5012560834936673E-2</v>
      </c>
      <c r="K1211" s="8"/>
      <c r="L1211" s="8">
        <v>1.2443225873512143</v>
      </c>
      <c r="M1211" s="8">
        <v>1.1936068945093619</v>
      </c>
      <c r="N1211" s="8">
        <v>1.4240805944840655</v>
      </c>
      <c r="O1211" s="8">
        <v>1.5060836719255564</v>
      </c>
      <c r="P1211" s="8">
        <f t="shared" si="148"/>
        <v>1.2189647409302879</v>
      </c>
      <c r="Q1211" s="8">
        <f t="shared" si="149"/>
        <v>1.465082133204811</v>
      </c>
      <c r="R1211" s="8">
        <f t="shared" si="150"/>
        <v>1.2019069001837506</v>
      </c>
      <c r="S1211" s="22">
        <f t="shared" si="151"/>
        <v>0.2653251490897901</v>
      </c>
      <c r="T1211" s="25"/>
      <c r="U1211" s="1" t="s">
        <v>3434</v>
      </c>
    </row>
    <row r="1212" spans="1:21">
      <c r="A1212" s="6" t="s">
        <v>3435</v>
      </c>
      <c r="B1212" s="6" t="s">
        <v>3436</v>
      </c>
      <c r="C1212" s="7">
        <v>1.0432440655488748</v>
      </c>
      <c r="D1212" s="7">
        <v>0.96926618277530407</v>
      </c>
      <c r="E1212" s="7">
        <v>1.0375363592332312</v>
      </c>
      <c r="F1212" s="8">
        <v>1.0133133313469886</v>
      </c>
      <c r="G1212" s="8">
        <f t="shared" si="144"/>
        <v>1.0062551241620894</v>
      </c>
      <c r="H1212" s="8">
        <f t="shared" si="145"/>
        <v>1.02542484529011</v>
      </c>
      <c r="I1212" s="8">
        <f t="shared" si="146"/>
        <v>1.0190505575253426</v>
      </c>
      <c r="J1212" s="22">
        <f t="shared" si="147"/>
        <v>2.7225628816504411E-2</v>
      </c>
      <c r="K1212" s="8"/>
      <c r="L1212" s="8">
        <v>0.74433733234853938</v>
      </c>
      <c r="M1212" s="8">
        <v>0.81344509945968302</v>
      </c>
      <c r="N1212" s="8">
        <v>0.8594085083038252</v>
      </c>
      <c r="O1212" s="8">
        <v>0.88010179154212964</v>
      </c>
      <c r="P1212" s="8">
        <f t="shared" si="148"/>
        <v>0.77889121590411126</v>
      </c>
      <c r="Q1212" s="8">
        <f t="shared" si="149"/>
        <v>0.86975514992297742</v>
      </c>
      <c r="R1212" s="8">
        <f t="shared" si="150"/>
        <v>1.1166580546339764</v>
      </c>
      <c r="S1212" s="22">
        <f t="shared" si="151"/>
        <v>0.15918746835543435</v>
      </c>
      <c r="T1212" s="25"/>
      <c r="U1212" s="1" t="s">
        <v>3437</v>
      </c>
    </row>
    <row r="1213" spans="1:21">
      <c r="A1213" s="6" t="s">
        <v>3438</v>
      </c>
      <c r="B1213" s="6" t="s">
        <v>3439</v>
      </c>
      <c r="C1213" s="7">
        <v>1.181371801750378</v>
      </c>
      <c r="D1213" s="7">
        <v>1.0943070266327528</v>
      </c>
      <c r="E1213" s="7">
        <v>1.1716209605892876</v>
      </c>
      <c r="F1213" s="8">
        <v>1.1081683237679913</v>
      </c>
      <c r="G1213" s="8">
        <f t="shared" si="144"/>
        <v>1.1378394141915655</v>
      </c>
      <c r="H1213" s="8">
        <f t="shared" si="145"/>
        <v>1.1398946421786396</v>
      </c>
      <c r="I1213" s="8">
        <f t="shared" si="146"/>
        <v>1.0018062548734386</v>
      </c>
      <c r="J1213" s="22">
        <f t="shared" si="147"/>
        <v>2.6035243414333355E-3</v>
      </c>
      <c r="K1213" s="8"/>
      <c r="L1213" s="8">
        <v>0.94985142312771331</v>
      </c>
      <c r="M1213" s="8">
        <v>0.90319758340374257</v>
      </c>
      <c r="N1213" s="8">
        <v>0.86726048576130865</v>
      </c>
      <c r="O1213" s="8">
        <v>0.95615190925200833</v>
      </c>
      <c r="P1213" s="8">
        <f t="shared" si="148"/>
        <v>0.92652450326572788</v>
      </c>
      <c r="Q1213" s="8">
        <f t="shared" si="149"/>
        <v>0.91170619750665849</v>
      </c>
      <c r="R1213" s="8">
        <f t="shared" si="150"/>
        <v>0.98400656895005023</v>
      </c>
      <c r="S1213" s="22">
        <f t="shared" si="151"/>
        <v>-2.3260148265907755E-2</v>
      </c>
      <c r="T1213" s="25"/>
      <c r="U1213" s="1" t="s">
        <v>3440</v>
      </c>
    </row>
    <row r="1214" spans="1:21">
      <c r="A1214" s="6" t="s">
        <v>3441</v>
      </c>
      <c r="B1214" s="6" t="s">
        <v>3442</v>
      </c>
      <c r="C1214" s="7">
        <v>1.1743321130693045</v>
      </c>
      <c r="D1214" s="7">
        <v>1.1317497267866055</v>
      </c>
      <c r="E1214" s="7">
        <v>1.2141495863550855</v>
      </c>
      <c r="F1214" s="8">
        <v>1.2558382801027954</v>
      </c>
      <c r="G1214" s="8">
        <f t="shared" si="144"/>
        <v>1.153040919927955</v>
      </c>
      <c r="H1214" s="8">
        <f t="shared" si="145"/>
        <v>1.2349939332289406</v>
      </c>
      <c r="I1214" s="8">
        <f t="shared" si="146"/>
        <v>1.0710755463094113</v>
      </c>
      <c r="J1214" s="22">
        <f t="shared" si="147"/>
        <v>9.9060241472054736E-2</v>
      </c>
      <c r="K1214" s="8"/>
      <c r="L1214" s="8">
        <v>0.62463710767514669</v>
      </c>
      <c r="M1214" s="8">
        <v>0.50535793507355808</v>
      </c>
      <c r="N1214" s="8">
        <v>0.50817615081542067</v>
      </c>
      <c r="O1214" s="8">
        <v>0.55098661899581192</v>
      </c>
      <c r="P1214" s="8">
        <f t="shared" si="148"/>
        <v>0.56499752137435233</v>
      </c>
      <c r="Q1214" s="8">
        <f t="shared" si="149"/>
        <v>0.52958138490561635</v>
      </c>
      <c r="R1214" s="8">
        <f t="shared" si="150"/>
        <v>0.93731629763156044</v>
      </c>
      <c r="S1214" s="22">
        <f t="shared" si="151"/>
        <v>-9.3392127021032209E-2</v>
      </c>
      <c r="T1214" s="25"/>
      <c r="U1214" s="1" t="s">
        <v>3443</v>
      </c>
    </row>
    <row r="1215" spans="1:21">
      <c r="A1215" s="6" t="s">
        <v>3444</v>
      </c>
      <c r="B1215" s="6" t="s">
        <v>3445</v>
      </c>
      <c r="C1215" s="7">
        <v>1.070970854716516</v>
      </c>
      <c r="D1215" s="7">
        <v>1.0578432206005692</v>
      </c>
      <c r="E1215" s="7">
        <v>1.1845395058758792</v>
      </c>
      <c r="F1215" s="8">
        <v>1.2754109680493051</v>
      </c>
      <c r="G1215" s="8">
        <f t="shared" si="144"/>
        <v>1.0644070376585426</v>
      </c>
      <c r="H1215" s="8">
        <f t="shared" si="145"/>
        <v>1.2299752369625923</v>
      </c>
      <c r="I1215" s="8">
        <f t="shared" si="146"/>
        <v>1.1555497036812747</v>
      </c>
      <c r="J1215" s="22">
        <f t="shared" si="147"/>
        <v>0.20857931580926015</v>
      </c>
      <c r="K1215" s="8"/>
      <c r="L1215" s="8">
        <v>0.93792445829514859</v>
      </c>
      <c r="M1215" s="8">
        <v>1.1170908131459794</v>
      </c>
      <c r="N1215" s="8">
        <v>0.57147074958854915</v>
      </c>
      <c r="O1215" s="8">
        <v>0.56741223887106307</v>
      </c>
      <c r="P1215" s="8">
        <f t="shared" si="148"/>
        <v>1.0275076357205639</v>
      </c>
      <c r="Q1215" s="8">
        <f t="shared" si="149"/>
        <v>0.56944149422980606</v>
      </c>
      <c r="R1215" s="8">
        <f t="shared" si="150"/>
        <v>0.55419684918494239</v>
      </c>
      <c r="S1215" s="22">
        <f t="shared" si="151"/>
        <v>-0.85152958630220832</v>
      </c>
      <c r="T1215" s="25"/>
      <c r="U1215" s="1" t="s">
        <v>3446</v>
      </c>
    </row>
    <row r="1216" spans="1:21">
      <c r="A1216" s="6" t="s">
        <v>3447</v>
      </c>
      <c r="B1216" s="6" t="s">
        <v>3448</v>
      </c>
      <c r="C1216" s="7">
        <v>1.1694725005569624</v>
      </c>
      <c r="D1216" s="7">
        <v>1.0340148768494073</v>
      </c>
      <c r="E1216" s="7">
        <v>1.1220843288573599</v>
      </c>
      <c r="F1216" s="8">
        <v>1.0994132442395927</v>
      </c>
      <c r="G1216" s="8">
        <f t="shared" si="144"/>
        <v>1.1017436887031848</v>
      </c>
      <c r="H1216" s="8">
        <f t="shared" si="145"/>
        <v>1.1107487865484762</v>
      </c>
      <c r="I1216" s="8">
        <f t="shared" si="146"/>
        <v>1.0081734961930129</v>
      </c>
      <c r="J1216" s="22">
        <f t="shared" si="147"/>
        <v>1.1743933043028789E-2</v>
      </c>
      <c r="K1216" s="8"/>
      <c r="L1216" s="8">
        <v>1.0952570557615431</v>
      </c>
      <c r="M1216" s="8">
        <v>1.1515230497595015</v>
      </c>
      <c r="N1216" s="8">
        <v>0.86850531145578769</v>
      </c>
      <c r="O1216" s="8">
        <v>0.76959303397163215</v>
      </c>
      <c r="P1216" s="8">
        <f t="shared" si="148"/>
        <v>1.1233900527605223</v>
      </c>
      <c r="Q1216" s="8">
        <f t="shared" si="149"/>
        <v>0.81904917271370992</v>
      </c>
      <c r="R1216" s="8">
        <f t="shared" si="150"/>
        <v>0.72908707950640006</v>
      </c>
      <c r="S1216" s="22">
        <f t="shared" si="151"/>
        <v>-0.45583695980099048</v>
      </c>
      <c r="T1216" s="25"/>
      <c r="U1216" s="1" t="s">
        <v>3449</v>
      </c>
    </row>
    <row r="1217" spans="1:21">
      <c r="A1217" s="6" t="s">
        <v>3450</v>
      </c>
      <c r="B1217" s="6" t="s">
        <v>3451</v>
      </c>
      <c r="C1217" s="7">
        <v>6.0994886491716749E-2</v>
      </c>
      <c r="D1217" s="7">
        <v>6.0420951641459775E-2</v>
      </c>
      <c r="E1217" s="7">
        <v>0.20935790187659661</v>
      </c>
      <c r="F1217" s="8">
        <v>0.22481564897862316</v>
      </c>
      <c r="G1217" s="8">
        <f t="shared" si="144"/>
        <v>6.0707919066588262E-2</v>
      </c>
      <c r="H1217" s="8">
        <f t="shared" si="145"/>
        <v>0.2170867754276099</v>
      </c>
      <c r="I1217" s="8">
        <f t="shared" si="146"/>
        <v>3.5759218692621548</v>
      </c>
      <c r="J1217" s="22">
        <f t="shared" si="147"/>
        <v>1.8383152152518167</v>
      </c>
      <c r="K1217" s="8"/>
      <c r="L1217" s="8">
        <v>0.38631309919772638</v>
      </c>
      <c r="M1217" s="8">
        <v>0.35091858004585741</v>
      </c>
      <c r="N1217" s="8">
        <v>0.42754974814223728</v>
      </c>
      <c r="O1217" s="8">
        <v>0.44665630559857405</v>
      </c>
      <c r="P1217" s="8">
        <f t="shared" si="148"/>
        <v>0.3686158396217919</v>
      </c>
      <c r="Q1217" s="8">
        <f t="shared" si="149"/>
        <v>0.4371030268704057</v>
      </c>
      <c r="R1217" s="8">
        <f t="shared" si="150"/>
        <v>1.1857955624448564</v>
      </c>
      <c r="S1217" s="22">
        <f t="shared" si="151"/>
        <v>0.24585530291070384</v>
      </c>
      <c r="T1217" s="25"/>
      <c r="U1217" s="1" t="s">
        <v>3452</v>
      </c>
    </row>
    <row r="1218" spans="1:21">
      <c r="A1218" s="6" t="s">
        <v>3453</v>
      </c>
      <c r="B1218" s="6" t="s">
        <v>3454</v>
      </c>
      <c r="C1218" s="7">
        <v>1.1878782829474583</v>
      </c>
      <c r="D1218" s="7">
        <v>0.99589596694045401</v>
      </c>
      <c r="E1218" s="7">
        <v>1.0047773385092644</v>
      </c>
      <c r="F1218" s="8">
        <v>1.0667826147706296</v>
      </c>
      <c r="G1218" s="8">
        <f t="shared" si="144"/>
        <v>1.0918871249439561</v>
      </c>
      <c r="H1218" s="8">
        <f t="shared" si="145"/>
        <v>1.0357799766399469</v>
      </c>
      <c r="I1218" s="8">
        <f t="shared" si="146"/>
        <v>0.94861451607748459</v>
      </c>
      <c r="J1218" s="22">
        <f t="shared" si="147"/>
        <v>-7.6106149606369966E-2</v>
      </c>
      <c r="K1218" s="8"/>
      <c r="L1218" s="8">
        <v>0.80272348510289926</v>
      </c>
      <c r="M1218" s="8">
        <v>0.9918067236032917</v>
      </c>
      <c r="N1218" s="8">
        <v>0.94372151014911965</v>
      </c>
      <c r="O1218" s="8">
        <v>0.9918160991952143</v>
      </c>
      <c r="P1218" s="8">
        <f t="shared" si="148"/>
        <v>0.89726510435309548</v>
      </c>
      <c r="Q1218" s="8">
        <f t="shared" si="149"/>
        <v>0.96776880467216697</v>
      </c>
      <c r="R1218" s="8">
        <f t="shared" si="150"/>
        <v>1.0785762200903855</v>
      </c>
      <c r="S1218" s="22">
        <f t="shared" si="151"/>
        <v>0.10912813149229512</v>
      </c>
      <c r="T1218" s="25"/>
      <c r="U1218" s="1" t="s">
        <v>3455</v>
      </c>
    </row>
    <row r="1219" spans="1:21">
      <c r="A1219" s="6" t="s">
        <v>3456</v>
      </c>
      <c r="B1219" s="6" t="s">
        <v>3457</v>
      </c>
      <c r="C1219" s="7">
        <v>1.0964365741735536</v>
      </c>
      <c r="D1219" s="7">
        <v>1.0592922415043562</v>
      </c>
      <c r="E1219" s="7">
        <v>1.1746838250187017</v>
      </c>
      <c r="F1219" s="8">
        <v>1.0747909165975809</v>
      </c>
      <c r="G1219" s="8">
        <f t="shared" si="144"/>
        <v>1.077864407838955</v>
      </c>
      <c r="H1219" s="8">
        <f t="shared" si="145"/>
        <v>1.1247373708081412</v>
      </c>
      <c r="I1219" s="8">
        <f t="shared" si="146"/>
        <v>1.0434868826062855</v>
      </c>
      <c r="J1219" s="22">
        <f t="shared" si="147"/>
        <v>6.1412464879341155E-2</v>
      </c>
      <c r="K1219" s="8"/>
      <c r="L1219" s="8">
        <v>0.86558763187381782</v>
      </c>
      <c r="M1219" s="8">
        <v>1.1050857038286213</v>
      </c>
      <c r="N1219" s="8">
        <v>0.94458331255298988</v>
      </c>
      <c r="O1219" s="8">
        <v>0.89326237994370705</v>
      </c>
      <c r="P1219" s="8">
        <f t="shared" si="148"/>
        <v>0.98533666785121954</v>
      </c>
      <c r="Q1219" s="8">
        <f t="shared" si="149"/>
        <v>0.91892284624834852</v>
      </c>
      <c r="R1219" s="8">
        <f t="shared" si="150"/>
        <v>0.93259783810978691</v>
      </c>
      <c r="S1219" s="22">
        <f t="shared" si="151"/>
        <v>-0.1006730095714511</v>
      </c>
      <c r="T1219" s="25"/>
      <c r="U1219" s="1" t="s">
        <v>3458</v>
      </c>
    </row>
    <row r="1220" spans="1:21">
      <c r="A1220" s="6" t="s">
        <v>3459</v>
      </c>
      <c r="B1220" s="6" t="s">
        <v>3460</v>
      </c>
      <c r="C1220" s="7">
        <v>0.11439662843289888</v>
      </c>
      <c r="D1220" s="7">
        <v>0.1031380878850968</v>
      </c>
      <c r="E1220" s="7">
        <v>0.74131361370276172</v>
      </c>
      <c r="F1220" s="8">
        <v>0.83314787674634072</v>
      </c>
      <c r="G1220" s="8">
        <f t="shared" si="144"/>
        <v>0.10876735815899785</v>
      </c>
      <c r="H1220" s="8">
        <f t="shared" si="145"/>
        <v>0.78723074522455128</v>
      </c>
      <c r="I1220" s="8">
        <f t="shared" si="146"/>
        <v>7.2377481493461016</v>
      </c>
      <c r="J1220" s="22">
        <f t="shared" si="147"/>
        <v>2.855540907377355</v>
      </c>
      <c r="K1220" s="8"/>
      <c r="L1220" s="8">
        <v>0.90743965287473061</v>
      </c>
      <c r="M1220" s="8">
        <v>0.89607367238025515</v>
      </c>
      <c r="N1220" s="8">
        <v>1.0423021295695976</v>
      </c>
      <c r="O1220" s="8">
        <v>1.1002653753746252</v>
      </c>
      <c r="P1220" s="8">
        <f t="shared" si="148"/>
        <v>0.90175666262749288</v>
      </c>
      <c r="Q1220" s="8">
        <f t="shared" si="149"/>
        <v>1.0712837524721115</v>
      </c>
      <c r="R1220" s="8">
        <f t="shared" si="150"/>
        <v>1.1879964927019881</v>
      </c>
      <c r="S1220" s="22">
        <f t="shared" si="151"/>
        <v>0.24853057690558295</v>
      </c>
      <c r="T1220" s="25"/>
      <c r="U1220" s="1" t="s">
        <v>3461</v>
      </c>
    </row>
    <row r="1221" spans="1:21">
      <c r="A1221" s="6" t="s">
        <v>3462</v>
      </c>
      <c r="B1221" s="6" t="s">
        <v>3463</v>
      </c>
      <c r="C1221" s="7">
        <v>0.16810209615610239</v>
      </c>
      <c r="D1221" s="7">
        <v>0.13703229684789822</v>
      </c>
      <c r="E1221" s="7">
        <v>0.43382210934650917</v>
      </c>
      <c r="F1221" s="8">
        <v>0.45758981460410109</v>
      </c>
      <c r="G1221" s="8">
        <f t="shared" si="144"/>
        <v>0.15256719650200029</v>
      </c>
      <c r="H1221" s="8">
        <f t="shared" si="145"/>
        <v>0.4457059619753051</v>
      </c>
      <c r="I1221" s="8">
        <f t="shared" si="146"/>
        <v>2.92137479218517</v>
      </c>
      <c r="J1221" s="22">
        <f t="shared" si="147"/>
        <v>1.5466474578386751</v>
      </c>
      <c r="K1221" s="8"/>
      <c r="L1221" s="8">
        <v>0.76289517293639275</v>
      </c>
      <c r="M1221" s="8">
        <v>0.77795746862045911</v>
      </c>
      <c r="N1221" s="8">
        <v>1.0797426562266221</v>
      </c>
      <c r="O1221" s="8">
        <v>0.92335090075494697</v>
      </c>
      <c r="P1221" s="8">
        <f t="shared" si="148"/>
        <v>0.77042632077842588</v>
      </c>
      <c r="Q1221" s="8">
        <f t="shared" si="149"/>
        <v>1.0015467784907846</v>
      </c>
      <c r="R1221" s="8">
        <f t="shared" si="150"/>
        <v>1.2999903449285564</v>
      </c>
      <c r="S1221" s="22">
        <f t="shared" si="151"/>
        <v>0.37850090834956224</v>
      </c>
      <c r="T1221" s="25"/>
      <c r="U1221" s="1" t="s">
        <v>3464</v>
      </c>
    </row>
    <row r="1222" spans="1:21">
      <c r="A1222" s="6" t="s">
        <v>3465</v>
      </c>
      <c r="B1222" s="6" t="s">
        <v>3466</v>
      </c>
      <c r="C1222" s="7">
        <v>1.0830456419173218</v>
      </c>
      <c r="D1222" s="7">
        <v>1.0417494284291764</v>
      </c>
      <c r="E1222" s="7">
        <v>1.121374203380751</v>
      </c>
      <c r="F1222" s="8">
        <v>1.114000302007867</v>
      </c>
      <c r="G1222" s="8">
        <f t="shared" ref="G1222:G1285" si="152">AVERAGE(C1222:D1222)</f>
        <v>1.0623975351732491</v>
      </c>
      <c r="H1222" s="8">
        <f t="shared" ref="H1222:H1285" si="153">AVERAGE(E1222:F1222)</f>
        <v>1.1176872526943091</v>
      </c>
      <c r="I1222" s="8">
        <f t="shared" ref="I1222:I1285" si="154">H1222/G1222</f>
        <v>1.0520424000344124</v>
      </c>
      <c r="J1222" s="22">
        <f t="shared" ref="J1222:J1285" si="155">LOG(I1222,2)</f>
        <v>7.3192850149894545E-2</v>
      </c>
      <c r="K1222" s="8"/>
      <c r="L1222" s="8">
        <v>1.1946340768213239</v>
      </c>
      <c r="M1222" s="8">
        <v>0.86445582036860469</v>
      </c>
      <c r="N1222" s="8">
        <v>0.83202234302528544</v>
      </c>
      <c r="O1222" s="8">
        <v>0.86824721573002173</v>
      </c>
      <c r="P1222" s="8">
        <f t="shared" ref="P1222:P1285" si="156">AVERAGE(L1222:M1222)</f>
        <v>1.0295449485949644</v>
      </c>
      <c r="Q1222" s="8">
        <f t="shared" ref="Q1222:Q1285" si="157">AVERAGE(N1222:O1222)</f>
        <v>0.85013477937765358</v>
      </c>
      <c r="R1222" s="8">
        <f t="shared" ref="R1222:R1285" si="158">Q1222/P1222</f>
        <v>0.8257383813478425</v>
      </c>
      <c r="S1222" s="22">
        <f t="shared" ref="S1222:S1285" si="159">LOG(R1222,2)</f>
        <v>-0.27624332984949679</v>
      </c>
      <c r="T1222" s="25"/>
      <c r="U1222" s="1" t="s">
        <v>3467</v>
      </c>
    </row>
    <row r="1223" spans="1:21">
      <c r="A1223" s="6" t="s">
        <v>3468</v>
      </c>
      <c r="B1223" s="6" t="s">
        <v>3469</v>
      </c>
      <c r="C1223" s="7">
        <v>1.1026798263595485</v>
      </c>
      <c r="D1223" s="7">
        <v>1.0621902833119299</v>
      </c>
      <c r="E1223" s="7">
        <v>1.2009154297455567</v>
      </c>
      <c r="F1223" s="8">
        <v>1.1604356507007312</v>
      </c>
      <c r="G1223" s="8">
        <f t="shared" si="152"/>
        <v>1.0824350548357393</v>
      </c>
      <c r="H1223" s="8">
        <f t="shared" si="153"/>
        <v>1.1806755402231439</v>
      </c>
      <c r="I1223" s="8">
        <f t="shared" si="154"/>
        <v>1.0907587803522427</v>
      </c>
      <c r="J1223" s="22">
        <f t="shared" si="155"/>
        <v>0.12533208711771598</v>
      </c>
      <c r="K1223" s="8"/>
      <c r="L1223" s="8">
        <v>1.2990057835149584</v>
      </c>
      <c r="M1223" s="8">
        <v>1.1484008418418004</v>
      </c>
      <c r="N1223" s="8">
        <v>0.67191860755074562</v>
      </c>
      <c r="O1223" s="8">
        <v>0.89657764267082196</v>
      </c>
      <c r="P1223" s="8">
        <f t="shared" si="156"/>
        <v>1.2237033126783794</v>
      </c>
      <c r="Q1223" s="8">
        <f t="shared" si="157"/>
        <v>0.78424812511078379</v>
      </c>
      <c r="R1223" s="8">
        <f t="shared" si="158"/>
        <v>0.64088093656808165</v>
      </c>
      <c r="S1223" s="22">
        <f t="shared" si="159"/>
        <v>-0.64187173832070987</v>
      </c>
      <c r="T1223" s="25"/>
      <c r="U1223" s="1" t="s">
        <v>3470</v>
      </c>
    </row>
    <row r="1224" spans="1:21">
      <c r="A1224" s="6" t="s">
        <v>3471</v>
      </c>
      <c r="B1224" s="6" t="s">
        <v>3472</v>
      </c>
      <c r="C1224" s="7">
        <v>0.12333291588615029</v>
      </c>
      <c r="D1224" s="7">
        <v>0.19686720003493752</v>
      </c>
      <c r="E1224" s="7">
        <v>0.82079745619066968</v>
      </c>
      <c r="F1224" s="8">
        <v>0.69569810666848975</v>
      </c>
      <c r="G1224" s="8">
        <f t="shared" si="152"/>
        <v>0.16010005796054391</v>
      </c>
      <c r="H1224" s="8">
        <f t="shared" si="153"/>
        <v>0.75824778142957971</v>
      </c>
      <c r="I1224" s="8">
        <f t="shared" si="154"/>
        <v>4.7360868639813187</v>
      </c>
      <c r="J1224" s="22">
        <f t="shared" si="155"/>
        <v>2.2436955415001929</v>
      </c>
      <c r="K1224" s="8"/>
      <c r="L1224" s="8">
        <v>0.90287554358862288</v>
      </c>
      <c r="M1224" s="8">
        <v>0.94901928270296354</v>
      </c>
      <c r="N1224" s="8">
        <v>1.1031070769537679</v>
      </c>
      <c r="O1224" s="8">
        <v>1.1366328028660071</v>
      </c>
      <c r="P1224" s="8">
        <f t="shared" si="156"/>
        <v>0.92594741314579321</v>
      </c>
      <c r="Q1224" s="8">
        <f t="shared" si="157"/>
        <v>1.1198699399098875</v>
      </c>
      <c r="R1224" s="8">
        <f t="shared" si="158"/>
        <v>1.2094314687972032</v>
      </c>
      <c r="S1224" s="22">
        <f t="shared" si="159"/>
        <v>0.27432902278824589</v>
      </c>
      <c r="T1224" s="25"/>
      <c r="U1224" s="1" t="s">
        <v>3473</v>
      </c>
    </row>
    <row r="1225" spans="1:21">
      <c r="A1225" s="6" t="s">
        <v>3474</v>
      </c>
      <c r="B1225" s="6" t="s">
        <v>3475</v>
      </c>
      <c r="C1225" s="7">
        <v>1.0279632839822879</v>
      </c>
      <c r="D1225" s="7">
        <v>1.0056076270422789</v>
      </c>
      <c r="E1225" s="7">
        <v>1.0327734974507232</v>
      </c>
      <c r="F1225" s="8">
        <v>0.92837981410235981</v>
      </c>
      <c r="G1225" s="8">
        <f t="shared" si="152"/>
        <v>1.0167854555122835</v>
      </c>
      <c r="H1225" s="8">
        <f t="shared" si="153"/>
        <v>0.98057665577654152</v>
      </c>
      <c r="I1225" s="8">
        <f t="shared" si="154"/>
        <v>0.96438894799345942</v>
      </c>
      <c r="J1225" s="22">
        <f t="shared" si="155"/>
        <v>-5.2312977300709551E-2</v>
      </c>
      <c r="K1225" s="8"/>
      <c r="L1225" s="8">
        <v>1.037990401511323</v>
      </c>
      <c r="M1225" s="8">
        <v>0.99787524040107722</v>
      </c>
      <c r="N1225" s="8">
        <v>0.77303675627150759</v>
      </c>
      <c r="O1225" s="8">
        <v>0.8950707050675879</v>
      </c>
      <c r="P1225" s="8">
        <f t="shared" si="156"/>
        <v>1.0179328209562002</v>
      </c>
      <c r="Q1225" s="8">
        <f t="shared" si="157"/>
        <v>0.83405373066954769</v>
      </c>
      <c r="R1225" s="8">
        <f t="shared" si="158"/>
        <v>0.81936028930285909</v>
      </c>
      <c r="S1225" s="22">
        <f t="shared" si="159"/>
        <v>-0.28743012129555462</v>
      </c>
      <c r="T1225" s="25"/>
      <c r="U1225" s="1" t="s">
        <v>3476</v>
      </c>
    </row>
    <row r="1226" spans="1:21">
      <c r="A1226" s="6" t="s">
        <v>3477</v>
      </c>
      <c r="B1226" s="6" t="s">
        <v>3478</v>
      </c>
      <c r="C1226" s="7">
        <v>0.94348701980940675</v>
      </c>
      <c r="D1226" s="7">
        <v>0.99595392777660541</v>
      </c>
      <c r="E1226" s="7">
        <v>0.92503526857531693</v>
      </c>
      <c r="F1226" s="8">
        <v>1.0203828269206916</v>
      </c>
      <c r="G1226" s="8">
        <f t="shared" si="152"/>
        <v>0.96972047379300608</v>
      </c>
      <c r="H1226" s="8">
        <f t="shared" si="153"/>
        <v>0.97270904774800426</v>
      </c>
      <c r="I1226" s="8">
        <f t="shared" si="154"/>
        <v>1.0030818921903428</v>
      </c>
      <c r="J1226" s="22">
        <f t="shared" si="155"/>
        <v>4.4393932223088794E-3</v>
      </c>
      <c r="K1226" s="8"/>
      <c r="L1226" s="8">
        <v>1.3286294362398843</v>
      </c>
      <c r="M1226" s="8">
        <v>0.86247695619541376</v>
      </c>
      <c r="N1226" s="8">
        <v>1.4566375741858262</v>
      </c>
      <c r="O1226" s="8">
        <v>1.533861555078504</v>
      </c>
      <c r="P1226" s="8">
        <f t="shared" si="156"/>
        <v>1.095553196217649</v>
      </c>
      <c r="Q1226" s="8">
        <f t="shared" si="157"/>
        <v>1.4952495646321651</v>
      </c>
      <c r="R1226" s="8">
        <f t="shared" si="158"/>
        <v>1.3648351990523608</v>
      </c>
      <c r="S1226" s="22">
        <f t="shared" si="159"/>
        <v>0.44872675930360989</v>
      </c>
      <c r="T1226" s="25"/>
      <c r="U1226" s="1" t="s">
        <v>3479</v>
      </c>
    </row>
    <row r="1227" spans="1:21">
      <c r="A1227" s="6" t="s">
        <v>3480</v>
      </c>
      <c r="B1227" s="6" t="s">
        <v>80</v>
      </c>
      <c r="C1227" s="7">
        <v>1.0127364981102824</v>
      </c>
      <c r="D1227" s="7">
        <v>1.0160148171779215</v>
      </c>
      <c r="E1227" s="7">
        <v>1.0140233156744041</v>
      </c>
      <c r="F1227" s="8">
        <v>1.0606945984616862</v>
      </c>
      <c r="G1227" s="8">
        <f t="shared" si="152"/>
        <v>1.0143756576441021</v>
      </c>
      <c r="H1227" s="8">
        <f t="shared" si="153"/>
        <v>1.037358957068045</v>
      </c>
      <c r="I1227" s="8">
        <f t="shared" si="154"/>
        <v>1.0226575817851562</v>
      </c>
      <c r="J1227" s="22">
        <f t="shared" si="155"/>
        <v>3.2323165850081874E-2</v>
      </c>
      <c r="K1227" s="8"/>
      <c r="L1227" s="8">
        <v>0.94296220156377697</v>
      </c>
      <c r="M1227" s="8">
        <v>1.0524918915811468</v>
      </c>
      <c r="N1227" s="8">
        <v>1.004861602912573</v>
      </c>
      <c r="O1227" s="8">
        <v>1.0487783405974616</v>
      </c>
      <c r="P1227" s="8">
        <f t="shared" si="156"/>
        <v>0.99772704657246192</v>
      </c>
      <c r="Q1227" s="8">
        <f t="shared" si="157"/>
        <v>1.0268199717550173</v>
      </c>
      <c r="R1227" s="8">
        <f t="shared" si="158"/>
        <v>1.0291592026922589</v>
      </c>
      <c r="S1227" s="22">
        <f t="shared" si="159"/>
        <v>4.1466172872115459E-2</v>
      </c>
      <c r="T1227" s="25"/>
      <c r="U1227" s="1">
        <v>0</v>
      </c>
    </row>
    <row r="1228" spans="1:21">
      <c r="A1228" s="6" t="s">
        <v>3481</v>
      </c>
      <c r="B1228" s="6" t="s">
        <v>80</v>
      </c>
      <c r="C1228" s="7">
        <v>1.0303458440057001</v>
      </c>
      <c r="D1228" s="7">
        <v>1.1062276386012393</v>
      </c>
      <c r="E1228" s="7">
        <v>1.0731430548482457</v>
      </c>
      <c r="F1228" s="8">
        <v>0.9881931519040118</v>
      </c>
      <c r="G1228" s="8">
        <f t="shared" si="152"/>
        <v>1.0682867413034698</v>
      </c>
      <c r="H1228" s="8">
        <f t="shared" si="153"/>
        <v>1.0306681033761287</v>
      </c>
      <c r="I1228" s="8">
        <f t="shared" si="154"/>
        <v>0.96478601065343117</v>
      </c>
      <c r="J1228" s="22">
        <f t="shared" si="155"/>
        <v>-5.1719106500153371E-2</v>
      </c>
      <c r="K1228" s="8"/>
      <c r="L1228" s="8">
        <v>1.1511458656989761</v>
      </c>
      <c r="M1228" s="8">
        <v>1.0109797187035416</v>
      </c>
      <c r="N1228" s="8">
        <v>1.4985786245075059</v>
      </c>
      <c r="O1228" s="8">
        <v>1.3929126579226787</v>
      </c>
      <c r="P1228" s="8">
        <f t="shared" si="156"/>
        <v>1.081062792201259</v>
      </c>
      <c r="Q1228" s="8">
        <f t="shared" si="157"/>
        <v>1.4457456412150922</v>
      </c>
      <c r="R1228" s="8">
        <f t="shared" si="158"/>
        <v>1.3373373421457475</v>
      </c>
      <c r="S1228" s="22">
        <f t="shared" si="159"/>
        <v>0.41936342986885883</v>
      </c>
      <c r="T1228" s="25"/>
      <c r="U1228" s="1">
        <v>0</v>
      </c>
    </row>
    <row r="1229" spans="1:21">
      <c r="A1229" s="6" t="s">
        <v>3482</v>
      </c>
      <c r="B1229" s="6" t="s">
        <v>3483</v>
      </c>
      <c r="C1229" s="7">
        <v>1.0606509275896117</v>
      </c>
      <c r="D1229" s="7">
        <v>1.1186763381879949</v>
      </c>
      <c r="E1229" s="7">
        <v>1.0527359136265058</v>
      </c>
      <c r="F1229" s="8">
        <v>0.95561941978373044</v>
      </c>
      <c r="G1229" s="8">
        <f t="shared" si="152"/>
        <v>1.0896636328888034</v>
      </c>
      <c r="H1229" s="8">
        <f t="shared" si="153"/>
        <v>1.0041776667051181</v>
      </c>
      <c r="I1229" s="8">
        <f t="shared" si="154"/>
        <v>0.92154829838905994</v>
      </c>
      <c r="J1229" s="22">
        <f t="shared" si="155"/>
        <v>-0.1178683153358928</v>
      </c>
      <c r="K1229" s="8"/>
      <c r="L1229" s="8">
        <v>1.3270793613879988</v>
      </c>
      <c r="M1229" s="8">
        <v>1.3479143252588499</v>
      </c>
      <c r="N1229" s="8">
        <v>1.0156341329609495</v>
      </c>
      <c r="O1229" s="8">
        <v>1.0046250688227036</v>
      </c>
      <c r="P1229" s="8">
        <f t="shared" si="156"/>
        <v>1.3374968433234242</v>
      </c>
      <c r="Q1229" s="8">
        <f t="shared" si="157"/>
        <v>1.0101296008918266</v>
      </c>
      <c r="R1229" s="8">
        <f t="shared" si="158"/>
        <v>0.75523886724236855</v>
      </c>
      <c r="S1229" s="22">
        <f t="shared" si="159"/>
        <v>-0.40499508212759511</v>
      </c>
      <c r="T1229" s="25"/>
      <c r="U1229" s="1" t="s">
        <v>3484</v>
      </c>
    </row>
    <row r="1230" spans="1:21">
      <c r="A1230" s="6" t="s">
        <v>3485</v>
      </c>
      <c r="B1230" s="6" t="s">
        <v>3486</v>
      </c>
      <c r="C1230" s="7">
        <v>1.0653890497891452</v>
      </c>
      <c r="D1230" s="7">
        <v>0.96589801418561283</v>
      </c>
      <c r="E1230" s="7">
        <v>0.90175893350869296</v>
      </c>
      <c r="F1230" s="8">
        <v>1.0363354210573272</v>
      </c>
      <c r="G1230" s="8">
        <f t="shared" si="152"/>
        <v>1.0156435319873789</v>
      </c>
      <c r="H1230" s="8">
        <f t="shared" si="153"/>
        <v>0.96904717728301004</v>
      </c>
      <c r="I1230" s="8">
        <f t="shared" si="154"/>
        <v>0.95412134943330895</v>
      </c>
      <c r="J1230" s="22">
        <f t="shared" si="155"/>
        <v>-6.7755328560066941E-2</v>
      </c>
      <c r="K1230" s="8"/>
      <c r="L1230" s="8">
        <v>1.3285002633355605</v>
      </c>
      <c r="M1230" s="8">
        <v>0.97536016358610489</v>
      </c>
      <c r="N1230" s="8">
        <v>1.2067627549748141</v>
      </c>
      <c r="O1230" s="8">
        <v>0.96132572835644525</v>
      </c>
      <c r="P1230" s="8">
        <f t="shared" si="156"/>
        <v>1.1519302134608327</v>
      </c>
      <c r="Q1230" s="8">
        <f t="shared" si="157"/>
        <v>1.0840442416656297</v>
      </c>
      <c r="R1230" s="8">
        <f t="shared" si="158"/>
        <v>0.94106763499913082</v>
      </c>
      <c r="S1230" s="22">
        <f t="shared" si="159"/>
        <v>-8.7629680996982415E-2</v>
      </c>
      <c r="T1230" s="25"/>
      <c r="U1230" s="1" t="s">
        <v>3487</v>
      </c>
    </row>
    <row r="1231" spans="1:21">
      <c r="A1231" s="6" t="s">
        <v>3488</v>
      </c>
      <c r="B1231" s="6" t="s">
        <v>3489</v>
      </c>
      <c r="C1231" s="7">
        <v>1.0339568060808433</v>
      </c>
      <c r="D1231" s="7">
        <v>1.0605867001784057</v>
      </c>
      <c r="E1231" s="7">
        <v>0.97774235950584198</v>
      </c>
      <c r="F1231" s="8">
        <v>1.0204895094494699</v>
      </c>
      <c r="G1231" s="8">
        <f t="shared" si="152"/>
        <v>1.0472717531296245</v>
      </c>
      <c r="H1231" s="8">
        <f t="shared" si="153"/>
        <v>0.9991159344776559</v>
      </c>
      <c r="I1231" s="8">
        <f t="shared" si="154"/>
        <v>0.9540178387242263</v>
      </c>
      <c r="J1231" s="22">
        <f t="shared" si="155"/>
        <v>-6.7911852138373738E-2</v>
      </c>
      <c r="K1231" s="8"/>
      <c r="L1231" s="8">
        <v>0.7625507118581959</v>
      </c>
      <c r="M1231" s="8">
        <v>0.86054206678162704</v>
      </c>
      <c r="N1231" s="8">
        <v>0.84681661762505611</v>
      </c>
      <c r="O1231" s="8">
        <v>0.86056183395352803</v>
      </c>
      <c r="P1231" s="8">
        <f t="shared" si="156"/>
        <v>0.81154638931991152</v>
      </c>
      <c r="Q1231" s="8">
        <f t="shared" si="157"/>
        <v>0.85368922578929207</v>
      </c>
      <c r="R1231" s="8">
        <f t="shared" si="158"/>
        <v>1.0519290542401365</v>
      </c>
      <c r="S1231" s="22">
        <f t="shared" si="159"/>
        <v>7.3037407531950815E-2</v>
      </c>
      <c r="T1231" s="25"/>
      <c r="U1231" s="1" t="s">
        <v>3490</v>
      </c>
    </row>
    <row r="1232" spans="1:21">
      <c r="A1232" s="6" t="s">
        <v>3491</v>
      </c>
      <c r="B1232" s="6" t="s">
        <v>3492</v>
      </c>
      <c r="C1232" s="7">
        <v>1.1470575378437842</v>
      </c>
      <c r="D1232" s="7">
        <v>0.93829577599169933</v>
      </c>
      <c r="E1232" s="7">
        <v>1.0074815537080679</v>
      </c>
      <c r="F1232" s="8">
        <v>1.1458983781125531</v>
      </c>
      <c r="G1232" s="8">
        <f t="shared" si="152"/>
        <v>1.0426766569177417</v>
      </c>
      <c r="H1232" s="8">
        <f t="shared" si="153"/>
        <v>1.0766899659103104</v>
      </c>
      <c r="I1232" s="8">
        <f t="shared" si="154"/>
        <v>1.0326211474735758</v>
      </c>
      <c r="J1232" s="22">
        <f t="shared" si="155"/>
        <v>4.6311049060105337E-2</v>
      </c>
      <c r="K1232" s="8"/>
      <c r="L1232" s="8">
        <v>1.2293815880844274</v>
      </c>
      <c r="M1232" s="8">
        <v>0.82896818952938067</v>
      </c>
      <c r="N1232" s="8">
        <v>1.000504712981896</v>
      </c>
      <c r="O1232" s="8">
        <v>0.90576996205054972</v>
      </c>
      <c r="P1232" s="8">
        <f t="shared" si="156"/>
        <v>1.0291748888069041</v>
      </c>
      <c r="Q1232" s="8">
        <f t="shared" si="157"/>
        <v>0.95313733751622287</v>
      </c>
      <c r="R1232" s="8">
        <f t="shared" si="158"/>
        <v>0.92611794932265634</v>
      </c>
      <c r="S1232" s="22">
        <f t="shared" si="159"/>
        <v>-0.1107321497102645</v>
      </c>
      <c r="T1232" s="25"/>
      <c r="U1232" s="1" t="s">
        <v>3493</v>
      </c>
    </row>
    <row r="1233" spans="1:21">
      <c r="A1233" s="6" t="s">
        <v>3494</v>
      </c>
      <c r="B1233" s="13" t="s">
        <v>3495</v>
      </c>
      <c r="C1233" s="14">
        <v>1.0940877614592548</v>
      </c>
      <c r="D1233" s="14">
        <v>0.97805046949870544</v>
      </c>
      <c r="E1233" s="14">
        <v>1.1592690810870607</v>
      </c>
      <c r="F1233" s="8">
        <v>1.0009808310202271</v>
      </c>
      <c r="G1233" s="8">
        <f t="shared" si="152"/>
        <v>1.0360691154789801</v>
      </c>
      <c r="H1233" s="8">
        <f t="shared" si="153"/>
        <v>1.0801249560536439</v>
      </c>
      <c r="I1233" s="8">
        <f t="shared" si="154"/>
        <v>1.0425221058291045</v>
      </c>
      <c r="J1233" s="22">
        <f t="shared" si="155"/>
        <v>6.0077975163368068E-2</v>
      </c>
      <c r="K1233" s="8"/>
      <c r="L1233" s="8">
        <v>1.266066692912388</v>
      </c>
      <c r="M1233" s="8">
        <v>1.2883285262661008</v>
      </c>
      <c r="N1233" s="8">
        <v>0.90541918108822494</v>
      </c>
      <c r="O1233" s="8">
        <v>0.89190613610079639</v>
      </c>
      <c r="P1233" s="8">
        <f t="shared" si="156"/>
        <v>1.2771976095892446</v>
      </c>
      <c r="Q1233" s="8">
        <f t="shared" si="157"/>
        <v>0.89866265859451067</v>
      </c>
      <c r="R1233" s="8">
        <f t="shared" si="158"/>
        <v>0.70362068629577745</v>
      </c>
      <c r="S1233" s="22">
        <f t="shared" si="159"/>
        <v>-0.50713019653225766</v>
      </c>
      <c r="T1233" s="25"/>
      <c r="U1233" s="1" t="s">
        <v>3496</v>
      </c>
    </row>
    <row r="1234" spans="1:21">
      <c r="A1234" s="6" t="s">
        <v>3497</v>
      </c>
      <c r="B1234" s="6" t="s">
        <v>3498</v>
      </c>
      <c r="C1234" s="7">
        <v>1.1370615848843693</v>
      </c>
      <c r="D1234" s="7">
        <v>0.98897930715971127</v>
      </c>
      <c r="E1234" s="7">
        <v>1.019969719917927</v>
      </c>
      <c r="F1234" s="8">
        <v>1.0022254605226397</v>
      </c>
      <c r="G1234" s="8">
        <f t="shared" si="152"/>
        <v>1.0630204460220403</v>
      </c>
      <c r="H1234" s="8">
        <f t="shared" si="153"/>
        <v>1.0110975902202832</v>
      </c>
      <c r="I1234" s="8">
        <f t="shared" si="154"/>
        <v>0.9511553554815817</v>
      </c>
      <c r="J1234" s="22">
        <f t="shared" si="155"/>
        <v>-7.2247094203367973E-2</v>
      </c>
      <c r="K1234" s="8"/>
      <c r="L1234" s="8">
        <v>1.1332769472675164</v>
      </c>
      <c r="M1234" s="8">
        <v>0.81379689753491691</v>
      </c>
      <c r="N1234" s="8">
        <v>0.881575981247818</v>
      </c>
      <c r="O1234" s="8">
        <v>1.0450109965893764</v>
      </c>
      <c r="P1234" s="8">
        <f t="shared" si="156"/>
        <v>0.9735369224012167</v>
      </c>
      <c r="Q1234" s="8">
        <f t="shared" si="157"/>
        <v>0.96329348891859712</v>
      </c>
      <c r="R1234" s="8">
        <f t="shared" si="158"/>
        <v>0.98947812533154444</v>
      </c>
      <c r="S1234" s="22">
        <f t="shared" si="159"/>
        <v>-1.5260281323049308E-2</v>
      </c>
      <c r="T1234" s="25"/>
      <c r="U1234" s="1" t="s">
        <v>3499</v>
      </c>
    </row>
    <row r="1235" spans="1:21">
      <c r="A1235" s="6" t="s">
        <v>3500</v>
      </c>
      <c r="B1235" s="6" t="s">
        <v>3501</v>
      </c>
      <c r="C1235" s="7">
        <v>1.1615351334534703</v>
      </c>
      <c r="D1235" s="7">
        <v>0.99729346710099509</v>
      </c>
      <c r="E1235" s="7">
        <v>1.102150604620026</v>
      </c>
      <c r="F1235" s="8">
        <v>1.0361789533484524</v>
      </c>
      <c r="G1235" s="8">
        <f t="shared" si="152"/>
        <v>1.0794143002772327</v>
      </c>
      <c r="H1235" s="8">
        <f t="shared" si="153"/>
        <v>1.0691647789842391</v>
      </c>
      <c r="I1235" s="8">
        <f t="shared" si="154"/>
        <v>0.99050455298733664</v>
      </c>
      <c r="J1235" s="22">
        <f t="shared" si="155"/>
        <v>-1.3764488215654513E-2</v>
      </c>
      <c r="K1235" s="8"/>
      <c r="L1235" s="8">
        <v>1.104256101429435</v>
      </c>
      <c r="M1235" s="8">
        <v>0.86212515812017976</v>
      </c>
      <c r="N1235" s="8">
        <v>0.71984439678819012</v>
      </c>
      <c r="O1235" s="8">
        <v>0.67782053393467823</v>
      </c>
      <c r="P1235" s="8">
        <f t="shared" si="156"/>
        <v>0.98319062977480742</v>
      </c>
      <c r="Q1235" s="8">
        <f t="shared" si="157"/>
        <v>0.69883246536143417</v>
      </c>
      <c r="R1235" s="8">
        <f t="shared" si="158"/>
        <v>0.71078023345431662</v>
      </c>
      <c r="S1235" s="22">
        <f t="shared" si="159"/>
        <v>-0.49252453379926647</v>
      </c>
      <c r="T1235" s="25"/>
      <c r="U1235" s="1" t="s">
        <v>3502</v>
      </c>
    </row>
    <row r="1236" spans="1:21">
      <c r="A1236" s="6" t="s">
        <v>3503</v>
      </c>
      <c r="B1236" s="6" t="s">
        <v>3504</v>
      </c>
      <c r="C1236" s="7">
        <v>1.1823369747910237</v>
      </c>
      <c r="D1236" s="7">
        <v>0.95845326678660114</v>
      </c>
      <c r="E1236" s="7">
        <v>1.0232692928395439</v>
      </c>
      <c r="F1236" s="8">
        <v>1.0843354468389383</v>
      </c>
      <c r="G1236" s="8">
        <f t="shared" si="152"/>
        <v>1.0703951207888125</v>
      </c>
      <c r="H1236" s="8">
        <f t="shared" si="153"/>
        <v>1.0538023698392411</v>
      </c>
      <c r="I1236" s="8">
        <f t="shared" si="154"/>
        <v>0.98449848039540433</v>
      </c>
      <c r="J1236" s="22">
        <f t="shared" si="155"/>
        <v>-2.2539115604318278E-2</v>
      </c>
      <c r="K1236" s="8"/>
      <c r="L1236" s="8">
        <v>1.1513611538728492</v>
      </c>
      <c r="M1236" s="8">
        <v>1.1952779353667231</v>
      </c>
      <c r="N1236" s="8">
        <v>0.88076205675527397</v>
      </c>
      <c r="O1236" s="8">
        <v>0.91908124421245052</v>
      </c>
      <c r="P1236" s="8">
        <f t="shared" si="156"/>
        <v>1.1733195446197862</v>
      </c>
      <c r="Q1236" s="8">
        <f t="shared" si="157"/>
        <v>0.8999216504838623</v>
      </c>
      <c r="R1236" s="8">
        <f t="shared" si="158"/>
        <v>0.76698769283305657</v>
      </c>
      <c r="S1236" s="22">
        <f t="shared" si="159"/>
        <v>-0.38272466661308996</v>
      </c>
      <c r="T1236" s="25"/>
      <c r="U1236" s="1" t="s">
        <v>3505</v>
      </c>
    </row>
    <row r="1237" spans="1:21">
      <c r="A1237" s="6" t="s">
        <v>3506</v>
      </c>
      <c r="B1237" s="6" t="s">
        <v>3507</v>
      </c>
      <c r="C1237" s="7">
        <v>1.0689865129406431</v>
      </c>
      <c r="D1237" s="7">
        <v>1.115694575172647</v>
      </c>
      <c r="E1237" s="7">
        <v>1.0571831640860765</v>
      </c>
      <c r="F1237" s="8">
        <v>1.1019238397501734</v>
      </c>
      <c r="G1237" s="8">
        <f t="shared" si="152"/>
        <v>1.0923405440566452</v>
      </c>
      <c r="H1237" s="8">
        <f t="shared" si="153"/>
        <v>1.079553501918125</v>
      </c>
      <c r="I1237" s="8">
        <f t="shared" si="154"/>
        <v>0.98829390503896097</v>
      </c>
      <c r="J1237" s="22">
        <f t="shared" si="155"/>
        <v>-1.6987951571559443E-2</v>
      </c>
      <c r="K1237" s="8"/>
      <c r="L1237" s="8">
        <v>0.90610486619671793</v>
      </c>
      <c r="M1237" s="8">
        <v>0.89255569162791581</v>
      </c>
      <c r="N1237" s="8">
        <v>0.83800708194105034</v>
      </c>
      <c r="O1237" s="8">
        <v>0.90627227458496107</v>
      </c>
      <c r="P1237" s="8">
        <f t="shared" si="156"/>
        <v>0.89933027891231687</v>
      </c>
      <c r="Q1237" s="8">
        <f t="shared" si="157"/>
        <v>0.87213967826300576</v>
      </c>
      <c r="R1237" s="8">
        <f t="shared" si="158"/>
        <v>0.96976572313099874</v>
      </c>
      <c r="S1237" s="22">
        <f t="shared" si="159"/>
        <v>-4.4291833051296171E-2</v>
      </c>
      <c r="T1237" s="25"/>
      <c r="U1237" s="1" t="s">
        <v>3508</v>
      </c>
    </row>
    <row r="1238" spans="1:21">
      <c r="A1238" s="6" t="s">
        <v>3509</v>
      </c>
      <c r="B1238" s="6" t="s">
        <v>3510</v>
      </c>
      <c r="C1238" s="7">
        <v>1.1362449000038228</v>
      </c>
      <c r="D1238" s="7">
        <v>1.0376792897127616</v>
      </c>
      <c r="E1238" s="7">
        <v>1.0143460999819536</v>
      </c>
      <c r="F1238" s="8">
        <v>1.057871067533356</v>
      </c>
      <c r="G1238" s="8">
        <f t="shared" si="152"/>
        <v>1.0869620948582921</v>
      </c>
      <c r="H1238" s="8">
        <f t="shared" si="153"/>
        <v>1.0361085837576547</v>
      </c>
      <c r="I1238" s="8">
        <f t="shared" si="154"/>
        <v>0.95321500966667361</v>
      </c>
      <c r="J1238" s="22">
        <f t="shared" si="155"/>
        <v>-6.9126425984875298E-2</v>
      </c>
      <c r="K1238" s="8"/>
      <c r="L1238" s="8">
        <v>1.2481547168461538</v>
      </c>
      <c r="M1238" s="8">
        <v>1.0114194662975839</v>
      </c>
      <c r="N1238" s="8">
        <v>0.94822203381377479</v>
      </c>
      <c r="O1238" s="8">
        <v>1.0473216342476686</v>
      </c>
      <c r="P1238" s="8">
        <f t="shared" si="156"/>
        <v>1.1297870915718689</v>
      </c>
      <c r="Q1238" s="8">
        <f t="shared" si="157"/>
        <v>0.99777183403072167</v>
      </c>
      <c r="R1238" s="8">
        <f t="shared" si="158"/>
        <v>0.88315032228109913</v>
      </c>
      <c r="S1238" s="22">
        <f t="shared" si="159"/>
        <v>-0.17926907292345096</v>
      </c>
      <c r="T1238" s="25"/>
      <c r="U1238" s="1" t="s">
        <v>3511</v>
      </c>
    </row>
    <row r="1239" spans="1:21">
      <c r="A1239" s="6" t="s">
        <v>3512</v>
      </c>
      <c r="B1239" s="13" t="s">
        <v>3513</v>
      </c>
      <c r="C1239" s="14">
        <v>1.1816687780705768</v>
      </c>
      <c r="D1239" s="14">
        <v>1.0505272750596719</v>
      </c>
      <c r="E1239" s="14">
        <v>0.74340812520952726</v>
      </c>
      <c r="F1239" s="8">
        <v>0.8166334212914732</v>
      </c>
      <c r="G1239" s="8">
        <f t="shared" si="152"/>
        <v>1.1160980265651244</v>
      </c>
      <c r="H1239" s="8">
        <f t="shared" si="153"/>
        <v>0.78002077325050023</v>
      </c>
      <c r="I1239" s="8">
        <f t="shared" si="154"/>
        <v>0.69888195721577684</v>
      </c>
      <c r="J1239" s="22">
        <f t="shared" si="155"/>
        <v>-0.51687929325033077</v>
      </c>
      <c r="K1239" s="8"/>
      <c r="L1239" s="8">
        <v>0.38842292330168182</v>
      </c>
      <c r="M1239" s="8">
        <v>0.28750697698493932</v>
      </c>
      <c r="N1239" s="8">
        <v>0.28635778764151415</v>
      </c>
      <c r="O1239" s="8">
        <v>0.32529759728479146</v>
      </c>
      <c r="P1239" s="8">
        <f t="shared" si="156"/>
        <v>0.33796495014331057</v>
      </c>
      <c r="Q1239" s="8">
        <f t="shared" si="157"/>
        <v>0.30582769246315278</v>
      </c>
      <c r="R1239" s="8">
        <f t="shared" si="158"/>
        <v>0.90490949529964482</v>
      </c>
      <c r="S1239" s="22">
        <f t="shared" si="159"/>
        <v>-0.14415458690332936</v>
      </c>
      <c r="T1239" s="25"/>
      <c r="U1239" s="1" t="s">
        <v>3514</v>
      </c>
    </row>
    <row r="1240" spans="1:21">
      <c r="A1240" s="6" t="s">
        <v>3515</v>
      </c>
      <c r="B1240" s="6" t="s">
        <v>3516</v>
      </c>
      <c r="C1240" s="7">
        <v>1.1788070062577529</v>
      </c>
      <c r="D1240" s="7">
        <v>1.1613870343387265</v>
      </c>
      <c r="E1240" s="7">
        <v>1.1453032800470861</v>
      </c>
      <c r="F1240" s="8">
        <v>1.1411047764861186</v>
      </c>
      <c r="G1240" s="8">
        <f t="shared" si="152"/>
        <v>1.1700970202982397</v>
      </c>
      <c r="H1240" s="8">
        <f t="shared" si="153"/>
        <v>1.1432040282666023</v>
      </c>
      <c r="I1240" s="8">
        <f t="shared" si="154"/>
        <v>0.97701644259825327</v>
      </c>
      <c r="J1240" s="22">
        <f t="shared" si="155"/>
        <v>-3.3545252800817861E-2</v>
      </c>
      <c r="K1240" s="8"/>
      <c r="L1240" s="8">
        <v>0.96414655787288106</v>
      </c>
      <c r="M1240" s="8">
        <v>1.2839310503256764</v>
      </c>
      <c r="N1240" s="8">
        <v>0.93333200339135203</v>
      </c>
      <c r="O1240" s="8">
        <v>0.93942490185611027</v>
      </c>
      <c r="P1240" s="8">
        <f t="shared" si="156"/>
        <v>1.1240388040992788</v>
      </c>
      <c r="Q1240" s="8">
        <f t="shared" si="157"/>
        <v>0.93637845262373109</v>
      </c>
      <c r="R1240" s="8">
        <f t="shared" si="158"/>
        <v>0.83304815564092138</v>
      </c>
      <c r="S1240" s="22">
        <f t="shared" si="159"/>
        <v>-0.26352819966114205</v>
      </c>
      <c r="T1240" s="25"/>
      <c r="U1240" s="1" t="s">
        <v>3517</v>
      </c>
    </row>
    <row r="1241" spans="1:21">
      <c r="A1241" s="6" t="s">
        <v>3518</v>
      </c>
      <c r="B1241" s="6" t="s">
        <v>3519</v>
      </c>
      <c r="C1241" s="7">
        <v>1.1705929112195301</v>
      </c>
      <c r="D1241" s="7">
        <v>1.1279243116006081</v>
      </c>
      <c r="E1241" s="7">
        <v>1.1376281865120206</v>
      </c>
      <c r="F1241" s="8">
        <v>1.2102492794715718</v>
      </c>
      <c r="G1241" s="8">
        <f t="shared" si="152"/>
        <v>1.1492586114100691</v>
      </c>
      <c r="H1241" s="8">
        <f t="shared" si="153"/>
        <v>1.1739387329917963</v>
      </c>
      <c r="I1241" s="8">
        <f t="shared" si="154"/>
        <v>1.0214748197983448</v>
      </c>
      <c r="J1241" s="22">
        <f t="shared" si="155"/>
        <v>3.0653640879948325E-2</v>
      </c>
      <c r="K1241" s="8"/>
      <c r="L1241" s="8">
        <v>1.294398616594076</v>
      </c>
      <c r="M1241" s="8">
        <v>1.4338410051347401</v>
      </c>
      <c r="N1241" s="8">
        <v>0.89962595381776467</v>
      </c>
      <c r="O1241" s="8">
        <v>1.6809386651541478</v>
      </c>
      <c r="P1241" s="8">
        <f t="shared" si="156"/>
        <v>1.3641198108644081</v>
      </c>
      <c r="Q1241" s="8">
        <f t="shared" si="157"/>
        <v>1.2902823094859563</v>
      </c>
      <c r="R1241" s="8">
        <f t="shared" si="158"/>
        <v>0.9458716889892077</v>
      </c>
      <c r="S1241" s="22">
        <f t="shared" si="159"/>
        <v>-8.0283604995072172E-2</v>
      </c>
      <c r="T1241" s="25"/>
      <c r="U1241" s="1" t="s">
        <v>3520</v>
      </c>
    </row>
    <row r="1242" spans="1:21">
      <c r="A1242" s="6" t="s">
        <v>3521</v>
      </c>
      <c r="B1242" s="6" t="s">
        <v>3522</v>
      </c>
      <c r="C1242" s="7">
        <v>1.0970372762757734</v>
      </c>
      <c r="D1242" s="7">
        <v>1.0616686357865666</v>
      </c>
      <c r="E1242" s="7">
        <v>1.1036927963116514</v>
      </c>
      <c r="F1242" s="8">
        <v>1.1163117567980618</v>
      </c>
      <c r="G1242" s="8">
        <f t="shared" si="152"/>
        <v>1.0793529560311699</v>
      </c>
      <c r="H1242" s="8">
        <f t="shared" si="153"/>
        <v>1.1100022765548565</v>
      </c>
      <c r="I1242" s="8">
        <f t="shared" si="154"/>
        <v>1.0283960129561192</v>
      </c>
      <c r="J1242" s="22">
        <f t="shared" si="155"/>
        <v>4.0395922032957138E-2</v>
      </c>
      <c r="K1242" s="8"/>
      <c r="L1242" s="8">
        <v>0.78063491846352862</v>
      </c>
      <c r="M1242" s="8">
        <v>0.87157973139209199</v>
      </c>
      <c r="N1242" s="8">
        <v>0.76848835469552634</v>
      </c>
      <c r="O1242" s="8">
        <v>0.97518955430619847</v>
      </c>
      <c r="P1242" s="8">
        <f t="shared" si="156"/>
        <v>0.82610732492781036</v>
      </c>
      <c r="Q1242" s="8">
        <f t="shared" si="157"/>
        <v>0.87183895450086246</v>
      </c>
      <c r="R1242" s="8">
        <f t="shared" si="158"/>
        <v>1.0553579761286445</v>
      </c>
      <c r="S1242" s="22">
        <f t="shared" si="159"/>
        <v>7.7732442331492485E-2</v>
      </c>
      <c r="T1242" s="25"/>
      <c r="U1242" s="1" t="s">
        <v>3523</v>
      </c>
    </row>
    <row r="1243" spans="1:21">
      <c r="A1243" s="6" t="s">
        <v>3524</v>
      </c>
      <c r="B1243" s="6" t="s">
        <v>3525</v>
      </c>
      <c r="C1243" s="7">
        <v>1.0561017903211136</v>
      </c>
      <c r="D1243" s="7">
        <v>1.0751670705169545</v>
      </c>
      <c r="E1243" s="7">
        <v>1.0466317037215145</v>
      </c>
      <c r="F1243" s="8">
        <v>1.0204539486065438</v>
      </c>
      <c r="G1243" s="8">
        <f t="shared" si="152"/>
        <v>1.0656344304190339</v>
      </c>
      <c r="H1243" s="8">
        <f t="shared" si="153"/>
        <v>1.0335428261640291</v>
      </c>
      <c r="I1243" s="8">
        <f t="shared" si="154"/>
        <v>0.96988497805726348</v>
      </c>
      <c r="J1243" s="22">
        <f t="shared" si="155"/>
        <v>-4.4114431531697709E-2</v>
      </c>
      <c r="K1243" s="8"/>
      <c r="L1243" s="8">
        <v>0.84862292377262472</v>
      </c>
      <c r="M1243" s="8">
        <v>1.0913655788944974</v>
      </c>
      <c r="N1243" s="8">
        <v>0.73310657822552483</v>
      </c>
      <c r="O1243" s="8">
        <v>0.81264121817068502</v>
      </c>
      <c r="P1243" s="8">
        <f t="shared" si="156"/>
        <v>0.9699942513335611</v>
      </c>
      <c r="Q1243" s="8">
        <f t="shared" si="157"/>
        <v>0.77287389819810492</v>
      </c>
      <c r="R1243" s="8">
        <f t="shared" si="158"/>
        <v>0.79678193673369457</v>
      </c>
      <c r="S1243" s="22">
        <f t="shared" si="159"/>
        <v>-0.32774315340520144</v>
      </c>
      <c r="T1243" s="25"/>
      <c r="U1243" s="1" t="s">
        <v>3526</v>
      </c>
    </row>
    <row r="1244" spans="1:21">
      <c r="A1244" s="6" t="s">
        <v>3527</v>
      </c>
      <c r="B1244" s="13" t="s">
        <v>3528</v>
      </c>
      <c r="C1244" s="14">
        <v>1.1138434362142902</v>
      </c>
      <c r="D1244" s="14">
        <v>1.088697705711871</v>
      </c>
      <c r="E1244" s="14">
        <v>1.0457565995988247</v>
      </c>
      <c r="F1244" s="8">
        <v>1.1404789056506199</v>
      </c>
      <c r="G1244" s="8">
        <f t="shared" si="152"/>
        <v>1.1012705709630806</v>
      </c>
      <c r="H1244" s="8">
        <f t="shared" si="153"/>
        <v>1.0931177526247224</v>
      </c>
      <c r="I1244" s="8">
        <f t="shared" si="154"/>
        <v>0.99259689802549766</v>
      </c>
      <c r="J1244" s="22">
        <f t="shared" si="155"/>
        <v>-1.0720148825998548E-2</v>
      </c>
      <c r="K1244" s="8"/>
      <c r="L1244" s="8">
        <v>0.9561378378048051</v>
      </c>
      <c r="M1244" s="8">
        <v>1.3391633481374055</v>
      </c>
      <c r="N1244" s="8">
        <v>0.84925839110268808</v>
      </c>
      <c r="O1244" s="8">
        <v>0.89728088021899788</v>
      </c>
      <c r="P1244" s="8">
        <f t="shared" si="156"/>
        <v>1.1476505929711052</v>
      </c>
      <c r="Q1244" s="8">
        <f t="shared" si="157"/>
        <v>0.87326963566084292</v>
      </c>
      <c r="R1244" s="8">
        <f t="shared" si="158"/>
        <v>0.76091943053858513</v>
      </c>
      <c r="S1244" s="22">
        <f t="shared" si="159"/>
        <v>-0.39418439190238064</v>
      </c>
      <c r="T1244" s="25"/>
      <c r="U1244" s="1" t="s">
        <v>3529</v>
      </c>
    </row>
    <row r="1245" spans="1:21">
      <c r="A1245" s="6" t="s">
        <v>3530</v>
      </c>
      <c r="B1245" s="6" t="s">
        <v>3531</v>
      </c>
      <c r="C1245" s="7">
        <v>1.1258034825641099</v>
      </c>
      <c r="D1245" s="7">
        <v>1.049400258801171</v>
      </c>
      <c r="E1245" s="7">
        <v>1.0476215755979996</v>
      </c>
      <c r="F1245" s="8">
        <v>1.146296659553325</v>
      </c>
      <c r="G1245" s="8">
        <f t="shared" si="152"/>
        <v>1.0876018706826405</v>
      </c>
      <c r="H1245" s="8">
        <f t="shared" si="153"/>
        <v>1.0969591175756623</v>
      </c>
      <c r="I1245" s="8">
        <f t="shared" si="154"/>
        <v>1.0086035590276694</v>
      </c>
      <c r="J1245" s="22">
        <f t="shared" si="155"/>
        <v>1.2359221209490172E-2</v>
      </c>
      <c r="K1245" s="8"/>
      <c r="L1245" s="8">
        <v>0.92505022549754268</v>
      </c>
      <c r="M1245" s="8">
        <v>0.83147475081542255</v>
      </c>
      <c r="N1245" s="8">
        <v>0.95774973816767239</v>
      </c>
      <c r="O1245" s="8">
        <v>0.89642694891049857</v>
      </c>
      <c r="P1245" s="8">
        <f t="shared" si="156"/>
        <v>0.87826248815648267</v>
      </c>
      <c r="Q1245" s="8">
        <f t="shared" si="157"/>
        <v>0.92708834353908554</v>
      </c>
      <c r="R1245" s="8">
        <f t="shared" si="158"/>
        <v>1.0555936932762446</v>
      </c>
      <c r="S1245" s="22">
        <f t="shared" si="159"/>
        <v>7.8054636312754541E-2</v>
      </c>
      <c r="T1245" s="25"/>
      <c r="U1245" s="1" t="s">
        <v>3532</v>
      </c>
    </row>
    <row r="1246" spans="1:21">
      <c r="A1246" s="6" t="s">
        <v>3533</v>
      </c>
      <c r="B1246" s="6" t="s">
        <v>3534</v>
      </c>
      <c r="C1246" s="7">
        <v>1.0471520039442168</v>
      </c>
      <c r="D1246" s="7">
        <v>1.0584228289620841</v>
      </c>
      <c r="E1246" s="7">
        <v>1.0553181880869018</v>
      </c>
      <c r="F1246" s="8">
        <v>1.0695848091932041</v>
      </c>
      <c r="G1246" s="8">
        <f t="shared" si="152"/>
        <v>1.0527874164531505</v>
      </c>
      <c r="H1246" s="8">
        <f t="shared" si="153"/>
        <v>1.0624514986400531</v>
      </c>
      <c r="I1246" s="8">
        <f t="shared" si="154"/>
        <v>1.009179519089866</v>
      </c>
      <c r="J1246" s="22">
        <f t="shared" si="155"/>
        <v>1.3182832783063057E-2</v>
      </c>
      <c r="K1246" s="8"/>
      <c r="L1246" s="8">
        <v>0.17459870901100985</v>
      </c>
      <c r="M1246" s="8">
        <v>0.13144055585928169</v>
      </c>
      <c r="N1246" s="8">
        <v>0.21602513590344621</v>
      </c>
      <c r="O1246" s="8">
        <v>0.17746701840753062</v>
      </c>
      <c r="P1246" s="8">
        <f t="shared" si="156"/>
        <v>0.15301963243514577</v>
      </c>
      <c r="Q1246" s="8">
        <f t="shared" si="157"/>
        <v>0.19674607715548842</v>
      </c>
      <c r="R1246" s="8">
        <f t="shared" si="158"/>
        <v>1.2857570889727186</v>
      </c>
      <c r="S1246" s="22">
        <f t="shared" si="159"/>
        <v>0.36261810795643457</v>
      </c>
      <c r="T1246" s="25"/>
      <c r="U1246" s="1" t="s">
        <v>3535</v>
      </c>
    </row>
    <row r="1247" spans="1:21">
      <c r="A1247" s="6" t="s">
        <v>3536</v>
      </c>
      <c r="B1247" s="6" t="s">
        <v>3537</v>
      </c>
      <c r="C1247" s="7">
        <v>1.0587813266647244</v>
      </c>
      <c r="D1247" s="7">
        <v>1.008312466062681</v>
      </c>
      <c r="E1247" s="7">
        <v>1.1430509628788521</v>
      </c>
      <c r="F1247" s="8">
        <v>1.0553675841913606</v>
      </c>
      <c r="G1247" s="8">
        <f t="shared" si="152"/>
        <v>1.0335468963637027</v>
      </c>
      <c r="H1247" s="8">
        <f t="shared" si="153"/>
        <v>1.0992092735351062</v>
      </c>
      <c r="I1247" s="8">
        <f t="shared" si="154"/>
        <v>1.0635311057509065</v>
      </c>
      <c r="J1247" s="22">
        <f t="shared" si="155"/>
        <v>8.88622293082795E-2</v>
      </c>
      <c r="K1247" s="8"/>
      <c r="L1247" s="8">
        <v>0.85047440206793257</v>
      </c>
      <c r="M1247" s="8">
        <v>0.79466787719407139</v>
      </c>
      <c r="N1247" s="8">
        <v>0.75192259737668943</v>
      </c>
      <c r="O1247" s="8">
        <v>0.88492399187247861</v>
      </c>
      <c r="P1247" s="8">
        <f t="shared" si="156"/>
        <v>0.82257113963100204</v>
      </c>
      <c r="Q1247" s="8">
        <f t="shared" si="157"/>
        <v>0.81842329462458396</v>
      </c>
      <c r="R1247" s="8">
        <f t="shared" si="158"/>
        <v>0.99495746348664904</v>
      </c>
      <c r="S1247" s="22">
        <f t="shared" si="159"/>
        <v>-7.2932461442797806E-3</v>
      </c>
      <c r="T1247" s="25"/>
      <c r="U1247" s="1" t="s">
        <v>3538</v>
      </c>
    </row>
    <row r="1248" spans="1:21">
      <c r="A1248" s="6" t="s">
        <v>3539</v>
      </c>
      <c r="B1248" s="6" t="s">
        <v>3540</v>
      </c>
      <c r="C1248" s="7">
        <v>1.1205119044951153</v>
      </c>
      <c r="D1248" s="7">
        <v>1.1070841709577002</v>
      </c>
      <c r="E1248" s="7">
        <v>1.0396739086476701</v>
      </c>
      <c r="F1248" s="8">
        <v>1.1120017826354218</v>
      </c>
      <c r="G1248" s="8">
        <f t="shared" si="152"/>
        <v>1.1137980377264078</v>
      </c>
      <c r="H1248" s="8">
        <f t="shared" si="153"/>
        <v>1.0758378456415461</v>
      </c>
      <c r="I1248" s="8">
        <f t="shared" si="154"/>
        <v>0.96591824478129829</v>
      </c>
      <c r="J1248" s="22">
        <f t="shared" si="155"/>
        <v>-5.0027010215541304E-2</v>
      </c>
      <c r="K1248" s="8"/>
      <c r="L1248" s="8">
        <v>0.99777457063184494</v>
      </c>
      <c r="M1248" s="8">
        <v>0.91885259775165296</v>
      </c>
      <c r="N1248" s="8">
        <v>0.97570395491496675</v>
      </c>
      <c r="O1248" s="8">
        <v>0.90823129346916531</v>
      </c>
      <c r="P1248" s="8">
        <f t="shared" si="156"/>
        <v>0.95831358419174895</v>
      </c>
      <c r="Q1248" s="8">
        <f t="shared" si="157"/>
        <v>0.94196762419206603</v>
      </c>
      <c r="R1248" s="8">
        <f t="shared" si="158"/>
        <v>0.98294299457993262</v>
      </c>
      <c r="S1248" s="22">
        <f t="shared" si="159"/>
        <v>-2.4820344467559281E-2</v>
      </c>
      <c r="T1248" s="25"/>
      <c r="U1248" s="1" t="s">
        <v>3541</v>
      </c>
    </row>
    <row r="1249" spans="1:21">
      <c r="A1249" s="6" t="s">
        <v>3542</v>
      </c>
      <c r="B1249" s="6" t="s">
        <v>3543</v>
      </c>
      <c r="C1249" s="7">
        <v>1.0011476721607111</v>
      </c>
      <c r="D1249" s="7">
        <v>1.0001528683511345</v>
      </c>
      <c r="E1249" s="7">
        <v>1.012997578874858</v>
      </c>
      <c r="F1249" s="8">
        <v>1.0855018424869136</v>
      </c>
      <c r="G1249" s="8">
        <f t="shared" si="152"/>
        <v>1.0006502702559228</v>
      </c>
      <c r="H1249" s="8">
        <f t="shared" si="153"/>
        <v>1.0492497106808858</v>
      </c>
      <c r="I1249" s="8">
        <f t="shared" si="154"/>
        <v>1.0485678581913873</v>
      </c>
      <c r="J1249" s="22">
        <f t="shared" si="155"/>
        <v>6.8420228633711763E-2</v>
      </c>
      <c r="K1249" s="8"/>
      <c r="L1249" s="8">
        <v>1.1029643723861968</v>
      </c>
      <c r="M1249" s="8">
        <v>0.80245140960862227</v>
      </c>
      <c r="N1249" s="8">
        <v>0.77782454740411944</v>
      </c>
      <c r="O1249" s="8">
        <v>0.85724657122641312</v>
      </c>
      <c r="P1249" s="8">
        <f t="shared" si="156"/>
        <v>0.9527078909974096</v>
      </c>
      <c r="Q1249" s="8">
        <f t="shared" si="157"/>
        <v>0.81753555931526622</v>
      </c>
      <c r="R1249" s="8">
        <f t="shared" si="158"/>
        <v>0.85811775785689293</v>
      </c>
      <c r="S1249" s="22">
        <f t="shared" si="159"/>
        <v>-0.22075245529904144</v>
      </c>
      <c r="T1249" s="25"/>
      <c r="U1249" s="1" t="s">
        <v>3544</v>
      </c>
    </row>
    <row r="1250" spans="1:21">
      <c r="A1250" s="6" t="s">
        <v>3545</v>
      </c>
      <c r="B1250" s="6" t="s">
        <v>3546</v>
      </c>
      <c r="C1250" s="7">
        <v>1.7562099662658735E-2</v>
      </c>
      <c r="D1250" s="7">
        <v>1.7645854561671261E-2</v>
      </c>
      <c r="E1250" s="7">
        <v>1.7043011438612862E-2</v>
      </c>
      <c r="F1250" s="8">
        <v>1.7538607731138394E-2</v>
      </c>
      <c r="G1250" s="8">
        <f t="shared" si="152"/>
        <v>1.7603977112164999E-2</v>
      </c>
      <c r="H1250" s="8">
        <f t="shared" si="153"/>
        <v>1.7290809584875628E-2</v>
      </c>
      <c r="I1250" s="8">
        <f t="shared" si="154"/>
        <v>0.98221041044907054</v>
      </c>
      <c r="J1250" s="22">
        <f t="shared" si="155"/>
        <v>-2.5895981146999193E-2</v>
      </c>
      <c r="K1250" s="8"/>
      <c r="L1250" s="8">
        <v>3.1518188655008439E-2</v>
      </c>
      <c r="M1250" s="8">
        <v>2.8759492650374779E-2</v>
      </c>
      <c r="N1250" s="8">
        <v>3.2365468056456036E-2</v>
      </c>
      <c r="O1250" s="8">
        <v>3.3906096072766248E-2</v>
      </c>
      <c r="P1250" s="8">
        <f t="shared" si="156"/>
        <v>3.0138840652691609E-2</v>
      </c>
      <c r="Q1250" s="8">
        <f t="shared" si="157"/>
        <v>3.3135782064611138E-2</v>
      </c>
      <c r="R1250" s="8">
        <f t="shared" si="158"/>
        <v>1.0994378465467576</v>
      </c>
      <c r="S1250" s="22">
        <f t="shared" si="159"/>
        <v>0.13676604801890213</v>
      </c>
      <c r="T1250" s="25"/>
      <c r="U1250" s="1" t="s">
        <v>3547</v>
      </c>
    </row>
    <row r="1251" spans="1:21">
      <c r="A1251" s="6" t="s">
        <v>3548</v>
      </c>
      <c r="B1251" s="6" t="s">
        <v>80</v>
      </c>
      <c r="C1251" s="7">
        <v>1.005811550280195</v>
      </c>
      <c r="D1251" s="7">
        <v>1.0739692132364906</v>
      </c>
      <c r="E1251" s="7">
        <v>0.98285669753434823</v>
      </c>
      <c r="F1251" s="8">
        <v>1.0847337282797105</v>
      </c>
      <c r="G1251" s="8">
        <f t="shared" si="152"/>
        <v>1.0398903817583429</v>
      </c>
      <c r="H1251" s="8">
        <f t="shared" si="153"/>
        <v>1.0337952129070294</v>
      </c>
      <c r="I1251" s="8">
        <f t="shared" si="154"/>
        <v>0.99413864292022081</v>
      </c>
      <c r="J1251" s="22">
        <f t="shared" si="155"/>
        <v>-8.481030317690914E-3</v>
      </c>
      <c r="K1251" s="8"/>
      <c r="L1251" s="8">
        <v>1.0162893535849238</v>
      </c>
      <c r="M1251" s="8">
        <v>0.89515020243276611</v>
      </c>
      <c r="N1251" s="8">
        <v>0.99566904393795819</v>
      </c>
      <c r="O1251" s="8">
        <v>1.0592264413132177</v>
      </c>
      <c r="P1251" s="8">
        <f t="shared" si="156"/>
        <v>0.95571977800884489</v>
      </c>
      <c r="Q1251" s="8">
        <f t="shared" si="157"/>
        <v>1.0274477426255879</v>
      </c>
      <c r="R1251" s="8">
        <f t="shared" si="158"/>
        <v>1.075051250656528</v>
      </c>
      <c r="S1251" s="22">
        <f t="shared" si="159"/>
        <v>0.10440543870361707</v>
      </c>
      <c r="T1251" s="25"/>
      <c r="U1251" s="1">
        <v>0</v>
      </c>
    </row>
    <row r="1252" spans="1:21">
      <c r="A1252" s="6" t="s">
        <v>3549</v>
      </c>
      <c r="B1252" s="6" t="s">
        <v>80</v>
      </c>
      <c r="C1252" s="7">
        <v>1.0491835919528487</v>
      </c>
      <c r="D1252" s="7">
        <v>1.0529101094347881</v>
      </c>
      <c r="E1252" s="7">
        <v>1.0633160659295169</v>
      </c>
      <c r="F1252" s="8">
        <v>1.0280995298356492</v>
      </c>
      <c r="G1252" s="8">
        <f t="shared" si="152"/>
        <v>1.0510468506938184</v>
      </c>
      <c r="H1252" s="8">
        <f t="shared" si="153"/>
        <v>1.0457077978825831</v>
      </c>
      <c r="I1252" s="8">
        <f t="shared" si="154"/>
        <v>0.99492025231062631</v>
      </c>
      <c r="J1252" s="22">
        <f t="shared" si="155"/>
        <v>-7.3472036098001098E-3</v>
      </c>
      <c r="K1252" s="8"/>
      <c r="L1252" s="8">
        <v>0.9007226618498928</v>
      </c>
      <c r="M1252" s="8">
        <v>1.1814258861543867</v>
      </c>
      <c r="N1252" s="8">
        <v>1.4984349907735275</v>
      </c>
      <c r="O1252" s="8">
        <v>1.4387737923144353</v>
      </c>
      <c r="P1252" s="8">
        <f t="shared" si="156"/>
        <v>1.0410742740021397</v>
      </c>
      <c r="Q1252" s="8">
        <f t="shared" si="157"/>
        <v>1.4686043915439813</v>
      </c>
      <c r="R1252" s="8">
        <f t="shared" si="158"/>
        <v>1.4106624553292562</v>
      </c>
      <c r="S1252" s="22">
        <f t="shared" si="159"/>
        <v>0.49637281977095271</v>
      </c>
      <c r="T1252" s="25"/>
      <c r="U1252" s="1">
        <v>0</v>
      </c>
    </row>
    <row r="1253" spans="1:21">
      <c r="A1253" s="6" t="s">
        <v>3550</v>
      </c>
      <c r="B1253" s="6" t="s">
        <v>3551</v>
      </c>
      <c r="C1253" s="7">
        <v>0.97202374439577155</v>
      </c>
      <c r="D1253" s="7">
        <v>0.89239079375973118</v>
      </c>
      <c r="E1253" s="7">
        <v>0.86082271032680591</v>
      </c>
      <c r="F1253" s="8">
        <v>0.87769850076412292</v>
      </c>
      <c r="G1253" s="8">
        <f t="shared" si="152"/>
        <v>0.93220726907775142</v>
      </c>
      <c r="H1253" s="8">
        <f t="shared" si="153"/>
        <v>0.86926060554546436</v>
      </c>
      <c r="I1253" s="8">
        <f t="shared" si="154"/>
        <v>0.93247567829570643</v>
      </c>
      <c r="J1253" s="22">
        <f t="shared" si="155"/>
        <v>-0.10086199875249048</v>
      </c>
      <c r="K1253" s="8"/>
      <c r="L1253" s="8">
        <v>1.066322325193011</v>
      </c>
      <c r="M1253" s="8">
        <v>0.83925828322997353</v>
      </c>
      <c r="N1253" s="8">
        <v>0.76001396439080338</v>
      </c>
      <c r="O1253" s="8">
        <v>0.79048923540314442</v>
      </c>
      <c r="P1253" s="8">
        <f t="shared" si="156"/>
        <v>0.95279030421149224</v>
      </c>
      <c r="Q1253" s="8">
        <f t="shared" si="157"/>
        <v>0.7752515998969739</v>
      </c>
      <c r="R1253" s="8">
        <f t="shared" si="158"/>
        <v>0.81366445110769114</v>
      </c>
      <c r="S1253" s="22">
        <f t="shared" si="159"/>
        <v>-0.29749413396788027</v>
      </c>
      <c r="T1253" s="25"/>
      <c r="U1253" s="1" t="s">
        <v>3552</v>
      </c>
    </row>
    <row r="1254" spans="1:21">
      <c r="A1254" s="6" t="s">
        <v>3553</v>
      </c>
      <c r="B1254" s="6" t="s">
        <v>3554</v>
      </c>
      <c r="C1254" s="7">
        <v>1.0426501129084775</v>
      </c>
      <c r="D1254" s="7">
        <v>0.96018565177823967</v>
      </c>
      <c r="E1254" s="7">
        <v>0.92265383768406295</v>
      </c>
      <c r="F1254" s="8">
        <v>0.98945911791218</v>
      </c>
      <c r="G1254" s="8">
        <f t="shared" si="152"/>
        <v>1.0014178823433586</v>
      </c>
      <c r="H1254" s="8">
        <f t="shared" si="153"/>
        <v>0.95605647779812153</v>
      </c>
      <c r="I1254" s="8">
        <f t="shared" si="154"/>
        <v>0.95470282152432751</v>
      </c>
      <c r="J1254" s="22">
        <f t="shared" si="155"/>
        <v>-6.6876371827603531E-2</v>
      </c>
      <c r="K1254" s="8"/>
      <c r="L1254" s="8">
        <v>1.2412654952822175</v>
      </c>
      <c r="M1254" s="8">
        <v>0.87373449460289987</v>
      </c>
      <c r="N1254" s="8">
        <v>0.74354396289461866</v>
      </c>
      <c r="O1254" s="8">
        <v>0.87949901650083595</v>
      </c>
      <c r="P1254" s="8">
        <f t="shared" si="156"/>
        <v>1.0574999949425588</v>
      </c>
      <c r="Q1254" s="8">
        <f t="shared" si="157"/>
        <v>0.81152148969772731</v>
      </c>
      <c r="R1254" s="8">
        <f t="shared" si="158"/>
        <v>0.7673962114220223</v>
      </c>
      <c r="S1254" s="22">
        <f t="shared" si="159"/>
        <v>-0.38195645240711035</v>
      </c>
      <c r="T1254" s="25"/>
      <c r="U1254" s="1" t="s">
        <v>3555</v>
      </c>
    </row>
    <row r="1255" spans="1:21">
      <c r="A1255" s="6" t="s">
        <v>3556</v>
      </c>
      <c r="B1255" s="6" t="s">
        <v>3557</v>
      </c>
      <c r="C1255" s="7">
        <v>1.1348747592538153</v>
      </c>
      <c r="D1255" s="7">
        <v>1.1480367217451699</v>
      </c>
      <c r="E1255" s="7">
        <v>1.2046740736823549</v>
      </c>
      <c r="F1255" s="8">
        <v>1.2904034194269367</v>
      </c>
      <c r="G1255" s="8">
        <f t="shared" si="152"/>
        <v>1.1414557404994925</v>
      </c>
      <c r="H1255" s="8">
        <f t="shared" si="153"/>
        <v>1.2475387465546457</v>
      </c>
      <c r="I1255" s="8">
        <f t="shared" si="154"/>
        <v>1.0929365916620928</v>
      </c>
      <c r="J1255" s="22">
        <f t="shared" si="155"/>
        <v>0.12820970334445589</v>
      </c>
      <c r="K1255" s="8"/>
      <c r="L1255" s="8">
        <v>1.0321345631819772</v>
      </c>
      <c r="M1255" s="8">
        <v>0.88837808948451269</v>
      </c>
      <c r="N1255" s="8">
        <v>0.59244127474938901</v>
      </c>
      <c r="O1255" s="8">
        <v>0.80480514263386793</v>
      </c>
      <c r="P1255" s="8">
        <f t="shared" si="156"/>
        <v>0.96025632633324487</v>
      </c>
      <c r="Q1255" s="8">
        <f t="shared" si="157"/>
        <v>0.69862320869162842</v>
      </c>
      <c r="R1255" s="8">
        <f t="shared" si="158"/>
        <v>0.72753825154095364</v>
      </c>
      <c r="S1255" s="22">
        <f t="shared" si="159"/>
        <v>-0.45890499276653046</v>
      </c>
      <c r="T1255" s="25"/>
      <c r="U1255" s="1" t="s">
        <v>3558</v>
      </c>
    </row>
    <row r="1256" spans="1:21">
      <c r="A1256" s="6" t="s">
        <v>3559</v>
      </c>
      <c r="B1256" s="6" t="s">
        <v>3560</v>
      </c>
      <c r="C1256" s="7">
        <v>0.95991520988585233</v>
      </c>
      <c r="D1256" s="7">
        <v>1.0040362443732833</v>
      </c>
      <c r="E1256" s="7">
        <v>0.98140058165806943</v>
      </c>
      <c r="F1256" s="8">
        <v>0.96453807918958923</v>
      </c>
      <c r="G1256" s="8">
        <f t="shared" si="152"/>
        <v>0.98197572712956782</v>
      </c>
      <c r="H1256" s="8">
        <f t="shared" si="153"/>
        <v>0.97296933042382938</v>
      </c>
      <c r="I1256" s="8">
        <f t="shared" si="154"/>
        <v>0.99082828988852378</v>
      </c>
      <c r="J1256" s="22">
        <f t="shared" si="155"/>
        <v>-1.329303423685314E-2</v>
      </c>
      <c r="K1256" s="8"/>
      <c r="L1256" s="8">
        <v>1.2053123702454251</v>
      </c>
      <c r="M1256" s="8">
        <v>0.98463883782040018</v>
      </c>
      <c r="N1256" s="8">
        <v>0.76743504064635182</v>
      </c>
      <c r="O1256" s="8">
        <v>0.74322162591503627</v>
      </c>
      <c r="P1256" s="8">
        <f t="shared" si="156"/>
        <v>1.0949756040329126</v>
      </c>
      <c r="Q1256" s="8">
        <f t="shared" si="157"/>
        <v>0.75532833328069404</v>
      </c>
      <c r="R1256" s="8">
        <f t="shared" si="158"/>
        <v>0.68981293327334303</v>
      </c>
      <c r="S1256" s="22">
        <f t="shared" si="159"/>
        <v>-0.53572291680706918</v>
      </c>
      <c r="T1256" s="25"/>
      <c r="U1256" s="1" t="s">
        <v>3561</v>
      </c>
    </row>
    <row r="1257" spans="1:21">
      <c r="A1257" s="6" t="s">
        <v>3562</v>
      </c>
      <c r="B1257" s="6" t="s">
        <v>3563</v>
      </c>
      <c r="C1257" s="7">
        <v>0.97771354071230554</v>
      </c>
      <c r="D1257" s="7">
        <v>0.95652767900779101</v>
      </c>
      <c r="E1257" s="7">
        <v>0.97808666276722811</v>
      </c>
      <c r="F1257" s="8">
        <v>0.98253897787876654</v>
      </c>
      <c r="G1257" s="8">
        <f t="shared" si="152"/>
        <v>0.96712060986004822</v>
      </c>
      <c r="H1257" s="8">
        <f t="shared" si="153"/>
        <v>0.98031282032299738</v>
      </c>
      <c r="I1257" s="8">
        <f t="shared" si="154"/>
        <v>1.0136407086442489</v>
      </c>
      <c r="J1257" s="22">
        <f t="shared" si="155"/>
        <v>1.9546370573836125E-2</v>
      </c>
      <c r="K1257" s="8"/>
      <c r="L1257" s="8">
        <v>1.266712557434007</v>
      </c>
      <c r="M1257" s="8">
        <v>1.3166042965630289</v>
      </c>
      <c r="N1257" s="8">
        <v>0.99356241583960891</v>
      </c>
      <c r="O1257" s="8">
        <v>0.82740920668237883</v>
      </c>
      <c r="P1257" s="8">
        <f t="shared" si="156"/>
        <v>1.2916584269985179</v>
      </c>
      <c r="Q1257" s="8">
        <f t="shared" si="157"/>
        <v>0.91048581126099393</v>
      </c>
      <c r="R1257" s="8">
        <f t="shared" si="158"/>
        <v>0.70489673758156701</v>
      </c>
      <c r="S1257" s="22">
        <f t="shared" si="159"/>
        <v>-0.50451616658221821</v>
      </c>
      <c r="T1257" s="25"/>
      <c r="U1257" s="1" t="s">
        <v>3564</v>
      </c>
    </row>
    <row r="1258" spans="1:21">
      <c r="A1258" s="6" t="s">
        <v>3565</v>
      </c>
      <c r="B1258" s="6" t="s">
        <v>3566</v>
      </c>
      <c r="C1258" s="7">
        <v>1.0385329411966322</v>
      </c>
      <c r="D1258" s="7">
        <v>1.0842604816998305</v>
      </c>
      <c r="E1258" s="7">
        <v>0.96584955101879644</v>
      </c>
      <c r="F1258" s="8">
        <v>1.0260867861260334</v>
      </c>
      <c r="G1258" s="8">
        <f t="shared" si="152"/>
        <v>1.0613967114482312</v>
      </c>
      <c r="H1258" s="8">
        <f t="shared" si="153"/>
        <v>0.99596816857241488</v>
      </c>
      <c r="I1258" s="8">
        <f t="shared" si="154"/>
        <v>0.93835618466676629</v>
      </c>
      <c r="J1258" s="22">
        <f t="shared" si="155"/>
        <v>-9.1792444734659487E-2</v>
      </c>
      <c r="K1258" s="8"/>
      <c r="L1258" s="8">
        <v>0.91002311096120669</v>
      </c>
      <c r="M1258" s="8">
        <v>1.0507768759643814</v>
      </c>
      <c r="N1258" s="8">
        <v>1.1224976310408459</v>
      </c>
      <c r="O1258" s="8">
        <v>1.084944843075079</v>
      </c>
      <c r="P1258" s="8">
        <f t="shared" si="156"/>
        <v>0.98039999346279405</v>
      </c>
      <c r="Q1258" s="8">
        <f t="shared" si="157"/>
        <v>1.1037212370579623</v>
      </c>
      <c r="R1258" s="8">
        <f t="shared" si="158"/>
        <v>1.1257866630125066</v>
      </c>
      <c r="S1258" s="22">
        <f t="shared" si="159"/>
        <v>0.17093346207685928</v>
      </c>
      <c r="T1258" s="25"/>
      <c r="U1258" s="1" t="s">
        <v>3567</v>
      </c>
    </row>
    <row r="1259" spans="1:21">
      <c r="A1259" s="6" t="s">
        <v>3568</v>
      </c>
      <c r="B1259" s="6" t="s">
        <v>3569</v>
      </c>
      <c r="C1259" s="7">
        <v>1.1511814590174523</v>
      </c>
      <c r="D1259" s="7">
        <v>1.0178888842134859</v>
      </c>
      <c r="E1259" s="7">
        <v>0.99424739709853893</v>
      </c>
      <c r="F1259" s="8">
        <v>1.0108596331850896</v>
      </c>
      <c r="G1259" s="8">
        <f t="shared" si="152"/>
        <v>1.0845351716154692</v>
      </c>
      <c r="H1259" s="8">
        <f t="shared" si="153"/>
        <v>1.0025535151418143</v>
      </c>
      <c r="I1259" s="8">
        <f t="shared" si="154"/>
        <v>0.92440848520243091</v>
      </c>
      <c r="J1259" s="22">
        <f t="shared" si="155"/>
        <v>-0.11339759243438788</v>
      </c>
      <c r="K1259" s="8"/>
      <c r="L1259" s="8">
        <v>0.90098100765854039</v>
      </c>
      <c r="M1259" s="8">
        <v>1.0497214817386795</v>
      </c>
      <c r="N1259" s="8">
        <v>0.88545409206523362</v>
      </c>
      <c r="O1259" s="8">
        <v>0.83891216372039878</v>
      </c>
      <c r="P1259" s="8">
        <f t="shared" si="156"/>
        <v>0.9753512446986099</v>
      </c>
      <c r="Q1259" s="8">
        <f t="shared" si="157"/>
        <v>0.86218312789281626</v>
      </c>
      <c r="R1259" s="8">
        <f t="shared" si="158"/>
        <v>0.88397193583244638</v>
      </c>
      <c r="S1259" s="22">
        <f t="shared" si="159"/>
        <v>-0.17792752694266067</v>
      </c>
      <c r="T1259" s="25"/>
      <c r="U1259" s="1" t="s">
        <v>3570</v>
      </c>
    </row>
    <row r="1260" spans="1:21">
      <c r="A1260" s="6" t="s">
        <v>3571</v>
      </c>
      <c r="B1260" s="6" t="s">
        <v>3572</v>
      </c>
      <c r="C1260" s="7">
        <v>1.0770723682042345</v>
      </c>
      <c r="D1260" s="7">
        <v>0.96709587146607667</v>
      </c>
      <c r="E1260" s="7">
        <v>0.9036382554770922</v>
      </c>
      <c r="F1260" s="8">
        <v>0.91804583314804344</v>
      </c>
      <c r="G1260" s="8">
        <f t="shared" si="152"/>
        <v>1.0220841198351556</v>
      </c>
      <c r="H1260" s="8">
        <f t="shared" si="153"/>
        <v>0.91084204431256777</v>
      </c>
      <c r="I1260" s="8">
        <f t="shared" si="154"/>
        <v>0.8911615263716951</v>
      </c>
      <c r="J1260" s="22">
        <f t="shared" si="155"/>
        <v>-0.16624114554750347</v>
      </c>
      <c r="K1260" s="8"/>
      <c r="L1260" s="8">
        <v>0.73572580539361909</v>
      </c>
      <c r="M1260" s="8">
        <v>1.1982242442468074</v>
      </c>
      <c r="N1260" s="8">
        <v>0.91389357139294791</v>
      </c>
      <c r="O1260" s="8">
        <v>0.94726097739292736</v>
      </c>
      <c r="P1260" s="8">
        <f t="shared" si="156"/>
        <v>0.96697502482021325</v>
      </c>
      <c r="Q1260" s="8">
        <f t="shared" si="157"/>
        <v>0.93057727439293769</v>
      </c>
      <c r="R1260" s="8">
        <f t="shared" si="158"/>
        <v>0.96235916182629133</v>
      </c>
      <c r="S1260" s="22">
        <f t="shared" si="159"/>
        <v>-5.5352672532098017E-2</v>
      </c>
      <c r="T1260" s="25"/>
      <c r="U1260" s="1" t="s">
        <v>3573</v>
      </c>
    </row>
    <row r="1261" spans="1:21">
      <c r="A1261" s="6" t="s">
        <v>3574</v>
      </c>
      <c r="B1261" s="6" t="s">
        <v>3575</v>
      </c>
      <c r="C1261" s="7">
        <v>7.6113680974559006E-2</v>
      </c>
      <c r="D1261" s="7">
        <v>7.4576275848231094E-2</v>
      </c>
      <c r="E1261" s="7">
        <v>0.10126102377057987</v>
      </c>
      <c r="F1261" s="8">
        <v>0.10402968989592916</v>
      </c>
      <c r="G1261" s="8">
        <f t="shared" si="152"/>
        <v>7.534497841139505E-2</v>
      </c>
      <c r="H1261" s="8">
        <f t="shared" si="153"/>
        <v>0.10264535683325451</v>
      </c>
      <c r="I1261" s="8">
        <f t="shared" si="154"/>
        <v>1.3623383933139543</v>
      </c>
      <c r="J1261" s="22">
        <f t="shared" si="155"/>
        <v>0.44608510108766664</v>
      </c>
      <c r="K1261" s="8"/>
      <c r="L1261" s="8">
        <v>0.30704399357768464</v>
      </c>
      <c r="M1261" s="8">
        <v>0.29819284352017034</v>
      </c>
      <c r="N1261" s="8">
        <v>0.37665552840257344</v>
      </c>
      <c r="O1261" s="8">
        <v>0.4016993337687581</v>
      </c>
      <c r="P1261" s="8">
        <f t="shared" si="156"/>
        <v>0.30261841854892746</v>
      </c>
      <c r="Q1261" s="8">
        <f t="shared" si="157"/>
        <v>0.38917743108566577</v>
      </c>
      <c r="R1261" s="8">
        <f t="shared" si="158"/>
        <v>1.286033523510544</v>
      </c>
      <c r="S1261" s="22">
        <f t="shared" si="159"/>
        <v>0.36292825042017274</v>
      </c>
      <c r="T1261" s="25"/>
      <c r="U1261" s="1" t="s">
        <v>3576</v>
      </c>
    </row>
    <row r="1262" spans="1:21">
      <c r="A1262" s="6" t="s">
        <v>3577</v>
      </c>
      <c r="B1262" s="6" t="s">
        <v>3578</v>
      </c>
      <c r="C1262" s="7">
        <v>1.0634452047842085</v>
      </c>
      <c r="D1262" s="7">
        <v>0.97534563047830325</v>
      </c>
      <c r="E1262" s="7">
        <v>1.0436836070458959</v>
      </c>
      <c r="F1262" s="8">
        <v>0.99253157474099252</v>
      </c>
      <c r="G1262" s="8">
        <f t="shared" si="152"/>
        <v>1.0193954176312559</v>
      </c>
      <c r="H1262" s="8">
        <f t="shared" si="153"/>
        <v>1.0181075908934443</v>
      </c>
      <c r="I1262" s="8">
        <f t="shared" si="154"/>
        <v>0.9987366759595564</v>
      </c>
      <c r="J1262" s="22">
        <f t="shared" si="155"/>
        <v>-1.823743560434895E-3</v>
      </c>
      <c r="K1262" s="8"/>
      <c r="L1262" s="8">
        <v>0.91445804734299074</v>
      </c>
      <c r="M1262" s="8">
        <v>0.95601126944823811</v>
      </c>
      <c r="N1262" s="8">
        <v>0.85337589147673432</v>
      </c>
      <c r="O1262" s="8">
        <v>0.97041758522929067</v>
      </c>
      <c r="P1262" s="8">
        <f t="shared" si="156"/>
        <v>0.93523465839561437</v>
      </c>
      <c r="Q1262" s="8">
        <f t="shared" si="157"/>
        <v>0.91189673835301255</v>
      </c>
      <c r="R1262" s="8">
        <f t="shared" si="158"/>
        <v>0.97504592047236804</v>
      </c>
      <c r="S1262" s="22">
        <f t="shared" si="159"/>
        <v>-3.6457929689002237E-2</v>
      </c>
      <c r="T1262" s="25"/>
      <c r="U1262" s="1" t="s">
        <v>3579</v>
      </c>
    </row>
    <row r="1263" spans="1:21">
      <c r="A1263" s="6" t="s">
        <v>3580</v>
      </c>
      <c r="B1263" s="6" t="s">
        <v>3581</v>
      </c>
      <c r="C1263" s="7">
        <v>1.218824565404526</v>
      </c>
      <c r="D1263" s="7">
        <v>1.1416867901401306</v>
      </c>
      <c r="E1263" s="7">
        <v>1.1086493286786889</v>
      </c>
      <c r="F1263" s="8">
        <v>1.157512549412208</v>
      </c>
      <c r="G1263" s="8">
        <f t="shared" si="152"/>
        <v>1.1802556777723283</v>
      </c>
      <c r="H1263" s="8">
        <f t="shared" si="153"/>
        <v>1.1330809390454486</v>
      </c>
      <c r="I1263" s="8">
        <f t="shared" si="154"/>
        <v>0.96003006838660621</v>
      </c>
      <c r="J1263" s="22">
        <f t="shared" si="155"/>
        <v>-5.884850276928881E-2</v>
      </c>
      <c r="K1263" s="8"/>
      <c r="L1263" s="8">
        <v>0.82834277779378729</v>
      </c>
      <c r="M1263" s="8">
        <v>1.2378894772294344</v>
      </c>
      <c r="N1263" s="8">
        <v>0.80262530547104882</v>
      </c>
      <c r="O1263" s="8">
        <v>0.84353343903698319</v>
      </c>
      <c r="P1263" s="8">
        <f t="shared" si="156"/>
        <v>1.0331161275116107</v>
      </c>
      <c r="Q1263" s="8">
        <f t="shared" si="157"/>
        <v>0.82307937225401595</v>
      </c>
      <c r="R1263" s="8">
        <f t="shared" si="158"/>
        <v>0.79669588958649351</v>
      </c>
      <c r="S1263" s="22">
        <f t="shared" si="159"/>
        <v>-0.32789896328296669</v>
      </c>
      <c r="T1263" s="25"/>
      <c r="U1263" s="1" t="s">
        <v>3582</v>
      </c>
    </row>
    <row r="1264" spans="1:21">
      <c r="A1264" s="6" t="s">
        <v>3583</v>
      </c>
      <c r="B1264" s="6" t="s">
        <v>3584</v>
      </c>
      <c r="C1264" s="7">
        <v>1.0387961702077173</v>
      </c>
      <c r="D1264" s="7">
        <v>1.0753473931183146</v>
      </c>
      <c r="E1264" s="7">
        <v>1.0281110574527861</v>
      </c>
      <c r="F1264" s="8">
        <v>1.0390024842767827</v>
      </c>
      <c r="G1264" s="8">
        <f t="shared" si="152"/>
        <v>1.057071781663016</v>
      </c>
      <c r="H1264" s="8">
        <f t="shared" si="153"/>
        <v>1.0335567708647844</v>
      </c>
      <c r="I1264" s="8">
        <f t="shared" si="154"/>
        <v>0.97775457522739173</v>
      </c>
      <c r="J1264" s="22">
        <f t="shared" si="155"/>
        <v>-3.2455713080330052E-2</v>
      </c>
      <c r="K1264" s="8"/>
      <c r="L1264" s="8">
        <v>0.97740830938345835</v>
      </c>
      <c r="M1264" s="8">
        <v>1.0019209182662676</v>
      </c>
      <c r="N1264" s="8">
        <v>0.8145947833025784</v>
      </c>
      <c r="O1264" s="8">
        <v>0.85458431479403296</v>
      </c>
      <c r="P1264" s="8">
        <f t="shared" si="156"/>
        <v>0.98966461382486304</v>
      </c>
      <c r="Q1264" s="8">
        <f t="shared" si="157"/>
        <v>0.83458954904830573</v>
      </c>
      <c r="R1264" s="8">
        <f t="shared" si="158"/>
        <v>0.84330543639706179</v>
      </c>
      <c r="S1264" s="22">
        <f t="shared" si="159"/>
        <v>-0.24587284003552165</v>
      </c>
      <c r="T1264" s="25"/>
      <c r="U1264" s="1" t="s">
        <v>3585</v>
      </c>
    </row>
    <row r="1265" spans="1:21">
      <c r="A1265" s="6" t="s">
        <v>3586</v>
      </c>
      <c r="B1265" s="6" t="s">
        <v>3587</v>
      </c>
      <c r="C1265" s="7">
        <v>1.1001622770996824</v>
      </c>
      <c r="D1265" s="7">
        <v>1.0990855755687965</v>
      </c>
      <c r="E1265" s="7">
        <v>1.1381948522963854</v>
      </c>
      <c r="F1265" s="8">
        <v>1.0056464136121277</v>
      </c>
      <c r="G1265" s="8">
        <f t="shared" si="152"/>
        <v>1.0996239263342393</v>
      </c>
      <c r="H1265" s="8">
        <f t="shared" si="153"/>
        <v>1.0719206329542565</v>
      </c>
      <c r="I1265" s="8">
        <f t="shared" si="154"/>
        <v>0.97480657457833253</v>
      </c>
      <c r="J1265" s="22">
        <f t="shared" si="155"/>
        <v>-3.6812113543414779E-2</v>
      </c>
      <c r="K1265" s="8"/>
      <c r="L1265" s="8">
        <v>0.67208662119675777</v>
      </c>
      <c r="M1265" s="8">
        <v>0.77663822583833175</v>
      </c>
      <c r="N1265" s="8">
        <v>0.70950276794174849</v>
      </c>
      <c r="O1265" s="8">
        <v>0.82886591303217172</v>
      </c>
      <c r="P1265" s="8">
        <f t="shared" si="156"/>
        <v>0.72436242351754476</v>
      </c>
      <c r="Q1265" s="8">
        <f t="shared" si="157"/>
        <v>0.76918434048696005</v>
      </c>
      <c r="R1265" s="8">
        <f t="shared" si="158"/>
        <v>1.0618777500243006</v>
      </c>
      <c r="S1265" s="22">
        <f t="shared" si="159"/>
        <v>8.6617683669680354E-2</v>
      </c>
      <c r="T1265" s="25"/>
      <c r="U1265" s="1" t="s">
        <v>3588</v>
      </c>
    </row>
    <row r="1266" spans="1:21">
      <c r="A1266" s="6" t="s">
        <v>3589</v>
      </c>
      <c r="B1266" s="6" t="s">
        <v>3590</v>
      </c>
      <c r="C1266" s="7">
        <v>1.0748585447263896</v>
      </c>
      <c r="D1266" s="7">
        <v>0.95321103116134553</v>
      </c>
      <c r="E1266" s="7">
        <v>0.95031286634874779</v>
      </c>
      <c r="F1266" s="8">
        <v>1.0130217324349948</v>
      </c>
      <c r="G1266" s="8">
        <f t="shared" si="152"/>
        <v>1.0140347879438676</v>
      </c>
      <c r="H1266" s="8">
        <f t="shared" si="153"/>
        <v>0.98166729939187136</v>
      </c>
      <c r="I1266" s="8">
        <f t="shared" si="154"/>
        <v>0.96808049493289383</v>
      </c>
      <c r="J1266" s="22">
        <f t="shared" si="155"/>
        <v>-4.6801083738384486E-2</v>
      </c>
      <c r="K1266" s="8"/>
      <c r="L1266" s="8">
        <v>0.87419915882873811</v>
      </c>
      <c r="M1266" s="8">
        <v>0.9361786529569246</v>
      </c>
      <c r="N1266" s="8">
        <v>0.90570644855618165</v>
      </c>
      <c r="O1266" s="8">
        <v>0.97157290405843677</v>
      </c>
      <c r="P1266" s="8">
        <f t="shared" si="156"/>
        <v>0.9051889058928313</v>
      </c>
      <c r="Q1266" s="8">
        <f t="shared" si="157"/>
        <v>0.93863967630730927</v>
      </c>
      <c r="R1266" s="8">
        <f t="shared" si="158"/>
        <v>1.0369544635343093</v>
      </c>
      <c r="S1266" s="22">
        <f t="shared" si="159"/>
        <v>5.2352541522720591E-2</v>
      </c>
      <c r="T1266" s="25"/>
      <c r="U1266" s="1" t="s">
        <v>3591</v>
      </c>
    </row>
    <row r="1267" spans="1:21">
      <c r="A1267" s="6" t="s">
        <v>3592</v>
      </c>
      <c r="B1267" s="6" t="s">
        <v>3593</v>
      </c>
      <c r="C1267" s="7">
        <v>1.0878985049678411</v>
      </c>
      <c r="D1267" s="7">
        <v>1.1335078721498668</v>
      </c>
      <c r="E1267" s="7">
        <v>0.9289301992197474</v>
      </c>
      <c r="F1267" s="8">
        <v>0.9654768854428375</v>
      </c>
      <c r="G1267" s="8">
        <f t="shared" si="152"/>
        <v>1.1107031885588539</v>
      </c>
      <c r="H1267" s="8">
        <f t="shared" si="153"/>
        <v>0.94720354233129245</v>
      </c>
      <c r="I1267" s="8">
        <f t="shared" si="154"/>
        <v>0.85279627544807579</v>
      </c>
      <c r="J1267" s="22">
        <f t="shared" si="155"/>
        <v>-0.22972695768652659</v>
      </c>
      <c r="K1267" s="8"/>
      <c r="L1267" s="8">
        <v>1.2123307647136852</v>
      </c>
      <c r="M1267" s="8">
        <v>0.89712906660595704</v>
      </c>
      <c r="N1267" s="8">
        <v>0.78826193207321327</v>
      </c>
      <c r="O1267" s="8">
        <v>0.91335488132016107</v>
      </c>
      <c r="P1267" s="8">
        <f t="shared" si="156"/>
        <v>1.0547299156598211</v>
      </c>
      <c r="Q1267" s="8">
        <f t="shared" si="157"/>
        <v>0.85080840669668722</v>
      </c>
      <c r="R1267" s="8">
        <f t="shared" si="158"/>
        <v>0.80665997433516989</v>
      </c>
      <c r="S1267" s="22">
        <f t="shared" si="159"/>
        <v>-0.30996742227109569</v>
      </c>
      <c r="T1267" s="25"/>
      <c r="U1267" s="1" t="s">
        <v>3594</v>
      </c>
    </row>
    <row r="1268" spans="1:21">
      <c r="A1268" s="6" t="s">
        <v>3595</v>
      </c>
      <c r="B1268" s="6" t="s">
        <v>3596</v>
      </c>
      <c r="C1268" s="7">
        <v>1.0891471554050403</v>
      </c>
      <c r="D1268" s="7">
        <v>1.0600328521885138</v>
      </c>
      <c r="E1268" s="7">
        <v>1.0999126334210163</v>
      </c>
      <c r="F1268" s="8">
        <v>1.0715975529028197</v>
      </c>
      <c r="G1268" s="8">
        <f t="shared" si="152"/>
        <v>1.074590003796777</v>
      </c>
      <c r="H1268" s="8">
        <f t="shared" si="153"/>
        <v>1.085755093161918</v>
      </c>
      <c r="I1268" s="8">
        <f t="shared" si="154"/>
        <v>1.0103900923381868</v>
      </c>
      <c r="J1268" s="22">
        <f t="shared" si="155"/>
        <v>1.491239755892124E-2</v>
      </c>
      <c r="K1268" s="8"/>
      <c r="L1268" s="8">
        <v>1.3730218576924986</v>
      </c>
      <c r="M1268" s="8">
        <v>1.4129090196583207</v>
      </c>
      <c r="N1268" s="8">
        <v>1.4717191162535534</v>
      </c>
      <c r="O1268" s="8">
        <v>1.6266386801842807</v>
      </c>
      <c r="P1268" s="8">
        <f t="shared" si="156"/>
        <v>1.3929654386754096</v>
      </c>
      <c r="Q1268" s="8">
        <f t="shared" si="157"/>
        <v>1.549178898218917</v>
      </c>
      <c r="R1268" s="8">
        <f t="shared" si="158"/>
        <v>1.112144533673465</v>
      </c>
      <c r="S1268" s="22">
        <f t="shared" si="159"/>
        <v>0.1533442920757378</v>
      </c>
      <c r="T1268" s="25"/>
      <c r="U1268" s="1" t="s">
        <v>3597</v>
      </c>
    </row>
    <row r="1269" spans="1:21">
      <c r="A1269" s="6" t="s">
        <v>3598</v>
      </c>
      <c r="B1269" s="6" t="s">
        <v>3599</v>
      </c>
      <c r="C1269" s="7">
        <v>1.0495953091240333</v>
      </c>
      <c r="D1269" s="7">
        <v>1.0203812001679993</v>
      </c>
      <c r="E1269" s="7">
        <v>1.0922231939167264</v>
      </c>
      <c r="F1269" s="8">
        <v>1.053056129401166</v>
      </c>
      <c r="G1269" s="8">
        <f t="shared" si="152"/>
        <v>1.0349882546460163</v>
      </c>
      <c r="H1269" s="8">
        <f t="shared" si="153"/>
        <v>1.0726396616589462</v>
      </c>
      <c r="I1269" s="8">
        <f t="shared" si="154"/>
        <v>1.0363785838572703</v>
      </c>
      <c r="J1269" s="22">
        <f t="shared" si="155"/>
        <v>5.155110850970468E-2</v>
      </c>
      <c r="K1269" s="8"/>
      <c r="L1269" s="8">
        <v>0.83277771417557134</v>
      </c>
      <c r="M1269" s="8">
        <v>0.96273940763708721</v>
      </c>
      <c r="N1269" s="8">
        <v>0.80683856166774726</v>
      </c>
      <c r="O1269" s="8">
        <v>0.88145803538504031</v>
      </c>
      <c r="P1269" s="8">
        <f t="shared" si="156"/>
        <v>0.89775856090632922</v>
      </c>
      <c r="Q1269" s="8">
        <f t="shared" si="157"/>
        <v>0.84414829852639373</v>
      </c>
      <c r="R1269" s="8">
        <f t="shared" si="158"/>
        <v>0.94028432062422951</v>
      </c>
      <c r="S1269" s="22">
        <f t="shared" si="159"/>
        <v>-8.8831033913485458E-2</v>
      </c>
      <c r="T1269" s="25"/>
      <c r="U1269" s="1" t="s">
        <v>3600</v>
      </c>
    </row>
    <row r="1270" spans="1:21">
      <c r="A1270" s="6" t="s">
        <v>3601</v>
      </c>
      <c r="B1270" s="6" t="s">
        <v>3602</v>
      </c>
      <c r="C1270" s="7">
        <v>0.16553055120165466</v>
      </c>
      <c r="D1270" s="7">
        <v>0.15286848530306232</v>
      </c>
      <c r="E1270" s="7">
        <v>0.31259149641553446</v>
      </c>
      <c r="F1270" s="8">
        <v>0.33993320969890134</v>
      </c>
      <c r="G1270" s="8">
        <f t="shared" si="152"/>
        <v>0.15919951825235851</v>
      </c>
      <c r="H1270" s="8">
        <f t="shared" si="153"/>
        <v>0.3262623530572179</v>
      </c>
      <c r="I1270" s="8">
        <f t="shared" si="154"/>
        <v>2.0493928413780509</v>
      </c>
      <c r="J1270" s="22">
        <f t="shared" si="155"/>
        <v>1.0351965563282943</v>
      </c>
      <c r="K1270" s="8"/>
      <c r="L1270" s="8">
        <v>1.1283253192684373</v>
      </c>
      <c r="M1270" s="8">
        <v>1.0673553602597809</v>
      </c>
      <c r="N1270" s="8">
        <v>1.2795850581018402</v>
      </c>
      <c r="O1270" s="8">
        <v>1.2479452604915626</v>
      </c>
      <c r="P1270" s="8">
        <f t="shared" si="156"/>
        <v>1.097840339764109</v>
      </c>
      <c r="Q1270" s="8">
        <f t="shared" si="157"/>
        <v>1.2637651592967014</v>
      </c>
      <c r="R1270" s="8">
        <f t="shared" si="158"/>
        <v>1.1511374773933378</v>
      </c>
      <c r="S1270" s="22">
        <f t="shared" si="159"/>
        <v>0.20306014112404003</v>
      </c>
      <c r="T1270" s="25"/>
      <c r="U1270" s="1" t="s">
        <v>3603</v>
      </c>
    </row>
    <row r="1271" spans="1:21">
      <c r="A1271" s="6" t="s">
        <v>3604</v>
      </c>
      <c r="B1271" s="6" t="s">
        <v>3605</v>
      </c>
      <c r="C1271" s="7">
        <v>1.1188245390394409</v>
      </c>
      <c r="D1271" s="7">
        <v>1.0137028238247683</v>
      </c>
      <c r="E1271" s="7">
        <v>1.0624911726991126</v>
      </c>
      <c r="F1271" s="8">
        <v>1.0374022463451094</v>
      </c>
      <c r="G1271" s="8">
        <f t="shared" si="152"/>
        <v>1.0662636814321047</v>
      </c>
      <c r="H1271" s="8">
        <f t="shared" si="153"/>
        <v>1.0499467095221111</v>
      </c>
      <c r="I1271" s="8">
        <f t="shared" si="154"/>
        <v>0.98469705740321367</v>
      </c>
      <c r="J1271" s="22">
        <f t="shared" si="155"/>
        <v>-2.2248147988484179E-2</v>
      </c>
      <c r="K1271" s="8"/>
      <c r="L1271" s="8">
        <v>0.89994762442394993</v>
      </c>
      <c r="M1271" s="8">
        <v>0.91788515304475959</v>
      </c>
      <c r="N1271" s="8">
        <v>0.80784399780559568</v>
      </c>
      <c r="O1271" s="8">
        <v>0.85794980877458904</v>
      </c>
      <c r="P1271" s="8">
        <f t="shared" si="156"/>
        <v>0.90891638873435476</v>
      </c>
      <c r="Q1271" s="8">
        <f t="shared" si="157"/>
        <v>0.83289690329009236</v>
      </c>
      <c r="R1271" s="8">
        <f t="shared" si="158"/>
        <v>0.91636250992226276</v>
      </c>
      <c r="S1271" s="22">
        <f t="shared" si="159"/>
        <v>-0.12600965834823705</v>
      </c>
      <c r="T1271" s="25"/>
      <c r="U1271" s="1" t="s">
        <v>3606</v>
      </c>
    </row>
    <row r="1272" spans="1:21">
      <c r="A1272" s="6" t="s">
        <v>3607</v>
      </c>
      <c r="B1272" s="6" t="s">
        <v>3608</v>
      </c>
      <c r="C1272" s="7">
        <v>0.85281474968328941</v>
      </c>
      <c r="D1272" s="7">
        <v>0.85035630736410039</v>
      </c>
      <c r="E1272" s="7">
        <v>0.87722015315031976</v>
      </c>
      <c r="F1272" s="8">
        <v>0.84801942125802376</v>
      </c>
      <c r="G1272" s="8">
        <f t="shared" si="152"/>
        <v>0.85158552852369485</v>
      </c>
      <c r="H1272" s="8">
        <f t="shared" si="153"/>
        <v>0.86261978720417176</v>
      </c>
      <c r="I1272" s="8">
        <f t="shared" si="154"/>
        <v>1.0129573111694439</v>
      </c>
      <c r="J1272" s="22">
        <f t="shared" si="155"/>
        <v>1.8573376249762685E-2</v>
      </c>
      <c r="K1272" s="8"/>
      <c r="L1272" s="8">
        <v>0.67634932703944339</v>
      </c>
      <c r="M1272" s="8">
        <v>1.2330522536949677</v>
      </c>
      <c r="N1272" s="8">
        <v>0.93333200339135203</v>
      </c>
      <c r="O1272" s="8">
        <v>0.68369759058729107</v>
      </c>
      <c r="P1272" s="8">
        <f t="shared" si="156"/>
        <v>0.95470079036720557</v>
      </c>
      <c r="Q1272" s="8">
        <f t="shared" si="157"/>
        <v>0.8085147969893216</v>
      </c>
      <c r="R1272" s="8">
        <f t="shared" si="158"/>
        <v>0.84687768685971587</v>
      </c>
      <c r="S1272" s="22">
        <f t="shared" si="159"/>
        <v>-0.23977447633728294</v>
      </c>
      <c r="T1272" s="25"/>
      <c r="U1272" s="1" t="s">
        <v>3609</v>
      </c>
    </row>
    <row r="1273" spans="1:21">
      <c r="A1273" s="6" t="s">
        <v>3610</v>
      </c>
      <c r="B1273" s="6" t="s">
        <v>3611</v>
      </c>
      <c r="C1273" s="7">
        <v>0.32597875765081818</v>
      </c>
      <c r="D1273" s="7">
        <v>0.2122010612434555</v>
      </c>
      <c r="E1273" s="7">
        <v>1.034430456896144</v>
      </c>
      <c r="F1273" s="8">
        <v>0.98305105401690196</v>
      </c>
      <c r="G1273" s="8">
        <f t="shared" si="152"/>
        <v>0.26908990944713684</v>
      </c>
      <c r="H1273" s="8">
        <f t="shared" si="153"/>
        <v>1.0087407554565231</v>
      </c>
      <c r="I1273" s="8">
        <f t="shared" si="154"/>
        <v>3.7487126794499588</v>
      </c>
      <c r="J1273" s="22">
        <f t="shared" si="155"/>
        <v>1.9063952543222966</v>
      </c>
      <c r="K1273" s="8"/>
      <c r="L1273" s="8">
        <v>2.1718701556656836</v>
      </c>
      <c r="M1273" s="8">
        <v>2.5177308749305163</v>
      </c>
      <c r="N1273" s="8">
        <v>2.2702269213505559</v>
      </c>
      <c r="O1273" s="8">
        <v>2.4052231085218763</v>
      </c>
      <c r="P1273" s="8">
        <f t="shared" si="156"/>
        <v>2.3448005152981</v>
      </c>
      <c r="Q1273" s="8">
        <f t="shared" si="157"/>
        <v>2.3377250149362161</v>
      </c>
      <c r="R1273" s="8">
        <f t="shared" si="158"/>
        <v>0.99698247236141346</v>
      </c>
      <c r="S1273" s="22">
        <f t="shared" si="159"/>
        <v>-4.3599536134876684E-3</v>
      </c>
      <c r="T1273" s="25"/>
      <c r="U1273" s="1" t="s">
        <v>3612</v>
      </c>
    </row>
    <row r="1274" spans="1:21">
      <c r="A1274" s="6" t="s">
        <v>3613</v>
      </c>
      <c r="B1274" s="19" t="s">
        <v>3614</v>
      </c>
      <c r="C1274" s="20">
        <v>1.009382015584402</v>
      </c>
      <c r="D1274" s="20">
        <v>0.99538075950799643</v>
      </c>
      <c r="E1274" s="20">
        <v>1.0553683989791871</v>
      </c>
      <c r="F1274" s="8">
        <v>0.9221851152646382</v>
      </c>
      <c r="G1274" s="8">
        <f t="shared" si="152"/>
        <v>1.0023813875461993</v>
      </c>
      <c r="H1274" s="8">
        <f t="shared" si="153"/>
        <v>0.9887767571219126</v>
      </c>
      <c r="I1274" s="8">
        <f t="shared" si="154"/>
        <v>0.98642769050451895</v>
      </c>
      <c r="J1274" s="22">
        <f t="shared" si="155"/>
        <v>-1.9714795964908733E-2</v>
      </c>
      <c r="K1274" s="8"/>
      <c r="L1274" s="8">
        <v>0.67436867583981164</v>
      </c>
      <c r="M1274" s="8">
        <v>0.73618144718642842</v>
      </c>
      <c r="N1274" s="8">
        <v>0.69968779611989429</v>
      </c>
      <c r="O1274" s="8">
        <v>0.76487129614816551</v>
      </c>
      <c r="P1274" s="8">
        <f t="shared" si="156"/>
        <v>0.70527506151312003</v>
      </c>
      <c r="Q1274" s="8">
        <f t="shared" si="157"/>
        <v>0.7322795461340299</v>
      </c>
      <c r="R1274" s="8">
        <f t="shared" si="158"/>
        <v>1.0382892946235383</v>
      </c>
      <c r="S1274" s="22">
        <f t="shared" si="159"/>
        <v>5.4208472375049652E-2</v>
      </c>
      <c r="T1274" s="25"/>
      <c r="U1274" s="1" t="s">
        <v>3615</v>
      </c>
    </row>
    <row r="1275" spans="1:21">
      <c r="A1275" s="6" t="s">
        <v>3616</v>
      </c>
      <c r="B1275" s="6" t="s">
        <v>80</v>
      </c>
      <c r="C1275" s="7">
        <v>1.0862718846685711</v>
      </c>
      <c r="D1275" s="7">
        <v>0.92832651217364559</v>
      </c>
      <c r="E1275" s="7">
        <v>0.94101667829132263</v>
      </c>
      <c r="F1275" s="8">
        <v>0.93106110165898559</v>
      </c>
      <c r="G1275" s="8">
        <f t="shared" si="152"/>
        <v>1.0072991984211084</v>
      </c>
      <c r="H1275" s="8">
        <f t="shared" si="153"/>
        <v>0.93603888997515416</v>
      </c>
      <c r="I1275" s="8">
        <f t="shared" si="154"/>
        <v>0.92925606556855078</v>
      </c>
      <c r="J1275" s="22">
        <f t="shared" si="155"/>
        <v>-0.10585189481124273</v>
      </c>
      <c r="K1275" s="8"/>
      <c r="L1275" s="8">
        <v>0.92733228014059654</v>
      </c>
      <c r="M1275" s="8">
        <v>0.83191449840946496</v>
      </c>
      <c r="N1275" s="8">
        <v>0.95320133659169115</v>
      </c>
      <c r="O1275" s="8">
        <v>1.3078209145933957</v>
      </c>
      <c r="P1275" s="8">
        <f t="shared" si="156"/>
        <v>0.8796233892750307</v>
      </c>
      <c r="Q1275" s="8">
        <f t="shared" si="157"/>
        <v>1.1305111255925433</v>
      </c>
      <c r="R1275" s="8">
        <f t="shared" si="158"/>
        <v>1.2852217657880716</v>
      </c>
      <c r="S1275" s="22">
        <f t="shared" si="159"/>
        <v>0.36201731879514371</v>
      </c>
      <c r="T1275" s="25"/>
      <c r="U1275" s="1">
        <v>0</v>
      </c>
    </row>
    <row r="1276" spans="1:21">
      <c r="A1276" s="6" t="s">
        <v>3617</v>
      </c>
      <c r="B1276" s="6" t="s">
        <v>80</v>
      </c>
      <c r="C1276" s="7">
        <v>1.1564325403155109</v>
      </c>
      <c r="D1276" s="7">
        <v>1.0381043358445392</v>
      </c>
      <c r="E1276" s="7">
        <v>1.0492928810126447</v>
      </c>
      <c r="F1276" s="8">
        <v>1.0388389043993227</v>
      </c>
      <c r="G1276" s="8">
        <f t="shared" si="152"/>
        <v>1.0972684380800251</v>
      </c>
      <c r="H1276" s="8">
        <f t="shared" si="153"/>
        <v>1.0440658927059836</v>
      </c>
      <c r="I1276" s="8">
        <f t="shared" si="154"/>
        <v>0.95151364649917936</v>
      </c>
      <c r="J1276" s="22">
        <f t="shared" si="155"/>
        <v>-7.1703747273497376E-2</v>
      </c>
      <c r="K1276" s="8"/>
      <c r="L1276" s="8">
        <v>1.1598865655582202</v>
      </c>
      <c r="M1276" s="8">
        <v>0.99598432574669482</v>
      </c>
      <c r="N1276" s="8">
        <v>1.4999670839359631</v>
      </c>
      <c r="O1276" s="8">
        <v>1.5058827469117917</v>
      </c>
      <c r="P1276" s="8">
        <f t="shared" si="156"/>
        <v>1.0779354456524575</v>
      </c>
      <c r="Q1276" s="8">
        <f t="shared" si="157"/>
        <v>1.5029249154238773</v>
      </c>
      <c r="R1276" s="8">
        <f t="shared" si="158"/>
        <v>1.3942624500247141</v>
      </c>
      <c r="S1276" s="22">
        <f t="shared" si="159"/>
        <v>0.47950215353814907</v>
      </c>
      <c r="T1276" s="25"/>
      <c r="U1276" s="1">
        <v>0</v>
      </c>
    </row>
    <row r="1277" spans="1:21">
      <c r="A1277" s="6" t="s">
        <v>3618</v>
      </c>
      <c r="B1277" s="9" t="s">
        <v>3619</v>
      </c>
      <c r="C1277" s="10">
        <v>0.9605159119880724</v>
      </c>
      <c r="D1277" s="10">
        <v>0.9978151146263583</v>
      </c>
      <c r="E1277" s="10">
        <v>0.95311750333212231</v>
      </c>
      <c r="F1277" s="8">
        <v>0.90119710576967083</v>
      </c>
      <c r="G1277" s="8">
        <f t="shared" si="152"/>
        <v>0.97916551330721535</v>
      </c>
      <c r="H1277" s="8">
        <f t="shared" si="153"/>
        <v>0.92715730455089651</v>
      </c>
      <c r="I1277" s="8">
        <f t="shared" si="154"/>
        <v>0.94688517104666337</v>
      </c>
      <c r="J1277" s="22">
        <f t="shared" si="155"/>
        <v>-7.8738614501120741E-2</v>
      </c>
      <c r="K1277" s="8"/>
      <c r="L1277" s="8">
        <v>1.2048387362629045</v>
      </c>
      <c r="M1277" s="8">
        <v>0.99044350606176024</v>
      </c>
      <c r="N1277" s="8">
        <v>1.0724652137050521</v>
      </c>
      <c r="O1277" s="8">
        <v>1.1165905327429941</v>
      </c>
      <c r="P1277" s="8">
        <f t="shared" si="156"/>
        <v>1.0976411211623325</v>
      </c>
      <c r="Q1277" s="8">
        <f t="shared" si="157"/>
        <v>1.0945278732240231</v>
      </c>
      <c r="R1277" s="8">
        <f t="shared" si="158"/>
        <v>0.99716369232321345</v>
      </c>
      <c r="S1277" s="22">
        <f t="shared" si="159"/>
        <v>-4.097740997834211E-3</v>
      </c>
      <c r="T1277" s="25"/>
      <c r="U1277" s="1" t="s">
        <v>3620</v>
      </c>
    </row>
    <row r="1278" spans="1:21">
      <c r="A1278" s="6" t="s">
        <v>3621</v>
      </c>
      <c r="B1278" s="6" t="s">
        <v>3622</v>
      </c>
      <c r="C1278" s="7">
        <v>1.0500542725279767</v>
      </c>
      <c r="D1278" s="7">
        <v>1.0362882296451263</v>
      </c>
      <c r="E1278" s="7">
        <v>1.1227083785186223</v>
      </c>
      <c r="F1278" s="8">
        <v>1.0527431939834166</v>
      </c>
      <c r="G1278" s="8">
        <f t="shared" si="152"/>
        <v>1.0431712510865516</v>
      </c>
      <c r="H1278" s="8">
        <f t="shared" si="153"/>
        <v>1.0877257862510195</v>
      </c>
      <c r="I1278" s="8">
        <f t="shared" si="154"/>
        <v>1.0427106624325206</v>
      </c>
      <c r="J1278" s="22">
        <f t="shared" si="155"/>
        <v>6.0338885773979167E-2</v>
      </c>
      <c r="K1278" s="8"/>
      <c r="L1278" s="8">
        <v>1.1700051097302517</v>
      </c>
      <c r="M1278" s="8">
        <v>0.79427210435943318</v>
      </c>
      <c r="N1278" s="8">
        <v>0.84226821604907487</v>
      </c>
      <c r="O1278" s="8">
        <v>1.3923098828813851</v>
      </c>
      <c r="P1278" s="8">
        <f t="shared" si="156"/>
        <v>0.98213860704484246</v>
      </c>
      <c r="Q1278" s="8">
        <f t="shared" si="157"/>
        <v>1.1172890494652301</v>
      </c>
      <c r="R1278" s="8">
        <f t="shared" si="158"/>
        <v>1.1376083186741248</v>
      </c>
      <c r="S1278" s="22">
        <f t="shared" si="159"/>
        <v>0.18600391970606575</v>
      </c>
      <c r="T1278" s="25"/>
      <c r="U1278" s="1" t="s">
        <v>3623</v>
      </c>
    </row>
    <row r="1279" spans="1:21">
      <c r="A1279" s="6" t="s">
        <v>3624</v>
      </c>
      <c r="B1279" s="6" t="s">
        <v>3625</v>
      </c>
      <c r="C1279" s="7">
        <v>0.89028776172290558</v>
      </c>
      <c r="D1279" s="7">
        <v>0.89092245257722713</v>
      </c>
      <c r="E1279" s="7">
        <v>1.0753738530626431</v>
      </c>
      <c r="F1279" s="8">
        <v>1.0826285263784869</v>
      </c>
      <c r="G1279" s="8">
        <f t="shared" si="152"/>
        <v>0.89060510715006636</v>
      </c>
      <c r="H1279" s="8">
        <f t="shared" si="153"/>
        <v>1.0790011897205649</v>
      </c>
      <c r="I1279" s="8">
        <f t="shared" si="154"/>
        <v>1.2115371684464795</v>
      </c>
      <c r="J1279" s="22">
        <f t="shared" si="155"/>
        <v>0.27683866554936332</v>
      </c>
      <c r="K1279" s="8"/>
      <c r="L1279" s="8">
        <v>0.75157101499067247</v>
      </c>
      <c r="M1279" s="8">
        <v>1.1370553539155057</v>
      </c>
      <c r="N1279" s="8">
        <v>0.82019649892773427</v>
      </c>
      <c r="O1279" s="8">
        <v>1.3446404233657478</v>
      </c>
      <c r="P1279" s="8">
        <f t="shared" si="156"/>
        <v>0.94431318445308909</v>
      </c>
      <c r="Q1279" s="8">
        <f t="shared" si="157"/>
        <v>1.0824184611467411</v>
      </c>
      <c r="R1279" s="8">
        <f t="shared" si="158"/>
        <v>1.1462494424173877</v>
      </c>
      <c r="S1279" s="22">
        <f t="shared" si="159"/>
        <v>0.19692103203462383</v>
      </c>
      <c r="T1279" s="25"/>
      <c r="U1279" s="1" t="s">
        <v>3626</v>
      </c>
    </row>
    <row r="1280" spans="1:21">
      <c r="A1280" s="6" t="s">
        <v>3627</v>
      </c>
      <c r="B1280" s="6" t="s">
        <v>3628</v>
      </c>
      <c r="C1280" s="7">
        <v>0.99751646170009978</v>
      </c>
      <c r="D1280" s="7">
        <v>0.91761019757852846</v>
      </c>
      <c r="E1280" s="7">
        <v>1.0227026270551793</v>
      </c>
      <c r="F1280" s="8">
        <v>1.0020476563080092</v>
      </c>
      <c r="G1280" s="8">
        <f t="shared" si="152"/>
        <v>0.95756332963931412</v>
      </c>
      <c r="H1280" s="8">
        <f t="shared" si="153"/>
        <v>1.0123751416815943</v>
      </c>
      <c r="I1280" s="8">
        <f t="shared" si="154"/>
        <v>1.0572409263655973</v>
      </c>
      <c r="J1280" s="22">
        <f t="shared" si="155"/>
        <v>8.0304178675034199E-2</v>
      </c>
      <c r="K1280" s="8"/>
      <c r="L1280" s="8">
        <v>0.92354320828043168</v>
      </c>
      <c r="M1280" s="8">
        <v>0.6633152708535982</v>
      </c>
      <c r="N1280" s="8">
        <v>0.78208568151214397</v>
      </c>
      <c r="O1280" s="8">
        <v>1.0016614248696767</v>
      </c>
      <c r="P1280" s="8">
        <f t="shared" si="156"/>
        <v>0.79342923956701494</v>
      </c>
      <c r="Q1280" s="8">
        <f t="shared" si="157"/>
        <v>0.89187355319091033</v>
      </c>
      <c r="R1280" s="8">
        <f t="shared" si="158"/>
        <v>1.124074471565502</v>
      </c>
      <c r="S1280" s="22">
        <f t="shared" si="159"/>
        <v>0.1687376193659017</v>
      </c>
      <c r="T1280" s="25"/>
      <c r="U1280" s="1" t="s">
        <v>3629</v>
      </c>
    </row>
    <row r="1281" spans="1:21">
      <c r="A1281" s="6" t="s">
        <v>3630</v>
      </c>
      <c r="B1281" s="6" t="s">
        <v>3631</v>
      </c>
      <c r="C1281" s="7">
        <v>0.91150806969346632</v>
      </c>
      <c r="D1281" s="7">
        <v>0.8980387552380471</v>
      </c>
      <c r="E1281" s="7">
        <v>0.87004716853810904</v>
      </c>
      <c r="F1281" s="8">
        <v>0.91483824511611189</v>
      </c>
      <c r="G1281" s="8">
        <f t="shared" si="152"/>
        <v>0.90477341246575671</v>
      </c>
      <c r="H1281" s="8">
        <f t="shared" si="153"/>
        <v>0.89244270682711047</v>
      </c>
      <c r="I1281" s="8">
        <f t="shared" si="154"/>
        <v>0.98637149868822771</v>
      </c>
      <c r="J1281" s="22">
        <f t="shared" si="155"/>
        <v>-1.9796981374521568E-2</v>
      </c>
      <c r="K1281" s="8"/>
      <c r="L1281" s="8">
        <v>1.2444087026207635</v>
      </c>
      <c r="M1281" s="8">
        <v>0.87650490444536722</v>
      </c>
      <c r="N1281" s="8">
        <v>0.87669243429255395</v>
      </c>
      <c r="O1281" s="8">
        <v>0.86844814074378629</v>
      </c>
      <c r="P1281" s="8">
        <f t="shared" si="156"/>
        <v>1.0604568035330653</v>
      </c>
      <c r="Q1281" s="8">
        <f t="shared" si="157"/>
        <v>0.87257028751817012</v>
      </c>
      <c r="R1281" s="8">
        <f t="shared" si="158"/>
        <v>0.82282492281729536</v>
      </c>
      <c r="S1281" s="22">
        <f t="shared" si="159"/>
        <v>-0.28134260209358514</v>
      </c>
      <c r="T1281" s="25"/>
      <c r="U1281" s="1" t="s">
        <v>3632</v>
      </c>
    </row>
    <row r="1282" spans="1:21">
      <c r="A1282" s="6" t="s">
        <v>3633</v>
      </c>
      <c r="B1282" s="6" t="s">
        <v>3634</v>
      </c>
      <c r="C1282" s="7">
        <v>0.99522164468038266</v>
      </c>
      <c r="D1282" s="7">
        <v>0.95006182573044873</v>
      </c>
      <c r="E1282" s="7">
        <v>0.84256746448872943</v>
      </c>
      <c r="F1282" s="8">
        <v>0.8902941513285374</v>
      </c>
      <c r="G1282" s="8">
        <f t="shared" si="152"/>
        <v>0.97264173520541575</v>
      </c>
      <c r="H1282" s="8">
        <f t="shared" si="153"/>
        <v>0.86643080790863336</v>
      </c>
      <c r="I1282" s="8">
        <f t="shared" si="154"/>
        <v>0.89080159379100532</v>
      </c>
      <c r="J1282" s="22">
        <f t="shared" si="155"/>
        <v>-0.16682395553992349</v>
      </c>
      <c r="K1282" s="8"/>
      <c r="L1282" s="8">
        <v>0.85766502707529102</v>
      </c>
      <c r="M1282" s="8">
        <v>0.82048106096436191</v>
      </c>
      <c r="N1282" s="8">
        <v>0.7924751882699117</v>
      </c>
      <c r="O1282" s="8">
        <v>1.0289872267416542</v>
      </c>
      <c r="P1282" s="8">
        <f t="shared" si="156"/>
        <v>0.83907304401982641</v>
      </c>
      <c r="Q1282" s="8">
        <f t="shared" si="157"/>
        <v>0.91073120750578296</v>
      </c>
      <c r="R1282" s="8">
        <f t="shared" si="158"/>
        <v>1.0854015797512182</v>
      </c>
      <c r="S1282" s="22">
        <f t="shared" si="159"/>
        <v>0.11822891356961056</v>
      </c>
      <c r="T1282" s="25"/>
      <c r="U1282" s="1" t="s">
        <v>3635</v>
      </c>
    </row>
    <row r="1283" spans="1:21">
      <c r="A1283" s="6" t="s">
        <v>3636</v>
      </c>
      <c r="B1283" s="6" t="s">
        <v>3637</v>
      </c>
      <c r="C1283" s="7">
        <v>1.0449651783136629</v>
      </c>
      <c r="D1283" s="7">
        <v>0.93481812582261081</v>
      </c>
      <c r="E1283" s="7">
        <v>0.92517155528294903</v>
      </c>
      <c r="F1283" s="8">
        <v>0.8580333546260055</v>
      </c>
      <c r="G1283" s="8">
        <f t="shared" si="152"/>
        <v>0.9898916520681369</v>
      </c>
      <c r="H1283" s="8">
        <f t="shared" si="153"/>
        <v>0.89160245495447721</v>
      </c>
      <c r="I1283" s="8">
        <f t="shared" si="154"/>
        <v>0.90070711586635932</v>
      </c>
      <c r="J1283" s="22">
        <f t="shared" si="155"/>
        <v>-0.15087003566216139</v>
      </c>
      <c r="K1283" s="8"/>
      <c r="L1283" s="8">
        <v>1.1624700236446963</v>
      </c>
      <c r="M1283" s="8">
        <v>0.78292661643313854</v>
      </c>
      <c r="N1283" s="8">
        <v>0.80564161388459421</v>
      </c>
      <c r="O1283" s="8">
        <v>0.88412029181742047</v>
      </c>
      <c r="P1283" s="8">
        <f t="shared" si="156"/>
        <v>0.97269832003891743</v>
      </c>
      <c r="Q1283" s="8">
        <f t="shared" si="157"/>
        <v>0.84488095285100728</v>
      </c>
      <c r="R1283" s="8">
        <f t="shared" si="158"/>
        <v>0.86859505711617124</v>
      </c>
      <c r="S1283" s="22">
        <f t="shared" si="159"/>
        <v>-0.2032443519669333</v>
      </c>
      <c r="T1283" s="25"/>
      <c r="U1283" s="1" t="s">
        <v>3638</v>
      </c>
    </row>
    <row r="1284" spans="1:21">
      <c r="A1284" s="6" t="s">
        <v>3639</v>
      </c>
      <c r="B1284" s="6" t="s">
        <v>3640</v>
      </c>
      <c r="C1284" s="7">
        <v>1.0600232276401007</v>
      </c>
      <c r="D1284" s="7">
        <v>0.94966898006319989</v>
      </c>
      <c r="E1284" s="7">
        <v>0.90426947812296676</v>
      </c>
      <c r="F1284" s="8">
        <v>1.0099563877747675</v>
      </c>
      <c r="G1284" s="8">
        <f t="shared" si="152"/>
        <v>1.0048461038516503</v>
      </c>
      <c r="H1284" s="8">
        <f t="shared" si="153"/>
        <v>0.95711293294886712</v>
      </c>
      <c r="I1284" s="8">
        <f t="shared" si="154"/>
        <v>0.95249703340658998</v>
      </c>
      <c r="J1284" s="22">
        <f t="shared" si="155"/>
        <v>-7.021349561081569E-2</v>
      </c>
      <c r="K1284" s="8"/>
      <c r="L1284" s="8">
        <v>0.7933369207220361</v>
      </c>
      <c r="M1284" s="8">
        <v>1.0294491176533236</v>
      </c>
      <c r="N1284" s="8">
        <v>0.86323874120991473</v>
      </c>
      <c r="O1284" s="8">
        <v>1.197914932064192</v>
      </c>
      <c r="P1284" s="8">
        <f t="shared" si="156"/>
        <v>0.91139301918767979</v>
      </c>
      <c r="Q1284" s="8">
        <f t="shared" si="157"/>
        <v>1.0305768366370534</v>
      </c>
      <c r="R1284" s="8">
        <f t="shared" si="158"/>
        <v>1.1307710449171551</v>
      </c>
      <c r="S1284" s="22">
        <f t="shared" si="159"/>
        <v>0.17730684639168448</v>
      </c>
      <c r="T1284" s="25"/>
      <c r="U1284" s="1" t="s">
        <v>3641</v>
      </c>
    </row>
    <row r="1285" spans="1:21">
      <c r="A1285" s="6" t="s">
        <v>3642</v>
      </c>
      <c r="B1285" s="6" t="s">
        <v>3643</v>
      </c>
      <c r="C1285" s="7">
        <v>1.0600637244110369</v>
      </c>
      <c r="D1285" s="7">
        <v>0.95828582437105247</v>
      </c>
      <c r="E1285" s="7">
        <v>1.0770738504157371</v>
      </c>
      <c r="F1285" s="8">
        <v>1.0281279785099899</v>
      </c>
      <c r="G1285" s="8">
        <f t="shared" si="152"/>
        <v>1.0091747743910446</v>
      </c>
      <c r="H1285" s="8">
        <f t="shared" si="153"/>
        <v>1.0526009144628636</v>
      </c>
      <c r="I1285" s="8">
        <f t="shared" si="154"/>
        <v>1.043031337260707</v>
      </c>
      <c r="J1285" s="22">
        <f t="shared" si="155"/>
        <v>6.0782503429543097E-2</v>
      </c>
      <c r="K1285" s="8"/>
      <c r="L1285" s="8">
        <v>1.2230951734073356</v>
      </c>
      <c r="M1285" s="8">
        <v>0.87452604027217629</v>
      </c>
      <c r="N1285" s="8">
        <v>0.94994563862151504</v>
      </c>
      <c r="O1285" s="8">
        <v>1.1906314003152274</v>
      </c>
      <c r="P1285" s="8">
        <f t="shared" si="156"/>
        <v>1.048810606839756</v>
      </c>
      <c r="Q1285" s="8">
        <f t="shared" si="157"/>
        <v>1.0702885194683711</v>
      </c>
      <c r="R1285" s="8">
        <f t="shared" si="158"/>
        <v>1.0204783518478437</v>
      </c>
      <c r="S1285" s="22">
        <f t="shared" si="159"/>
        <v>2.9245577752280212E-2</v>
      </c>
      <c r="T1285" s="25"/>
      <c r="U1285" s="1" t="s">
        <v>3644</v>
      </c>
    </row>
    <row r="1286" spans="1:21">
      <c r="A1286" s="6" t="s">
        <v>3645</v>
      </c>
      <c r="B1286" s="6" t="s">
        <v>3646</v>
      </c>
      <c r="C1286" s="7">
        <v>1.1128107685554174</v>
      </c>
      <c r="D1286" s="7">
        <v>0.95609619278310787</v>
      </c>
      <c r="E1286" s="7">
        <v>0.96559132357275679</v>
      </c>
      <c r="F1286" s="8">
        <v>0.94561971075291917</v>
      </c>
      <c r="G1286" s="8">
        <f t="shared" ref="G1286:G1349" si="160">AVERAGE(C1286:D1286)</f>
        <v>1.0344534806692627</v>
      </c>
      <c r="H1286" s="8">
        <f t="shared" ref="H1286:H1349" si="161">AVERAGE(E1286:F1286)</f>
        <v>0.95560551716283793</v>
      </c>
      <c r="I1286" s="8">
        <f t="shared" ref="I1286:I1349" si="162">H1286/G1286</f>
        <v>0.92377814471133846</v>
      </c>
      <c r="J1286" s="22">
        <f t="shared" ref="J1286:J1349" si="163">LOG(I1286,2)</f>
        <v>-0.11438168042757223</v>
      </c>
      <c r="K1286" s="8"/>
      <c r="L1286" s="8">
        <v>0.84659921493821844</v>
      </c>
      <c r="M1286" s="8">
        <v>0.76309399994182503</v>
      </c>
      <c r="N1286" s="8">
        <v>0.83235748840456836</v>
      </c>
      <c r="O1286" s="8">
        <v>0.85252483340294638</v>
      </c>
      <c r="P1286" s="8">
        <f t="shared" ref="P1286:P1349" si="164">AVERAGE(L1286:M1286)</f>
        <v>0.80484660744002179</v>
      </c>
      <c r="Q1286" s="8">
        <f t="shared" ref="Q1286:Q1349" si="165">AVERAGE(N1286:O1286)</f>
        <v>0.84244116090375742</v>
      </c>
      <c r="R1286" s="8">
        <f t="shared" ref="R1286:R1349" si="166">Q1286/P1286</f>
        <v>1.0467102092699536</v>
      </c>
      <c r="S1286" s="22">
        <f t="shared" ref="S1286:S1349" si="167">LOG(R1286,2)</f>
        <v>6.5862075011541052E-2</v>
      </c>
      <c r="T1286" s="25"/>
      <c r="U1286" s="1" t="s">
        <v>3647</v>
      </c>
    </row>
    <row r="1287" spans="1:21">
      <c r="A1287" s="6" t="s">
        <v>3648</v>
      </c>
      <c r="B1287" s="6" t="s">
        <v>3649</v>
      </c>
      <c r="C1287" s="7">
        <v>1.1285572629877705</v>
      </c>
      <c r="D1287" s="7">
        <v>0.98825157666136498</v>
      </c>
      <c r="E1287" s="7">
        <v>1.0512582787963904</v>
      </c>
      <c r="F1287" s="8">
        <v>1.0256956168538467</v>
      </c>
      <c r="G1287" s="8">
        <f t="shared" si="160"/>
        <v>1.0584044198245677</v>
      </c>
      <c r="H1287" s="8">
        <f t="shared" si="161"/>
        <v>1.0384769478251186</v>
      </c>
      <c r="I1287" s="8">
        <f t="shared" si="162"/>
        <v>0.98117215723385576</v>
      </c>
      <c r="J1287" s="22">
        <f t="shared" si="163"/>
        <v>-2.7421799832622891E-2</v>
      </c>
      <c r="K1287" s="8"/>
      <c r="L1287" s="8">
        <v>1.1395633619446084</v>
      </c>
      <c r="M1287" s="8">
        <v>0.81058674009840725</v>
      </c>
      <c r="N1287" s="8">
        <v>0.83585257593137496</v>
      </c>
      <c r="O1287" s="8">
        <v>0.85488570231467975</v>
      </c>
      <c r="P1287" s="8">
        <f t="shared" si="164"/>
        <v>0.97507505102150782</v>
      </c>
      <c r="Q1287" s="8">
        <f t="shared" si="165"/>
        <v>0.84536913912302736</v>
      </c>
      <c r="R1287" s="8">
        <f t="shared" si="166"/>
        <v>0.86697853487011278</v>
      </c>
      <c r="S1287" s="22">
        <f t="shared" si="167"/>
        <v>-0.20593182003286339</v>
      </c>
      <c r="T1287" s="25"/>
      <c r="U1287" s="1" t="s">
        <v>3650</v>
      </c>
    </row>
    <row r="1288" spans="1:21">
      <c r="A1288" s="6" t="s">
        <v>3651</v>
      </c>
      <c r="B1288" s="13" t="s">
        <v>3652</v>
      </c>
      <c r="C1288" s="14">
        <v>1.0793671852239517</v>
      </c>
      <c r="D1288" s="14">
        <v>1.0175346791036712</v>
      </c>
      <c r="E1288" s="14">
        <v>1.1104999587086395</v>
      </c>
      <c r="F1288" s="8">
        <v>0.93626009689477729</v>
      </c>
      <c r="G1288" s="8">
        <f t="shared" si="160"/>
        <v>1.0484509321638114</v>
      </c>
      <c r="H1288" s="8">
        <f t="shared" si="161"/>
        <v>1.0233800278017084</v>
      </c>
      <c r="I1288" s="8">
        <f t="shared" si="162"/>
        <v>0.97608767030197485</v>
      </c>
      <c r="J1288" s="22">
        <f t="shared" si="163"/>
        <v>-3.4917361208257836E-2</v>
      </c>
      <c r="K1288" s="8"/>
      <c r="L1288" s="8">
        <v>1.2489297542720965</v>
      </c>
      <c r="M1288" s="8">
        <v>0.7939642810436035</v>
      </c>
      <c r="N1288" s="8">
        <v>0.88971522617325816</v>
      </c>
      <c r="O1288" s="8">
        <v>0.98392979240495604</v>
      </c>
      <c r="P1288" s="8">
        <f t="shared" si="164"/>
        <v>1.0214470176578501</v>
      </c>
      <c r="Q1288" s="8">
        <f t="shared" si="165"/>
        <v>0.93682250928910715</v>
      </c>
      <c r="R1288" s="8">
        <f t="shared" si="166"/>
        <v>0.91715232713412331</v>
      </c>
      <c r="S1288" s="22">
        <f t="shared" si="167"/>
        <v>-0.12476672818785825</v>
      </c>
      <c r="T1288" s="25"/>
      <c r="U1288" s="1" t="s">
        <v>3653</v>
      </c>
    </row>
    <row r="1289" spans="1:21">
      <c r="A1289" s="6" t="s">
        <v>3654</v>
      </c>
      <c r="B1289" s="6" t="s">
        <v>3655</v>
      </c>
      <c r="C1289" s="7">
        <v>0.1780710512682265</v>
      </c>
      <c r="D1289" s="7">
        <v>0.19669331752648309</v>
      </c>
      <c r="E1289" s="7">
        <v>0.7154334852219052</v>
      </c>
      <c r="F1289" s="8">
        <v>0.72754639759307915</v>
      </c>
      <c r="G1289" s="8">
        <f t="shared" si="160"/>
        <v>0.1873821843973548</v>
      </c>
      <c r="H1289" s="8">
        <f t="shared" si="161"/>
        <v>0.72148994140749223</v>
      </c>
      <c r="I1289" s="8">
        <f t="shared" si="162"/>
        <v>3.8503657310213173</v>
      </c>
      <c r="J1289" s="22">
        <f t="shared" si="163"/>
        <v>1.9449954882155442</v>
      </c>
      <c r="K1289" s="8"/>
      <c r="L1289" s="8">
        <v>1.0477644846051575</v>
      </c>
      <c r="M1289" s="8">
        <v>1.1994995122695304</v>
      </c>
      <c r="N1289" s="8">
        <v>1.3142007879906239</v>
      </c>
      <c r="O1289" s="8">
        <v>1.3842226510773623</v>
      </c>
      <c r="P1289" s="8">
        <f t="shared" si="164"/>
        <v>1.123631998437344</v>
      </c>
      <c r="Q1289" s="8">
        <f t="shared" si="165"/>
        <v>1.3492117195339932</v>
      </c>
      <c r="R1289" s="8">
        <f t="shared" si="166"/>
        <v>1.2007594313888952</v>
      </c>
      <c r="S1289" s="22">
        <f t="shared" si="167"/>
        <v>0.26394714029679262</v>
      </c>
      <c r="T1289" s="25"/>
      <c r="U1289" s="1" t="s">
        <v>3656</v>
      </c>
    </row>
    <row r="1290" spans="1:21">
      <c r="A1290" s="6" t="s">
        <v>3657</v>
      </c>
      <c r="B1290" s="6" t="s">
        <v>3658</v>
      </c>
      <c r="C1290" s="7">
        <v>0.99258935456953068</v>
      </c>
      <c r="D1290" s="7">
        <v>1.0229057165870412</v>
      </c>
      <c r="E1290" s="7">
        <v>1.0292372160369032</v>
      </c>
      <c r="F1290" s="8">
        <v>1.0155678887885016</v>
      </c>
      <c r="G1290" s="8">
        <f t="shared" si="160"/>
        <v>1.0077475355782859</v>
      </c>
      <c r="H1290" s="8">
        <f t="shared" si="161"/>
        <v>1.0224025524127023</v>
      </c>
      <c r="I1290" s="8">
        <f t="shared" si="162"/>
        <v>1.014542349464548</v>
      </c>
      <c r="J1290" s="22">
        <f t="shared" si="163"/>
        <v>2.0829087950455356E-2</v>
      </c>
      <c r="K1290" s="8"/>
      <c r="L1290" s="8">
        <v>0.83036648662819357</v>
      </c>
      <c r="M1290" s="8">
        <v>0.81124636148947082</v>
      </c>
      <c r="N1290" s="8">
        <v>0.86644656126876463</v>
      </c>
      <c r="O1290" s="8">
        <v>0.89170521108703182</v>
      </c>
      <c r="P1290" s="8">
        <f t="shared" si="164"/>
        <v>0.8208064240588322</v>
      </c>
      <c r="Q1290" s="8">
        <f t="shared" si="165"/>
        <v>0.87907588617789822</v>
      </c>
      <c r="R1290" s="8">
        <f t="shared" si="166"/>
        <v>1.0709905044735486</v>
      </c>
      <c r="S1290" s="22">
        <f t="shared" si="167"/>
        <v>9.8945689042743062E-2</v>
      </c>
      <c r="T1290" s="25"/>
      <c r="U1290" s="1" t="s">
        <v>3659</v>
      </c>
    </row>
    <row r="1291" spans="1:21">
      <c r="A1291" s="6" t="s">
        <v>3660</v>
      </c>
      <c r="B1291" s="6" t="s">
        <v>3661</v>
      </c>
      <c r="C1291" s="7">
        <v>1.0899570908237639</v>
      </c>
      <c r="D1291" s="7">
        <v>0.9806522670326161</v>
      </c>
      <c r="E1291" s="7">
        <v>1.0247110627465983</v>
      </c>
      <c r="F1291" s="8">
        <v>1.050830020633994</v>
      </c>
      <c r="G1291" s="8">
        <f t="shared" si="160"/>
        <v>1.0353046789281901</v>
      </c>
      <c r="H1291" s="8">
        <f t="shared" si="161"/>
        <v>1.0377705416902963</v>
      </c>
      <c r="I1291" s="8">
        <f t="shared" si="162"/>
        <v>1.0023817749618005</v>
      </c>
      <c r="J1291" s="22">
        <f t="shared" si="163"/>
        <v>3.4320893142539763E-3</v>
      </c>
      <c r="K1291" s="8"/>
      <c r="L1291" s="8">
        <v>0.78597406517557922</v>
      </c>
      <c r="M1291" s="8">
        <v>0.74027109981102301</v>
      </c>
      <c r="N1291" s="8">
        <v>0.75493890579023482</v>
      </c>
      <c r="O1291" s="8">
        <v>0.77140135909551311</v>
      </c>
      <c r="P1291" s="8">
        <f t="shared" si="164"/>
        <v>0.76312258249330112</v>
      </c>
      <c r="Q1291" s="8">
        <f t="shared" si="165"/>
        <v>0.76317013244287391</v>
      </c>
      <c r="R1291" s="8">
        <f t="shared" si="166"/>
        <v>1.000062309713621</v>
      </c>
      <c r="S1291" s="22">
        <f t="shared" si="167"/>
        <v>8.9891114324484135E-5</v>
      </c>
      <c r="T1291" s="25"/>
      <c r="U1291" s="1" t="s">
        <v>3662</v>
      </c>
    </row>
    <row r="1292" spans="1:21">
      <c r="A1292" s="6" t="s">
        <v>3663</v>
      </c>
      <c r="B1292" s="6" t="s">
        <v>3664</v>
      </c>
      <c r="C1292" s="7">
        <v>1.0558453107718511</v>
      </c>
      <c r="D1292" s="7">
        <v>0.99319112792005182</v>
      </c>
      <c r="E1292" s="7">
        <v>0.86118135955741648</v>
      </c>
      <c r="F1292" s="8">
        <v>0.92244115333370591</v>
      </c>
      <c r="G1292" s="8">
        <f t="shared" si="160"/>
        <v>1.0245182193459514</v>
      </c>
      <c r="H1292" s="8">
        <f t="shared" si="161"/>
        <v>0.89181125644556114</v>
      </c>
      <c r="I1292" s="8">
        <f t="shared" si="162"/>
        <v>0.87046890880563366</v>
      </c>
      <c r="J1292" s="22">
        <f t="shared" si="163"/>
        <v>-0.20013532591733865</v>
      </c>
      <c r="K1292" s="8"/>
      <c r="L1292" s="8">
        <v>1.0674848813319251</v>
      </c>
      <c r="M1292" s="8">
        <v>0.86010231918758462</v>
      </c>
      <c r="N1292" s="8">
        <v>0.91470749588549194</v>
      </c>
      <c r="O1292" s="8">
        <v>0.87417450363607563</v>
      </c>
      <c r="P1292" s="8">
        <f t="shared" si="164"/>
        <v>0.96379360025975491</v>
      </c>
      <c r="Q1292" s="8">
        <f t="shared" si="165"/>
        <v>0.89444099976078384</v>
      </c>
      <c r="R1292" s="8">
        <f t="shared" si="166"/>
        <v>0.92804206161954217</v>
      </c>
      <c r="S1292" s="22">
        <f t="shared" si="167"/>
        <v>-0.10773790083326677</v>
      </c>
      <c r="T1292" s="25"/>
      <c r="U1292" s="1" t="s">
        <v>3665</v>
      </c>
    </row>
    <row r="1293" spans="1:21">
      <c r="A1293" s="6" t="s">
        <v>3666</v>
      </c>
      <c r="B1293" s="6" t="s">
        <v>3667</v>
      </c>
      <c r="C1293" s="7">
        <v>1.13999085131542</v>
      </c>
      <c r="D1293" s="7">
        <v>1.0286116389015088</v>
      </c>
      <c r="E1293" s="7">
        <v>0.92730910469738781</v>
      </c>
      <c r="F1293" s="8">
        <v>1.0142592497688221</v>
      </c>
      <c r="G1293" s="8">
        <f t="shared" si="160"/>
        <v>1.0843012451084644</v>
      </c>
      <c r="H1293" s="8">
        <f t="shared" si="161"/>
        <v>0.97078417723310495</v>
      </c>
      <c r="I1293" s="8">
        <f t="shared" si="162"/>
        <v>0.89530855157875966</v>
      </c>
      <c r="J1293" s="22">
        <f t="shared" si="163"/>
        <v>-0.15954312857966219</v>
      </c>
      <c r="K1293" s="8"/>
      <c r="L1293" s="8">
        <v>0.81038774409277836</v>
      </c>
      <c r="M1293" s="8">
        <v>0.9070673622313159</v>
      </c>
      <c r="N1293" s="8">
        <v>0.78749588549199534</v>
      </c>
      <c r="O1293" s="8">
        <v>0.90501649324893263</v>
      </c>
      <c r="P1293" s="8">
        <f t="shared" si="164"/>
        <v>0.85872755316204707</v>
      </c>
      <c r="Q1293" s="8">
        <f t="shared" si="165"/>
        <v>0.84625618937046398</v>
      </c>
      <c r="R1293" s="8">
        <f t="shared" si="166"/>
        <v>0.98547692601028059</v>
      </c>
      <c r="S1293" s="22">
        <f t="shared" si="167"/>
        <v>-2.1106002533112081E-2</v>
      </c>
      <c r="T1293" s="25"/>
      <c r="U1293" s="1" t="s">
        <v>3668</v>
      </c>
    </row>
    <row r="1294" spans="1:21">
      <c r="A1294" s="6" t="s">
        <v>3669</v>
      </c>
      <c r="B1294" s="6" t="s">
        <v>3670</v>
      </c>
      <c r="C1294" s="7">
        <v>1.1750273076370423</v>
      </c>
      <c r="D1294" s="7">
        <v>0.99851708475308176</v>
      </c>
      <c r="E1294" s="7">
        <v>1.0170718341345937</v>
      </c>
      <c r="F1294" s="8">
        <v>1.1141425453795715</v>
      </c>
      <c r="G1294" s="8">
        <f t="shared" si="160"/>
        <v>1.086772196195062</v>
      </c>
      <c r="H1294" s="8">
        <f t="shared" si="161"/>
        <v>1.0656071897570825</v>
      </c>
      <c r="I1294" s="8">
        <f t="shared" si="162"/>
        <v>0.98052489149788602</v>
      </c>
      <c r="J1294" s="22">
        <f t="shared" si="163"/>
        <v>-2.8373839906202989E-2</v>
      </c>
      <c r="K1294" s="8"/>
      <c r="L1294" s="8">
        <v>1.105117254124927</v>
      </c>
      <c r="M1294" s="8">
        <v>0.85592471704418149</v>
      </c>
      <c r="N1294" s="8">
        <v>0.78428806543314544</v>
      </c>
      <c r="O1294" s="8">
        <v>0.93168928882617541</v>
      </c>
      <c r="P1294" s="8">
        <f t="shared" si="164"/>
        <v>0.98052098558455425</v>
      </c>
      <c r="Q1294" s="8">
        <f t="shared" si="165"/>
        <v>0.85798867712966043</v>
      </c>
      <c r="R1294" s="8">
        <f t="shared" si="166"/>
        <v>0.8750334666403452</v>
      </c>
      <c r="S1294" s="22">
        <f t="shared" si="167"/>
        <v>-0.1925898993906853</v>
      </c>
      <c r="T1294" s="25"/>
      <c r="U1294" s="1" t="s">
        <v>3671</v>
      </c>
    </row>
    <row r="1295" spans="1:21">
      <c r="A1295" s="6" t="s">
        <v>3672</v>
      </c>
      <c r="B1295" s="6" t="s">
        <v>3673</v>
      </c>
      <c r="C1295" s="7">
        <v>1.1313717885678354</v>
      </c>
      <c r="D1295" s="7">
        <v>0.99541295997252499</v>
      </c>
      <c r="E1295" s="7">
        <v>1.0698793468496897</v>
      </c>
      <c r="F1295" s="8">
        <v>0.94548457954980014</v>
      </c>
      <c r="G1295" s="8">
        <f t="shared" si="160"/>
        <v>1.0633923742701801</v>
      </c>
      <c r="H1295" s="8">
        <f t="shared" si="161"/>
        <v>1.0076819631997449</v>
      </c>
      <c r="I1295" s="8">
        <f t="shared" si="162"/>
        <v>0.94761067276914601</v>
      </c>
      <c r="J1295" s="22">
        <f t="shared" si="163"/>
        <v>-7.7633647402074568E-2</v>
      </c>
      <c r="K1295" s="8"/>
      <c r="L1295" s="8">
        <v>1.1187665243484757</v>
      </c>
      <c r="M1295" s="8">
        <v>1.16933282731822</v>
      </c>
      <c r="N1295" s="8">
        <v>0.94156700413944439</v>
      </c>
      <c r="O1295" s="8">
        <v>0.85890420258997058</v>
      </c>
      <c r="P1295" s="8">
        <f t="shared" si="164"/>
        <v>1.1440496758333478</v>
      </c>
      <c r="Q1295" s="8">
        <f t="shared" si="165"/>
        <v>0.90023560336470743</v>
      </c>
      <c r="R1295" s="8">
        <f t="shared" si="166"/>
        <v>0.78688506485433729</v>
      </c>
      <c r="S1295" s="22">
        <f t="shared" si="167"/>
        <v>-0.34577516877840858</v>
      </c>
      <c r="T1295" s="25"/>
      <c r="U1295" s="1" t="s">
        <v>3674</v>
      </c>
    </row>
    <row r="1296" spans="1:21">
      <c r="A1296" s="6" t="s">
        <v>3675</v>
      </c>
      <c r="B1296" s="6" t="s">
        <v>3676</v>
      </c>
      <c r="C1296" s="7">
        <v>0.98842493662492636</v>
      </c>
      <c r="D1296" s="7">
        <v>1.0060906340102078</v>
      </c>
      <c r="E1296" s="7">
        <v>0.90801377609054079</v>
      </c>
      <c r="F1296" s="8">
        <v>0.99415314917842146</v>
      </c>
      <c r="G1296" s="8">
        <f t="shared" si="160"/>
        <v>0.99725778531756704</v>
      </c>
      <c r="H1296" s="8">
        <f t="shared" si="161"/>
        <v>0.95108346263448107</v>
      </c>
      <c r="I1296" s="8">
        <f t="shared" si="162"/>
        <v>0.95369870923756972</v>
      </c>
      <c r="J1296" s="22">
        <f t="shared" si="163"/>
        <v>-6.8394530272698692E-2</v>
      </c>
      <c r="K1296" s="8"/>
      <c r="L1296" s="8">
        <v>1.0495298476309163</v>
      </c>
      <c r="M1296" s="8">
        <v>0.99400546157350389</v>
      </c>
      <c r="N1296" s="8">
        <v>1.1207261483217794</v>
      </c>
      <c r="O1296" s="8">
        <v>0.89692926144490992</v>
      </c>
      <c r="P1296" s="8">
        <f t="shared" si="164"/>
        <v>1.0217676546022101</v>
      </c>
      <c r="Q1296" s="8">
        <f t="shared" si="165"/>
        <v>1.0088277048833447</v>
      </c>
      <c r="R1296" s="8">
        <f t="shared" si="166"/>
        <v>0.98733572191233332</v>
      </c>
      <c r="S1296" s="22">
        <f t="shared" si="167"/>
        <v>-1.8387369898335663E-2</v>
      </c>
      <c r="T1296" s="25"/>
      <c r="U1296" s="1" t="s">
        <v>3677</v>
      </c>
    </row>
    <row r="1297" spans="1:21">
      <c r="A1297" s="6" t="s">
        <v>3678</v>
      </c>
      <c r="B1297" s="6" t="s">
        <v>3679</v>
      </c>
      <c r="C1297" s="7">
        <v>1.0777473143865042</v>
      </c>
      <c r="D1297" s="7">
        <v>0.9955675222022623</v>
      </c>
      <c r="E1297" s="7">
        <v>0.95017657964111579</v>
      </c>
      <c r="F1297" s="8">
        <v>1.0328789071249131</v>
      </c>
      <c r="G1297" s="8">
        <f t="shared" si="160"/>
        <v>1.0366574182943833</v>
      </c>
      <c r="H1297" s="8">
        <f t="shared" si="161"/>
        <v>0.99152774338301453</v>
      </c>
      <c r="I1297" s="8">
        <f t="shared" si="162"/>
        <v>0.95646616315578892</v>
      </c>
      <c r="J1297" s="22">
        <f t="shared" si="163"/>
        <v>-6.4214163546311501E-2</v>
      </c>
      <c r="K1297" s="8"/>
      <c r="L1297" s="8">
        <v>0.93168110125283132</v>
      </c>
      <c r="M1297" s="8">
        <v>0.80187973773636712</v>
      </c>
      <c r="N1297" s="8">
        <v>0.81330207969677315</v>
      </c>
      <c r="O1297" s="8">
        <v>0.82329024390020566</v>
      </c>
      <c r="P1297" s="8">
        <f t="shared" si="164"/>
        <v>0.86678041949459916</v>
      </c>
      <c r="Q1297" s="8">
        <f t="shared" si="165"/>
        <v>0.81829616179848941</v>
      </c>
      <c r="R1297" s="8">
        <f t="shared" si="166"/>
        <v>0.94406396752203992</v>
      </c>
      <c r="S1297" s="22">
        <f t="shared" si="167"/>
        <v>-8.3043478414411703E-2</v>
      </c>
      <c r="T1297" s="25"/>
      <c r="U1297" s="1" t="s">
        <v>3680</v>
      </c>
    </row>
    <row r="1298" spans="1:21">
      <c r="A1298" s="6" t="s">
        <v>3681</v>
      </c>
      <c r="B1298" s="6" t="s">
        <v>3682</v>
      </c>
      <c r="C1298" s="7">
        <v>1.0783750143360151</v>
      </c>
      <c r="D1298" s="7">
        <v>0.99591528721917111</v>
      </c>
      <c r="E1298" s="7">
        <v>1.0064271249700729</v>
      </c>
      <c r="F1298" s="8">
        <v>1.0191950947669608</v>
      </c>
      <c r="G1298" s="8">
        <f t="shared" si="160"/>
        <v>1.0371451507775931</v>
      </c>
      <c r="H1298" s="8">
        <f t="shared" si="161"/>
        <v>1.0128111098685169</v>
      </c>
      <c r="I1298" s="8">
        <f t="shared" si="162"/>
        <v>0.97653747800794144</v>
      </c>
      <c r="J1298" s="22">
        <f t="shared" si="163"/>
        <v>-3.4252681293844039E-2</v>
      </c>
      <c r="K1298" s="8"/>
      <c r="L1298" s="8">
        <v>0.94304831683332624</v>
      </c>
      <c r="M1298" s="8">
        <v>0.802583333886835</v>
      </c>
      <c r="N1298" s="8">
        <v>0.8687925789237444</v>
      </c>
      <c r="O1298" s="8">
        <v>0.9965880682721221</v>
      </c>
      <c r="P1298" s="8">
        <f t="shared" si="164"/>
        <v>0.87281582536008062</v>
      </c>
      <c r="Q1298" s="8">
        <f t="shared" si="165"/>
        <v>0.93269032359793325</v>
      </c>
      <c r="R1298" s="8">
        <f t="shared" si="166"/>
        <v>1.068599235369216</v>
      </c>
      <c r="S1298" s="22">
        <f t="shared" si="167"/>
        <v>9.5720889960547367E-2</v>
      </c>
      <c r="T1298" s="25"/>
      <c r="U1298" s="1" t="s">
        <v>3683</v>
      </c>
    </row>
    <row r="1299" spans="1:21">
      <c r="A1299" s="6" t="s">
        <v>3684</v>
      </c>
      <c r="B1299" s="6" t="s">
        <v>80</v>
      </c>
      <c r="C1299" s="7">
        <v>1.032917388960148</v>
      </c>
      <c r="D1299" s="7">
        <v>0.98403975590102444</v>
      </c>
      <c r="E1299" s="7">
        <v>0.9489858641954888</v>
      </c>
      <c r="F1299" s="8">
        <v>0.89284030768204414</v>
      </c>
      <c r="G1299" s="8">
        <f t="shared" si="160"/>
        <v>1.0084785724305863</v>
      </c>
      <c r="H1299" s="8">
        <f t="shared" si="161"/>
        <v>0.92091308593876642</v>
      </c>
      <c r="I1299" s="8">
        <f t="shared" si="162"/>
        <v>0.91317070200036699</v>
      </c>
      <c r="J1299" s="22">
        <f t="shared" si="163"/>
        <v>-0.13104352174265391</v>
      </c>
      <c r="K1299" s="8"/>
      <c r="L1299" s="8">
        <v>0.96642861251593493</v>
      </c>
      <c r="M1299" s="8">
        <v>0.92650420588799121</v>
      </c>
      <c r="N1299" s="8">
        <v>0.94190214951872719</v>
      </c>
      <c r="O1299" s="8">
        <v>1.0514405970298417</v>
      </c>
      <c r="P1299" s="8">
        <f t="shared" si="164"/>
        <v>0.94646640920196301</v>
      </c>
      <c r="Q1299" s="8">
        <f t="shared" si="165"/>
        <v>0.99667137327428446</v>
      </c>
      <c r="R1299" s="8">
        <f t="shared" si="166"/>
        <v>1.0530446337917614</v>
      </c>
      <c r="S1299" s="22">
        <f t="shared" si="167"/>
        <v>7.4566586966999471E-2</v>
      </c>
      <c r="T1299" s="25"/>
      <c r="U1299" s="1">
        <v>0</v>
      </c>
    </row>
    <row r="1300" spans="1:21">
      <c r="A1300" s="6" t="s">
        <v>3685</v>
      </c>
      <c r="B1300" s="6" t="s">
        <v>80</v>
      </c>
      <c r="C1300" s="7">
        <v>1.1189055325813133</v>
      </c>
      <c r="D1300" s="7">
        <v>0.97548087242932335</v>
      </c>
      <c r="E1300" s="7">
        <v>1.0009397917417318</v>
      </c>
      <c r="F1300" s="8">
        <v>0.96132337898907239</v>
      </c>
      <c r="G1300" s="8">
        <f t="shared" si="160"/>
        <v>1.0471932025053183</v>
      </c>
      <c r="H1300" s="8">
        <f t="shared" si="161"/>
        <v>0.98113158536540213</v>
      </c>
      <c r="I1300" s="8">
        <f t="shared" si="162"/>
        <v>0.93691554053075443</v>
      </c>
      <c r="J1300" s="22">
        <f t="shared" si="163"/>
        <v>-9.4009094761066198E-2</v>
      </c>
      <c r="K1300" s="8"/>
      <c r="L1300" s="8">
        <v>0.93460902041750427</v>
      </c>
      <c r="M1300" s="8">
        <v>1.0975220452110914</v>
      </c>
      <c r="N1300" s="8">
        <v>1.6290459328711784</v>
      </c>
      <c r="O1300" s="8">
        <v>1.4091373527841653</v>
      </c>
      <c r="P1300" s="8">
        <f t="shared" si="164"/>
        <v>1.0160655328142978</v>
      </c>
      <c r="Q1300" s="8">
        <f t="shared" si="165"/>
        <v>1.519091642827672</v>
      </c>
      <c r="R1300" s="8">
        <f t="shared" si="166"/>
        <v>1.4950725064160899</v>
      </c>
      <c r="S1300" s="22">
        <f t="shared" si="167"/>
        <v>0.58021545239019157</v>
      </c>
      <c r="T1300" s="25"/>
      <c r="U1300" s="1">
        <v>0</v>
      </c>
    </row>
    <row r="1301" spans="1:21">
      <c r="A1301" s="6" t="s">
        <v>3686</v>
      </c>
      <c r="B1301" s="6" t="s">
        <v>3687</v>
      </c>
      <c r="C1301" s="7">
        <v>0.83859363362286587</v>
      </c>
      <c r="D1301" s="7">
        <v>0.8486496827440847</v>
      </c>
      <c r="E1301" s="7">
        <v>0.85431681328353071</v>
      </c>
      <c r="F1301" s="8">
        <v>0.67296761587014486</v>
      </c>
      <c r="G1301" s="8">
        <f t="shared" si="160"/>
        <v>0.84362165818347523</v>
      </c>
      <c r="H1301" s="8">
        <f t="shared" si="161"/>
        <v>0.76364221457683779</v>
      </c>
      <c r="I1301" s="8">
        <f t="shared" si="162"/>
        <v>0.90519512766083687</v>
      </c>
      <c r="J1301" s="22">
        <f t="shared" si="163"/>
        <v>-0.14369927576915245</v>
      </c>
      <c r="K1301" s="8"/>
      <c r="L1301" s="8">
        <v>1.1092507870632888</v>
      </c>
      <c r="M1301" s="8">
        <v>0.97654748209001951</v>
      </c>
      <c r="N1301" s="8">
        <v>1.0712203880105731</v>
      </c>
      <c r="O1301" s="8">
        <v>0.98613996755636601</v>
      </c>
      <c r="P1301" s="8">
        <f t="shared" si="164"/>
        <v>1.0428991345766541</v>
      </c>
      <c r="Q1301" s="8">
        <f t="shared" si="165"/>
        <v>1.0286801777834695</v>
      </c>
      <c r="R1301" s="8">
        <f t="shared" si="166"/>
        <v>0.98636593288673458</v>
      </c>
      <c r="S1301" s="22">
        <f t="shared" si="167"/>
        <v>-1.9805122097239371E-2</v>
      </c>
      <c r="T1301" s="25"/>
      <c r="U1301" s="1" t="s">
        <v>3688</v>
      </c>
    </row>
    <row r="1302" spans="1:21">
      <c r="A1302" s="6" t="s">
        <v>3689</v>
      </c>
      <c r="B1302" s="6" t="s">
        <v>3690</v>
      </c>
      <c r="C1302" s="7">
        <v>0.63862057873998623</v>
      </c>
      <c r="D1302" s="7">
        <v>0.63237204269130887</v>
      </c>
      <c r="E1302" s="7">
        <v>0.97386894781524813</v>
      </c>
      <c r="F1302" s="8">
        <v>0.93522883244992117</v>
      </c>
      <c r="G1302" s="8">
        <f t="shared" si="160"/>
        <v>0.63549631071564749</v>
      </c>
      <c r="H1302" s="8">
        <f t="shared" si="161"/>
        <v>0.9545488901325847</v>
      </c>
      <c r="I1302" s="8">
        <f t="shared" si="162"/>
        <v>1.5020526068163078</v>
      </c>
      <c r="J1302" s="22">
        <f t="shared" si="163"/>
        <v>0.5869353416564006</v>
      </c>
      <c r="K1302" s="8"/>
      <c r="L1302" s="8">
        <v>1.0153420856198825</v>
      </c>
      <c r="M1302" s="8">
        <v>0.97505234027027521</v>
      </c>
      <c r="N1302" s="8">
        <v>1.0637514338436984</v>
      </c>
      <c r="O1302" s="8">
        <v>1.142208471997973</v>
      </c>
      <c r="P1302" s="8">
        <f t="shared" si="164"/>
        <v>0.99519721294507879</v>
      </c>
      <c r="Q1302" s="8">
        <f t="shared" si="165"/>
        <v>1.1029799529208357</v>
      </c>
      <c r="R1302" s="8">
        <f t="shared" si="166"/>
        <v>1.1083028957213379</v>
      </c>
      <c r="S1302" s="22">
        <f t="shared" si="167"/>
        <v>0.14835221932587755</v>
      </c>
      <c r="T1302" s="25"/>
      <c r="U1302" s="1" t="s">
        <v>3691</v>
      </c>
    </row>
    <row r="1303" spans="1:21">
      <c r="A1303" s="6" t="s">
        <v>3692</v>
      </c>
      <c r="B1303" s="13" t="s">
        <v>3693</v>
      </c>
      <c r="C1303" s="14">
        <v>1.067758110888912</v>
      </c>
      <c r="D1303" s="14">
        <v>1.0381365363090678</v>
      </c>
      <c r="E1303" s="14">
        <v>1.1519095988749324</v>
      </c>
      <c r="F1303" s="8">
        <v>1.0575296834412657</v>
      </c>
      <c r="G1303" s="8">
        <f t="shared" si="160"/>
        <v>1.0529473235989899</v>
      </c>
      <c r="H1303" s="8">
        <f t="shared" si="161"/>
        <v>1.1047196411580991</v>
      </c>
      <c r="I1303" s="8">
        <f t="shared" si="162"/>
        <v>1.0491689530888881</v>
      </c>
      <c r="J1303" s="22">
        <f t="shared" si="163"/>
        <v>6.9247021248304202E-2</v>
      </c>
      <c r="K1303" s="8"/>
      <c r="L1303" s="8">
        <v>0.72065563322250847</v>
      </c>
      <c r="M1303" s="8">
        <v>0.70561898940047973</v>
      </c>
      <c r="N1303" s="8">
        <v>1.0025634631689193</v>
      </c>
      <c r="O1303" s="8">
        <v>0.96760463503658711</v>
      </c>
      <c r="P1303" s="8">
        <f t="shared" si="164"/>
        <v>0.71313731131149405</v>
      </c>
      <c r="Q1303" s="8">
        <f t="shared" si="165"/>
        <v>0.98508404910275327</v>
      </c>
      <c r="R1303" s="8">
        <f t="shared" si="166"/>
        <v>1.3813385353391985</v>
      </c>
      <c r="S1303" s="22">
        <f t="shared" si="167"/>
        <v>0.46606693538289534</v>
      </c>
      <c r="T1303" s="25"/>
      <c r="U1303" s="1" t="s">
        <v>3694</v>
      </c>
    </row>
    <row r="1304" spans="1:21">
      <c r="A1304" s="6" t="s">
        <v>3695</v>
      </c>
      <c r="B1304" s="6" t="s">
        <v>3696</v>
      </c>
      <c r="C1304" s="7">
        <v>0.88399051384232885</v>
      </c>
      <c r="D1304" s="7">
        <v>0.90664915945299396</v>
      </c>
      <c r="E1304" s="7">
        <v>1.0606835805768353</v>
      </c>
      <c r="F1304" s="8">
        <v>1.1528042938087961</v>
      </c>
      <c r="G1304" s="8">
        <f t="shared" si="160"/>
        <v>0.89531983664766135</v>
      </c>
      <c r="H1304" s="8">
        <f t="shared" si="161"/>
        <v>1.1067439371928156</v>
      </c>
      <c r="I1304" s="8">
        <f t="shared" si="162"/>
        <v>1.2361436571502624</v>
      </c>
      <c r="J1304" s="22">
        <f t="shared" si="163"/>
        <v>0.30584641428996767</v>
      </c>
      <c r="K1304" s="8"/>
      <c r="L1304" s="8">
        <v>1.1890796419354002</v>
      </c>
      <c r="M1304" s="8">
        <v>1.1203009705824891</v>
      </c>
      <c r="N1304" s="8">
        <v>1.4008598074908982</v>
      </c>
      <c r="O1304" s="8">
        <v>1.4076806464343725</v>
      </c>
      <c r="P1304" s="8">
        <f t="shared" si="164"/>
        <v>1.1546903062589446</v>
      </c>
      <c r="Q1304" s="8">
        <f t="shared" si="165"/>
        <v>1.4042702269626353</v>
      </c>
      <c r="R1304" s="8">
        <f t="shared" si="166"/>
        <v>1.216144466919705</v>
      </c>
      <c r="S1304" s="22">
        <f t="shared" si="167"/>
        <v>0.28231461803218716</v>
      </c>
      <c r="T1304" s="25"/>
      <c r="U1304" s="1" t="s">
        <v>3697</v>
      </c>
    </row>
    <row r="1305" spans="1:21">
      <c r="A1305" s="6" t="s">
        <v>3698</v>
      </c>
      <c r="B1305" s="13" t="s">
        <v>3699</v>
      </c>
      <c r="C1305" s="14">
        <v>0.85004747033598349</v>
      </c>
      <c r="D1305" s="14">
        <v>0.81272040442307603</v>
      </c>
      <c r="E1305" s="14">
        <v>0.84088898608947205</v>
      </c>
      <c r="F1305" s="8">
        <v>0.91776845857322009</v>
      </c>
      <c r="G1305" s="8">
        <f t="shared" si="160"/>
        <v>0.83138393737952976</v>
      </c>
      <c r="H1305" s="8">
        <f t="shared" si="161"/>
        <v>0.87932872233134607</v>
      </c>
      <c r="I1305" s="8">
        <f t="shared" si="162"/>
        <v>1.0576686447695096</v>
      </c>
      <c r="J1305" s="22">
        <f t="shared" si="163"/>
        <v>8.0887718734671737E-2</v>
      </c>
      <c r="K1305" s="8"/>
      <c r="L1305" s="8">
        <v>0.95273628465761162</v>
      </c>
      <c r="M1305" s="8">
        <v>1.1276007806435935</v>
      </c>
      <c r="N1305" s="8">
        <v>1.3003161937060495</v>
      </c>
      <c r="O1305" s="8">
        <v>0.97644533564222691</v>
      </c>
      <c r="P1305" s="8">
        <f t="shared" si="164"/>
        <v>1.0401685326506025</v>
      </c>
      <c r="Q1305" s="8">
        <f t="shared" si="165"/>
        <v>1.1383807646741382</v>
      </c>
      <c r="R1305" s="8">
        <f t="shared" si="166"/>
        <v>1.0944195377390113</v>
      </c>
      <c r="S1305" s="22">
        <f t="shared" si="167"/>
        <v>0.13016589077100724</v>
      </c>
      <c r="T1305" s="25"/>
      <c r="U1305" s="1" t="s">
        <v>3700</v>
      </c>
    </row>
    <row r="1306" spans="1:21">
      <c r="A1306" s="6" t="s">
        <v>3701</v>
      </c>
      <c r="B1306" s="6" t="s">
        <v>3702</v>
      </c>
      <c r="C1306" s="7">
        <v>0.93575213656059553</v>
      </c>
      <c r="D1306" s="7">
        <v>0.83524784940728258</v>
      </c>
      <c r="E1306" s="7">
        <v>0.82617719464982775</v>
      </c>
      <c r="F1306" s="8">
        <v>0.83043102834678884</v>
      </c>
      <c r="G1306" s="8">
        <f t="shared" si="160"/>
        <v>0.88549999298393911</v>
      </c>
      <c r="H1306" s="8">
        <f t="shared" si="161"/>
        <v>0.82830411149830829</v>
      </c>
      <c r="I1306" s="8">
        <f t="shared" si="162"/>
        <v>0.935408377257132</v>
      </c>
      <c r="J1306" s="22">
        <f t="shared" si="163"/>
        <v>-9.6331745697322946E-2</v>
      </c>
      <c r="K1306" s="8"/>
      <c r="L1306" s="8">
        <v>0.8472450794598374</v>
      </c>
      <c r="M1306" s="8">
        <v>1.1109343468293855</v>
      </c>
      <c r="N1306" s="8">
        <v>0.98925340382025828</v>
      </c>
      <c r="O1306" s="8">
        <v>0.91596690649910018</v>
      </c>
      <c r="P1306" s="8">
        <f t="shared" si="164"/>
        <v>0.97908971314461146</v>
      </c>
      <c r="Q1306" s="8">
        <f t="shared" si="165"/>
        <v>0.95261015515967928</v>
      </c>
      <c r="R1306" s="8">
        <f t="shared" si="166"/>
        <v>0.9729549216691431</v>
      </c>
      <c r="S1306" s="22">
        <f t="shared" si="167"/>
        <v>-3.9555130364962304E-2</v>
      </c>
      <c r="T1306" s="25"/>
      <c r="U1306" s="1" t="s">
        <v>3703</v>
      </c>
    </row>
    <row r="1307" spans="1:21">
      <c r="A1307" s="6" t="s">
        <v>3704</v>
      </c>
      <c r="B1307" s="6" t="s">
        <v>3705</v>
      </c>
      <c r="C1307" s="7">
        <v>0.31781190884535426</v>
      </c>
      <c r="D1307" s="7">
        <v>0.30846112990524394</v>
      </c>
      <c r="E1307" s="7">
        <v>0.48874565252220725</v>
      </c>
      <c r="F1307" s="8">
        <v>0.5120121286181607</v>
      </c>
      <c r="G1307" s="8">
        <f t="shared" si="160"/>
        <v>0.31313651937529907</v>
      </c>
      <c r="H1307" s="8">
        <f t="shared" si="161"/>
        <v>0.50037889057018403</v>
      </c>
      <c r="I1307" s="8">
        <f t="shared" si="162"/>
        <v>1.5979576306475836</v>
      </c>
      <c r="J1307" s="22">
        <f t="shared" si="163"/>
        <v>0.67622915616014567</v>
      </c>
      <c r="K1307" s="8"/>
      <c r="L1307" s="8">
        <v>1.039497418728434</v>
      </c>
      <c r="M1307" s="8">
        <v>1.1604939006779671</v>
      </c>
      <c r="N1307" s="8">
        <v>1.4437584160391002</v>
      </c>
      <c r="O1307" s="8">
        <v>1.3401196105560456</v>
      </c>
      <c r="P1307" s="8">
        <f t="shared" si="164"/>
        <v>1.0999956597032006</v>
      </c>
      <c r="Q1307" s="8">
        <f t="shared" si="165"/>
        <v>1.3919390132975729</v>
      </c>
      <c r="R1307" s="8">
        <f t="shared" si="166"/>
        <v>1.265404095933564</v>
      </c>
      <c r="S1307" s="22">
        <f t="shared" si="167"/>
        <v>0.33959817077216048</v>
      </c>
      <c r="T1307" s="25"/>
      <c r="U1307" s="1" t="s">
        <v>3706</v>
      </c>
    </row>
    <row r="1308" spans="1:21">
      <c r="A1308" s="6" t="s">
        <v>3707</v>
      </c>
      <c r="B1308" s="6" t="s">
        <v>3708</v>
      </c>
      <c r="C1308" s="7">
        <v>0.17924545762537586</v>
      </c>
      <c r="D1308" s="7">
        <v>0.17743743973838197</v>
      </c>
      <c r="E1308" s="7">
        <v>0.36275935079333677</v>
      </c>
      <c r="F1308" s="8">
        <v>0.33663316347536193</v>
      </c>
      <c r="G1308" s="8">
        <f t="shared" si="160"/>
        <v>0.1783414486818789</v>
      </c>
      <c r="H1308" s="8">
        <f t="shared" si="161"/>
        <v>0.34969625713434938</v>
      </c>
      <c r="I1308" s="8">
        <f t="shared" si="162"/>
        <v>1.9608243609040599</v>
      </c>
      <c r="J1308" s="22">
        <f t="shared" si="163"/>
        <v>0.97146031319394999</v>
      </c>
      <c r="K1308" s="8"/>
      <c r="L1308" s="8">
        <v>0.82614683842028258</v>
      </c>
      <c r="M1308" s="8">
        <v>0.95557152185419569</v>
      </c>
      <c r="N1308" s="8">
        <v>0.39513640217445511</v>
      </c>
      <c r="O1308" s="8">
        <v>0.87362195984822322</v>
      </c>
      <c r="P1308" s="8">
        <f t="shared" si="164"/>
        <v>0.89085918013723919</v>
      </c>
      <c r="Q1308" s="8">
        <f t="shared" si="165"/>
        <v>0.63437918101133917</v>
      </c>
      <c r="R1308" s="8">
        <f t="shared" si="166"/>
        <v>0.71209815777350061</v>
      </c>
      <c r="S1308" s="22">
        <f t="shared" si="167"/>
        <v>-0.48985197452081602</v>
      </c>
      <c r="T1308" s="25"/>
      <c r="U1308" s="1" t="s">
        <v>3709</v>
      </c>
    </row>
    <row r="1309" spans="1:21">
      <c r="A1309" s="6" t="s">
        <v>3710</v>
      </c>
      <c r="B1309" s="6" t="s">
        <v>3711</v>
      </c>
      <c r="C1309" s="7">
        <v>1.0117308282987005</v>
      </c>
      <c r="D1309" s="7">
        <v>1.041092538952793</v>
      </c>
      <c r="E1309" s="7">
        <v>0.94864873391871496</v>
      </c>
      <c r="F1309" s="8">
        <v>0.95986538442910341</v>
      </c>
      <c r="G1309" s="8">
        <f t="shared" si="160"/>
        <v>1.0264116836257466</v>
      </c>
      <c r="H1309" s="8">
        <f t="shared" si="161"/>
        <v>0.95425705917390924</v>
      </c>
      <c r="I1309" s="8">
        <f t="shared" si="162"/>
        <v>0.92970206243468034</v>
      </c>
      <c r="J1309" s="22">
        <f t="shared" si="163"/>
        <v>-0.10515963878925927</v>
      </c>
      <c r="K1309" s="8"/>
      <c r="L1309" s="8">
        <v>0.88117449566222361</v>
      </c>
      <c r="M1309" s="8">
        <v>1.0843296173898185</v>
      </c>
      <c r="N1309" s="8">
        <v>0.684223230761558</v>
      </c>
      <c r="O1309" s="8">
        <v>1.0234115576096883</v>
      </c>
      <c r="P1309" s="8">
        <f t="shared" si="164"/>
        <v>0.98275205652602105</v>
      </c>
      <c r="Q1309" s="8">
        <f t="shared" si="165"/>
        <v>0.85381739418562308</v>
      </c>
      <c r="R1309" s="8">
        <f t="shared" si="166"/>
        <v>0.86880244972859633</v>
      </c>
      <c r="S1309" s="22">
        <f t="shared" si="167"/>
        <v>-0.20289992382805885</v>
      </c>
      <c r="T1309" s="25"/>
      <c r="U1309" s="1" t="s">
        <v>3712</v>
      </c>
    </row>
    <row r="1310" spans="1:21">
      <c r="A1310" s="6" t="s">
        <v>3713</v>
      </c>
      <c r="B1310" s="6" t="s">
        <v>3714</v>
      </c>
      <c r="C1310" s="7">
        <v>1.0879794985097135</v>
      </c>
      <c r="D1310" s="7">
        <v>1.0350968124575681</v>
      </c>
      <c r="E1310" s="7">
        <v>0.97351747156924973</v>
      </c>
      <c r="F1310" s="8">
        <v>1.0510718343658911</v>
      </c>
      <c r="G1310" s="8">
        <f t="shared" si="160"/>
        <v>1.0615381554836407</v>
      </c>
      <c r="H1310" s="8">
        <f t="shared" si="161"/>
        <v>1.0122946529675705</v>
      </c>
      <c r="I1310" s="8">
        <f t="shared" si="162"/>
        <v>0.95361117990748556</v>
      </c>
      <c r="J1310" s="22">
        <f t="shared" si="163"/>
        <v>-6.852694517942369E-2</v>
      </c>
      <c r="K1310" s="8"/>
      <c r="L1310" s="8">
        <v>0.49761708509007174</v>
      </c>
      <c r="M1310" s="8">
        <v>0.63627079381998886</v>
      </c>
      <c r="N1310" s="8">
        <v>0.63988828487357241</v>
      </c>
      <c r="O1310" s="8">
        <v>0.69766187904392662</v>
      </c>
      <c r="P1310" s="8">
        <f t="shared" si="164"/>
        <v>0.5669439394550303</v>
      </c>
      <c r="Q1310" s="8">
        <f t="shared" si="165"/>
        <v>0.66877508195874946</v>
      </c>
      <c r="R1310" s="8">
        <f t="shared" si="166"/>
        <v>1.1796141301053564</v>
      </c>
      <c r="S1310" s="22">
        <f t="shared" si="167"/>
        <v>0.23831500905758257</v>
      </c>
      <c r="T1310" s="25"/>
      <c r="U1310" s="1" t="s">
        <v>3715</v>
      </c>
    </row>
    <row r="1311" spans="1:21">
      <c r="A1311" s="6" t="s">
        <v>3716</v>
      </c>
      <c r="B1311" s="9" t="s">
        <v>3717</v>
      </c>
      <c r="C1311" s="10">
        <v>1.0625272779763215</v>
      </c>
      <c r="D1311" s="10">
        <v>1.0864179128232463</v>
      </c>
      <c r="E1311" s="10">
        <v>1.1135556501534412</v>
      </c>
      <c r="F1311" s="8">
        <v>1.0921303836083331</v>
      </c>
      <c r="G1311" s="8">
        <f t="shared" si="160"/>
        <v>1.0744725953997838</v>
      </c>
      <c r="H1311" s="8">
        <f t="shared" si="161"/>
        <v>1.1028430168808872</v>
      </c>
      <c r="I1311" s="8">
        <f t="shared" si="162"/>
        <v>1.0264040438095561</v>
      </c>
      <c r="J1311" s="22">
        <f t="shared" si="163"/>
        <v>3.7598759457322467E-2</v>
      </c>
      <c r="K1311" s="8"/>
      <c r="L1311" s="8">
        <v>1.1244070745039485</v>
      </c>
      <c r="M1311" s="8">
        <v>1.1638799571520937</v>
      </c>
      <c r="N1311" s="8">
        <v>0.78682559473342972</v>
      </c>
      <c r="O1311" s="8">
        <v>0.72950849372560633</v>
      </c>
      <c r="P1311" s="8">
        <f t="shared" si="164"/>
        <v>1.1441435158280211</v>
      </c>
      <c r="Q1311" s="8">
        <f t="shared" si="165"/>
        <v>0.75816704422951808</v>
      </c>
      <c r="R1311" s="8">
        <f t="shared" si="166"/>
        <v>0.66265030019492766</v>
      </c>
      <c r="S1311" s="22">
        <f t="shared" si="167"/>
        <v>-0.59368037579158195</v>
      </c>
      <c r="T1311" s="25"/>
      <c r="U1311" s="1" t="s">
        <v>3718</v>
      </c>
    </row>
    <row r="1312" spans="1:21">
      <c r="A1312" s="6" t="s">
        <v>3719</v>
      </c>
      <c r="B1312" s="6" t="s">
        <v>3720</v>
      </c>
      <c r="C1312" s="7">
        <v>1.0272005947963232</v>
      </c>
      <c r="D1312" s="7">
        <v>0.99136858162773323</v>
      </c>
      <c r="E1312" s="7">
        <v>0.97473687895332561</v>
      </c>
      <c r="F1312" s="8">
        <v>0.93875646806818747</v>
      </c>
      <c r="G1312" s="8">
        <f t="shared" si="160"/>
        <v>1.0092845882120283</v>
      </c>
      <c r="H1312" s="8">
        <f t="shared" si="161"/>
        <v>0.9567466735107566</v>
      </c>
      <c r="I1312" s="8">
        <f t="shared" si="162"/>
        <v>0.94794539090867935</v>
      </c>
      <c r="J1312" s="22">
        <f t="shared" si="163"/>
        <v>-7.7124143922570609E-2</v>
      </c>
      <c r="K1312" s="8"/>
      <c r="L1312" s="8">
        <v>0.91269268431723205</v>
      </c>
      <c r="M1312" s="8">
        <v>1.2158141480085045</v>
      </c>
      <c r="N1312" s="8">
        <v>0.7986035609196549</v>
      </c>
      <c r="O1312" s="8">
        <v>0.92340113200838814</v>
      </c>
      <c r="P1312" s="8">
        <f t="shared" si="164"/>
        <v>1.0642534161628683</v>
      </c>
      <c r="Q1312" s="8">
        <f t="shared" si="165"/>
        <v>0.86100234646402152</v>
      </c>
      <c r="R1312" s="8">
        <f t="shared" si="166"/>
        <v>0.80902004483888623</v>
      </c>
      <c r="S1312" s="22">
        <f t="shared" si="167"/>
        <v>-0.30575264658142942</v>
      </c>
      <c r="T1312" s="25"/>
      <c r="U1312" s="1" t="s">
        <v>3721</v>
      </c>
    </row>
    <row r="1313" spans="1:21">
      <c r="A1313" s="6" t="s">
        <v>3722</v>
      </c>
      <c r="B1313" s="6" t="s">
        <v>3723</v>
      </c>
      <c r="C1313" s="7">
        <v>0.99059826333183487</v>
      </c>
      <c r="D1313" s="7">
        <v>0.93734264224165287</v>
      </c>
      <c r="E1313" s="7">
        <v>1.1990791456848306</v>
      </c>
      <c r="F1313" s="8">
        <v>1.2622676805038291</v>
      </c>
      <c r="G1313" s="8">
        <f t="shared" si="160"/>
        <v>0.96397045278674387</v>
      </c>
      <c r="H1313" s="8">
        <f t="shared" si="161"/>
        <v>1.2306734130943298</v>
      </c>
      <c r="I1313" s="8">
        <f t="shared" si="162"/>
        <v>1.2766713020472504</v>
      </c>
      <c r="J1313" s="22">
        <f t="shared" si="163"/>
        <v>0.35238712962367702</v>
      </c>
      <c r="K1313" s="8"/>
      <c r="L1313" s="8">
        <v>0.94438310351133892</v>
      </c>
      <c r="M1313" s="8">
        <v>1.1436955425855464</v>
      </c>
      <c r="N1313" s="8">
        <v>0.52569946636078002</v>
      </c>
      <c r="O1313" s="8">
        <v>0.57248559546861777</v>
      </c>
      <c r="P1313" s="8">
        <f t="shared" si="164"/>
        <v>1.0440393230484426</v>
      </c>
      <c r="Q1313" s="8">
        <f t="shared" si="165"/>
        <v>0.5490925309146989</v>
      </c>
      <c r="R1313" s="8">
        <f t="shared" si="166"/>
        <v>0.5259308905256832</v>
      </c>
      <c r="S1313" s="22">
        <f t="shared" si="167"/>
        <v>-0.92705485895597983</v>
      </c>
      <c r="T1313" s="25"/>
      <c r="U1313" s="1" t="s">
        <v>3724</v>
      </c>
    </row>
    <row r="1314" spans="1:21">
      <c r="A1314" s="6" t="s">
        <v>3725</v>
      </c>
      <c r="B1314" s="6" t="s">
        <v>3726</v>
      </c>
      <c r="C1314" s="7">
        <v>0.99212364170376455</v>
      </c>
      <c r="D1314" s="7">
        <v>1.0160212572708271</v>
      </c>
      <c r="E1314" s="7">
        <v>1.0257798374538176</v>
      </c>
      <c r="F1314" s="8">
        <v>1.0097999200658929</v>
      </c>
      <c r="G1314" s="8">
        <f t="shared" si="160"/>
        <v>1.0040724494872959</v>
      </c>
      <c r="H1314" s="8">
        <f t="shared" si="161"/>
        <v>1.0177898787598552</v>
      </c>
      <c r="I1314" s="8">
        <f t="shared" si="162"/>
        <v>1.0136617923134568</v>
      </c>
      <c r="J1314" s="22">
        <f t="shared" si="163"/>
        <v>1.9576378236724729E-2</v>
      </c>
      <c r="K1314" s="8"/>
      <c r="L1314" s="8">
        <v>0.5848518531434147</v>
      </c>
      <c r="M1314" s="8">
        <v>0.65755457737164236</v>
      </c>
      <c r="N1314" s="8">
        <v>0.59794723455189269</v>
      </c>
      <c r="O1314" s="8">
        <v>0.79234779178046644</v>
      </c>
      <c r="P1314" s="8">
        <f t="shared" si="164"/>
        <v>0.62120321525752853</v>
      </c>
      <c r="Q1314" s="8">
        <f t="shared" si="165"/>
        <v>0.69514751316617951</v>
      </c>
      <c r="R1314" s="8">
        <f t="shared" si="166"/>
        <v>1.1190339909589753</v>
      </c>
      <c r="S1314" s="22">
        <f t="shared" si="167"/>
        <v>0.16225385923044719</v>
      </c>
      <c r="T1314" s="25"/>
      <c r="U1314" s="1" t="s">
        <v>3727</v>
      </c>
    </row>
    <row r="1315" spans="1:21">
      <c r="A1315" s="6" t="s">
        <v>3728</v>
      </c>
      <c r="B1315" s="6" t="s">
        <v>3729</v>
      </c>
      <c r="C1315" s="7">
        <v>9.8224917905715817E-2</v>
      </c>
      <c r="D1315" s="7">
        <v>8.442961799398184E-2</v>
      </c>
      <c r="E1315" s="7">
        <v>0.22863171152960704</v>
      </c>
      <c r="F1315" s="8">
        <v>0.23303020369454563</v>
      </c>
      <c r="G1315" s="8">
        <f t="shared" si="160"/>
        <v>9.1327267949848828E-2</v>
      </c>
      <c r="H1315" s="8">
        <f t="shared" si="161"/>
        <v>0.23083095761207634</v>
      </c>
      <c r="I1315" s="8">
        <f t="shared" si="162"/>
        <v>2.5275141016901341</v>
      </c>
      <c r="J1315" s="22">
        <f t="shared" si="163"/>
        <v>1.3377191413396337</v>
      </c>
      <c r="K1315" s="8"/>
      <c r="L1315" s="8">
        <v>0.92853789391428543</v>
      </c>
      <c r="M1315" s="8">
        <v>0.56745029535234892</v>
      </c>
      <c r="N1315" s="8">
        <v>1.0248745698468904</v>
      </c>
      <c r="O1315" s="8">
        <v>0.47815130150616586</v>
      </c>
      <c r="P1315" s="8">
        <f t="shared" si="164"/>
        <v>0.74799409463331723</v>
      </c>
      <c r="Q1315" s="8">
        <f t="shared" si="165"/>
        <v>0.7515129356765281</v>
      </c>
      <c r="R1315" s="8">
        <f t="shared" si="166"/>
        <v>1.004704370085884</v>
      </c>
      <c r="S1315" s="22">
        <f t="shared" si="167"/>
        <v>6.7710570725316695E-3</v>
      </c>
      <c r="T1315" s="25"/>
      <c r="U1315" s="1" t="s">
        <v>3730</v>
      </c>
    </row>
    <row r="1316" spans="1:21">
      <c r="A1316" s="6" t="s">
        <v>3731</v>
      </c>
      <c r="B1316" s="6" t="s">
        <v>3732</v>
      </c>
      <c r="C1316" s="7">
        <v>1.0041646815954568</v>
      </c>
      <c r="D1316" s="7">
        <v>1.018713216105418</v>
      </c>
      <c r="E1316" s="7">
        <v>0.98307906005732681</v>
      </c>
      <c r="F1316" s="8">
        <v>0.95257541162925874</v>
      </c>
      <c r="G1316" s="8">
        <f t="shared" si="160"/>
        <v>1.0114389488504374</v>
      </c>
      <c r="H1316" s="8">
        <f t="shared" si="161"/>
        <v>0.96782723584329278</v>
      </c>
      <c r="I1316" s="8">
        <f t="shared" si="162"/>
        <v>0.95688151711310698</v>
      </c>
      <c r="J1316" s="22">
        <f t="shared" si="163"/>
        <v>-6.3587796357505541E-2</v>
      </c>
      <c r="K1316" s="8"/>
      <c r="L1316" s="8">
        <v>1.0342874449207071</v>
      </c>
      <c r="M1316" s="8">
        <v>1.1396498647203559</v>
      </c>
      <c r="N1316" s="8">
        <v>1.0478559672834271</v>
      </c>
      <c r="O1316" s="8">
        <v>0.88597884819474237</v>
      </c>
      <c r="P1316" s="8">
        <f t="shared" si="164"/>
        <v>1.0869686548205315</v>
      </c>
      <c r="Q1316" s="8">
        <f t="shared" si="165"/>
        <v>0.96691740773908474</v>
      </c>
      <c r="R1316" s="8">
        <f t="shared" si="166"/>
        <v>0.88955408553039794</v>
      </c>
      <c r="S1316" s="22">
        <f t="shared" si="167"/>
        <v>-0.16884576982850411</v>
      </c>
      <c r="T1316" s="25"/>
      <c r="U1316" s="1" t="s">
        <v>3733</v>
      </c>
    </row>
    <row r="1317" spans="1:21">
      <c r="A1317" s="6" t="s">
        <v>3734</v>
      </c>
      <c r="B1317" s="9" t="s">
        <v>3735</v>
      </c>
      <c r="C1317" s="10">
        <v>1.0517078906745376</v>
      </c>
      <c r="D1317" s="10">
        <v>1.0097099662232221</v>
      </c>
      <c r="E1317" s="10">
        <v>1.0816645605675521</v>
      </c>
      <c r="F1317" s="8">
        <v>1.0543434319150897</v>
      </c>
      <c r="G1317" s="8">
        <f t="shared" si="160"/>
        <v>1.0307089284488797</v>
      </c>
      <c r="H1317" s="8">
        <f t="shared" si="161"/>
        <v>1.068003996241321</v>
      </c>
      <c r="I1317" s="8">
        <f t="shared" si="162"/>
        <v>1.0361838990262429</v>
      </c>
      <c r="J1317" s="22">
        <f t="shared" si="163"/>
        <v>5.128007123733741E-2</v>
      </c>
      <c r="K1317" s="8"/>
      <c r="L1317" s="8">
        <v>0.7479111160348314</v>
      </c>
      <c r="M1317" s="8">
        <v>0.85434162570562877</v>
      </c>
      <c r="N1317" s="8">
        <v>0.82694728442471699</v>
      </c>
      <c r="O1317" s="8">
        <v>1.0094975004064939</v>
      </c>
      <c r="P1317" s="8">
        <f t="shared" si="164"/>
        <v>0.80112637087023009</v>
      </c>
      <c r="Q1317" s="8">
        <f t="shared" si="165"/>
        <v>0.91822239241560544</v>
      </c>
      <c r="R1317" s="8">
        <f t="shared" si="166"/>
        <v>1.1461642330137989</v>
      </c>
      <c r="S1317" s="22">
        <f t="shared" si="167"/>
        <v>0.1968137815977862</v>
      </c>
      <c r="T1317" s="25"/>
      <c r="U1317" s="1" t="s">
        <v>3736</v>
      </c>
    </row>
    <row r="1318" spans="1:21">
      <c r="A1318" s="6" t="s">
        <v>3737</v>
      </c>
      <c r="B1318" s="6" t="s">
        <v>3738</v>
      </c>
      <c r="C1318" s="7">
        <v>1.0195669534748524</v>
      </c>
      <c r="D1318" s="7">
        <v>1.0083382264343039</v>
      </c>
      <c r="E1318" s="7">
        <v>0.96617233532634594</v>
      </c>
      <c r="F1318" s="8">
        <v>1.0293157106637207</v>
      </c>
      <c r="G1318" s="8">
        <f t="shared" si="160"/>
        <v>1.0139525899545783</v>
      </c>
      <c r="H1318" s="8">
        <f t="shared" si="161"/>
        <v>0.9977440229950334</v>
      </c>
      <c r="I1318" s="8">
        <f t="shared" si="162"/>
        <v>0.98401447255017027</v>
      </c>
      <c r="J1318" s="22">
        <f t="shared" si="163"/>
        <v>-2.3248560498848391E-2</v>
      </c>
      <c r="K1318" s="8"/>
      <c r="L1318" s="8">
        <v>1.0823828229639372</v>
      </c>
      <c r="M1318" s="8">
        <v>0.84132509692197299</v>
      </c>
      <c r="N1318" s="8">
        <v>0.81593536481970974</v>
      </c>
      <c r="O1318" s="8">
        <v>1.1737034679055647</v>
      </c>
      <c r="P1318" s="8">
        <f t="shared" si="164"/>
        <v>0.96185395994295508</v>
      </c>
      <c r="Q1318" s="8">
        <f t="shared" si="165"/>
        <v>0.99481941636263715</v>
      </c>
      <c r="R1318" s="8">
        <f t="shared" si="166"/>
        <v>1.0342728291326442</v>
      </c>
      <c r="S1318" s="22">
        <f t="shared" si="167"/>
        <v>4.8616802013914294E-2</v>
      </c>
      <c r="T1318" s="25"/>
      <c r="U1318" s="1" t="s">
        <v>3739</v>
      </c>
    </row>
    <row r="1319" spans="1:21">
      <c r="A1319" s="6" t="s">
        <v>3740</v>
      </c>
      <c r="B1319" s="6" t="s">
        <v>3741</v>
      </c>
      <c r="C1319" s="7">
        <v>0.99318330720992809</v>
      </c>
      <c r="D1319" s="7">
        <v>0.96607833678697297</v>
      </c>
      <c r="E1319" s="7">
        <v>1.052499205134303</v>
      </c>
      <c r="F1319" s="8">
        <v>1.0769743523532416</v>
      </c>
      <c r="G1319" s="8">
        <f t="shared" si="160"/>
        <v>0.97963082199845053</v>
      </c>
      <c r="H1319" s="8">
        <f t="shared" si="161"/>
        <v>1.0647367787437723</v>
      </c>
      <c r="I1319" s="8">
        <f t="shared" si="162"/>
        <v>1.0868755400852999</v>
      </c>
      <c r="J1319" s="22">
        <f t="shared" si="163"/>
        <v>0.12018674442956474</v>
      </c>
      <c r="K1319" s="8"/>
      <c r="L1319" s="8">
        <v>1.1157955475490282</v>
      </c>
      <c r="M1319" s="8">
        <v>1.0435210406626814</v>
      </c>
      <c r="N1319" s="8">
        <v>0.84533240237394636</v>
      </c>
      <c r="O1319" s="8">
        <v>0.74266908212718374</v>
      </c>
      <c r="P1319" s="8">
        <f t="shared" si="164"/>
        <v>1.0796582941058548</v>
      </c>
      <c r="Q1319" s="8">
        <f t="shared" si="165"/>
        <v>0.79400074225056505</v>
      </c>
      <c r="R1319" s="8">
        <f t="shared" si="166"/>
        <v>0.73541855472720286</v>
      </c>
      <c r="S1319" s="22">
        <f t="shared" si="167"/>
        <v>-0.44336251846142766</v>
      </c>
      <c r="T1319" s="25"/>
      <c r="U1319" s="1" t="s">
        <v>3742</v>
      </c>
    </row>
    <row r="1320" spans="1:21">
      <c r="A1320" s="6" t="s">
        <v>3743</v>
      </c>
      <c r="B1320" s="6" t="s">
        <v>3744</v>
      </c>
      <c r="C1320" s="7">
        <v>0.93021082840416092</v>
      </c>
      <c r="D1320" s="7">
        <v>1.0001335480724174</v>
      </c>
      <c r="E1320" s="7">
        <v>0.98090564571982686</v>
      </c>
      <c r="F1320" s="8">
        <v>0.78233854437356998</v>
      </c>
      <c r="G1320" s="8">
        <f t="shared" si="160"/>
        <v>0.9651721882382891</v>
      </c>
      <c r="H1320" s="8">
        <f t="shared" si="161"/>
        <v>0.88162209504669842</v>
      </c>
      <c r="I1320" s="8">
        <f t="shared" si="162"/>
        <v>0.91343503862860664</v>
      </c>
      <c r="J1320" s="22">
        <f t="shared" si="163"/>
        <v>-0.13062596349582881</v>
      </c>
      <c r="K1320" s="8"/>
      <c r="L1320" s="8">
        <v>0.85503851135404041</v>
      </c>
      <c r="M1320" s="8">
        <v>1.0087370059739251</v>
      </c>
      <c r="N1320" s="8">
        <v>0.73277143284624202</v>
      </c>
      <c r="O1320" s="8">
        <v>0.78822882899829338</v>
      </c>
      <c r="P1320" s="8">
        <f t="shared" si="164"/>
        <v>0.93188775866398277</v>
      </c>
      <c r="Q1320" s="8">
        <f t="shared" si="165"/>
        <v>0.76050013092226765</v>
      </c>
      <c r="R1320" s="8">
        <f t="shared" si="166"/>
        <v>0.81608554662481236</v>
      </c>
      <c r="S1320" s="22">
        <f t="shared" si="167"/>
        <v>-0.29320770344734243</v>
      </c>
      <c r="T1320" s="25"/>
      <c r="U1320" s="1" t="s">
        <v>3745</v>
      </c>
    </row>
    <row r="1321" spans="1:21">
      <c r="A1321" s="6" t="s">
        <v>3746</v>
      </c>
      <c r="B1321" s="6" t="s">
        <v>3747</v>
      </c>
      <c r="C1321" s="7">
        <v>0.98750700981703954</v>
      </c>
      <c r="D1321" s="7">
        <v>0.95680460300273695</v>
      </c>
      <c r="E1321" s="7">
        <v>0.77355617953464928</v>
      </c>
      <c r="F1321" s="8">
        <v>0.83398711263939596</v>
      </c>
      <c r="G1321" s="8">
        <f t="shared" si="160"/>
        <v>0.9721558064098883</v>
      </c>
      <c r="H1321" s="8">
        <f t="shared" si="161"/>
        <v>0.80377164608702256</v>
      </c>
      <c r="I1321" s="8">
        <f t="shared" si="162"/>
        <v>0.826793031309767</v>
      </c>
      <c r="J1321" s="22">
        <f t="shared" si="163"/>
        <v>-0.27440186594162363</v>
      </c>
      <c r="K1321" s="8"/>
      <c r="L1321" s="8">
        <v>0.42441910597324883</v>
      </c>
      <c r="M1321" s="8">
        <v>0.34045258730764766</v>
      </c>
      <c r="N1321" s="8">
        <v>0.37914517979153156</v>
      </c>
      <c r="O1321" s="8">
        <v>0.43414872349173145</v>
      </c>
      <c r="P1321" s="8">
        <f t="shared" si="164"/>
        <v>0.38243584664044827</v>
      </c>
      <c r="Q1321" s="8">
        <f t="shared" si="165"/>
        <v>0.4066469516416315</v>
      </c>
      <c r="R1321" s="8">
        <f t="shared" si="166"/>
        <v>1.0633076245698945</v>
      </c>
      <c r="S1321" s="22">
        <f t="shared" si="167"/>
        <v>8.8559042058425338E-2</v>
      </c>
      <c r="T1321" s="25"/>
      <c r="U1321" s="1" t="s">
        <v>3748</v>
      </c>
    </row>
    <row r="1322" spans="1:21">
      <c r="A1322" s="6" t="s">
        <v>3749</v>
      </c>
      <c r="B1322" s="6" t="s">
        <v>3750</v>
      </c>
      <c r="C1322" s="7">
        <v>1.0292524311904232</v>
      </c>
      <c r="D1322" s="7">
        <v>1.0499219063265344</v>
      </c>
      <c r="E1322" s="7">
        <v>1.1287838964851649</v>
      </c>
      <c r="F1322" s="8">
        <v>0.9936197365345304</v>
      </c>
      <c r="G1322" s="8">
        <f t="shared" si="160"/>
        <v>1.0395871687584788</v>
      </c>
      <c r="H1322" s="8">
        <f t="shared" si="161"/>
        <v>1.0612018165098476</v>
      </c>
      <c r="I1322" s="8">
        <f t="shared" si="162"/>
        <v>1.0207915684234368</v>
      </c>
      <c r="J1322" s="22">
        <f t="shared" si="163"/>
        <v>2.9688317832258084E-2</v>
      </c>
      <c r="K1322" s="8"/>
      <c r="L1322" s="8">
        <v>0.6652835149023707</v>
      </c>
      <c r="M1322" s="8">
        <v>0.70759785357367067</v>
      </c>
      <c r="N1322" s="8">
        <v>0.66885442122587402</v>
      </c>
      <c r="O1322" s="8">
        <v>0.68635984701967123</v>
      </c>
      <c r="P1322" s="8">
        <f t="shared" si="164"/>
        <v>0.68644068423802063</v>
      </c>
      <c r="Q1322" s="8">
        <f t="shared" si="165"/>
        <v>0.67760713412277263</v>
      </c>
      <c r="R1322" s="8">
        <f t="shared" si="166"/>
        <v>0.98713137155462505</v>
      </c>
      <c r="S1322" s="22">
        <f t="shared" si="167"/>
        <v>-1.8685997563185303E-2</v>
      </c>
      <c r="T1322" s="25"/>
      <c r="U1322" s="1" t="s">
        <v>3751</v>
      </c>
    </row>
    <row r="1323" spans="1:21">
      <c r="A1323" s="6" t="s">
        <v>3752</v>
      </c>
      <c r="B1323" s="6" t="s">
        <v>80</v>
      </c>
      <c r="C1323" s="7">
        <v>1.0356036747655815</v>
      </c>
      <c r="D1323" s="7">
        <v>0.91127958625220629</v>
      </c>
      <c r="E1323" s="7">
        <v>0.96366896369668431</v>
      </c>
      <c r="F1323" s="8">
        <v>0.96958060671650614</v>
      </c>
      <c r="G1323" s="8">
        <f t="shared" si="160"/>
        <v>0.97344163050889387</v>
      </c>
      <c r="H1323" s="8">
        <f t="shared" si="161"/>
        <v>0.96662478520659523</v>
      </c>
      <c r="I1323" s="8">
        <f t="shared" si="162"/>
        <v>0.99299717097702622</v>
      </c>
      <c r="J1323" s="22">
        <f t="shared" si="163"/>
        <v>-1.0138487328304052E-2</v>
      </c>
      <c r="K1323" s="8"/>
      <c r="L1323" s="8">
        <v>0.85176613111117061</v>
      </c>
      <c r="M1323" s="8">
        <v>0.82945191188282741</v>
      </c>
      <c r="N1323" s="8">
        <v>1.0143414293551443</v>
      </c>
      <c r="O1323" s="8">
        <v>1.0881094120418704</v>
      </c>
      <c r="P1323" s="8">
        <f t="shared" si="164"/>
        <v>0.84060902149699901</v>
      </c>
      <c r="Q1323" s="8">
        <f t="shared" si="165"/>
        <v>1.0512254206985072</v>
      </c>
      <c r="R1323" s="8">
        <f t="shared" si="166"/>
        <v>1.2505521518510851</v>
      </c>
      <c r="S1323" s="22">
        <f t="shared" si="167"/>
        <v>0.32256522357090939</v>
      </c>
      <c r="T1323" s="25"/>
      <c r="U1323" s="1">
        <v>0</v>
      </c>
    </row>
    <row r="1324" spans="1:21">
      <c r="A1324" s="6" t="s">
        <v>3753</v>
      </c>
      <c r="B1324" s="6" t="s">
        <v>80</v>
      </c>
      <c r="C1324" s="7">
        <v>1.0322491922397008</v>
      </c>
      <c r="D1324" s="7">
        <v>1.1341776418120617</v>
      </c>
      <c r="E1324" s="7">
        <v>0.97478708984561113</v>
      </c>
      <c r="F1324" s="8">
        <v>1.1069165820969937</v>
      </c>
      <c r="G1324" s="8">
        <f t="shared" si="160"/>
        <v>1.0832134170258811</v>
      </c>
      <c r="H1324" s="8">
        <f t="shared" si="161"/>
        <v>1.0408518359713024</v>
      </c>
      <c r="I1324" s="8">
        <f t="shared" si="162"/>
        <v>0.96089267323618588</v>
      </c>
      <c r="J1324" s="22">
        <f t="shared" si="163"/>
        <v>-5.7552796497068133E-2</v>
      </c>
      <c r="K1324" s="8"/>
      <c r="L1324" s="8">
        <v>1.0962904389961337</v>
      </c>
      <c r="M1324" s="8">
        <v>1.1509953526466505</v>
      </c>
      <c r="N1324" s="8">
        <v>1.3261702658221535</v>
      </c>
      <c r="O1324" s="8">
        <v>1.4671544505086764</v>
      </c>
      <c r="P1324" s="8">
        <f t="shared" si="164"/>
        <v>1.123642895821392</v>
      </c>
      <c r="Q1324" s="8">
        <f t="shared" si="165"/>
        <v>1.396662358165415</v>
      </c>
      <c r="R1324" s="8">
        <f t="shared" si="166"/>
        <v>1.2429770733738708</v>
      </c>
      <c r="S1324" s="22">
        <f t="shared" si="167"/>
        <v>0.31379968622558496</v>
      </c>
      <c r="T1324" s="25"/>
      <c r="U1324" s="1">
        <v>0</v>
      </c>
    </row>
    <row r="1325" spans="1:21">
      <c r="A1325" s="6" t="s">
        <v>3754</v>
      </c>
      <c r="B1325" s="6" t="s">
        <v>3755</v>
      </c>
      <c r="C1325" s="7">
        <v>1.0864743685232521</v>
      </c>
      <c r="D1325" s="7">
        <v>1.0040684448378119</v>
      </c>
      <c r="E1325" s="7">
        <v>0.97622885975266549</v>
      </c>
      <c r="F1325" s="8">
        <v>0.98918885550594182</v>
      </c>
      <c r="G1325" s="8">
        <f t="shared" si="160"/>
        <v>1.045271406680532</v>
      </c>
      <c r="H1325" s="8">
        <f t="shared" si="161"/>
        <v>0.98270885762930371</v>
      </c>
      <c r="I1325" s="8">
        <f t="shared" si="162"/>
        <v>0.94014707696835587</v>
      </c>
      <c r="J1325" s="22">
        <f t="shared" si="163"/>
        <v>-8.9041624677208553E-2</v>
      </c>
      <c r="K1325" s="8"/>
      <c r="L1325" s="8">
        <v>1.3301364534569955</v>
      </c>
      <c r="M1325" s="8">
        <v>1.1160793936796818</v>
      </c>
      <c r="N1325" s="8">
        <v>1.4192928033514538</v>
      </c>
      <c r="O1325" s="8">
        <v>1.310885021053305</v>
      </c>
      <c r="P1325" s="8">
        <f t="shared" si="164"/>
        <v>1.2231079235683386</v>
      </c>
      <c r="Q1325" s="8">
        <f t="shared" si="165"/>
        <v>1.3650889122023795</v>
      </c>
      <c r="R1325" s="8">
        <f t="shared" si="166"/>
        <v>1.1160821427922898</v>
      </c>
      <c r="S1325" s="22">
        <f t="shared" si="167"/>
        <v>0.15844321232656469</v>
      </c>
      <c r="T1325" s="25"/>
      <c r="U1325" s="1" t="s">
        <v>3756</v>
      </c>
    </row>
    <row r="1326" spans="1:21">
      <c r="A1326" s="6" t="s">
        <v>3757</v>
      </c>
      <c r="B1326" s="6" t="s">
        <v>3758</v>
      </c>
      <c r="C1326" s="7">
        <v>0.87151075893216134</v>
      </c>
      <c r="D1326" s="7">
        <v>0.70780485089600065</v>
      </c>
      <c r="E1326" s="7">
        <v>0.97164532258546277</v>
      </c>
      <c r="F1326" s="8">
        <v>0.77835572996585001</v>
      </c>
      <c r="G1326" s="8">
        <f t="shared" si="160"/>
        <v>0.789657804914081</v>
      </c>
      <c r="H1326" s="8">
        <f t="shared" si="161"/>
        <v>0.87500052627565639</v>
      </c>
      <c r="I1326" s="8">
        <f t="shared" si="162"/>
        <v>1.1080755750535021</v>
      </c>
      <c r="J1326" s="22">
        <f t="shared" si="163"/>
        <v>0.14805628214217662</v>
      </c>
      <c r="K1326" s="8"/>
      <c r="L1326" s="8">
        <v>0.62084803581498171</v>
      </c>
      <c r="M1326" s="8">
        <v>0.54071364163456925</v>
      </c>
      <c r="N1326" s="8">
        <v>0.61336392199890277</v>
      </c>
      <c r="O1326" s="8">
        <v>0.49949958421864832</v>
      </c>
      <c r="P1326" s="8">
        <f t="shared" si="164"/>
        <v>0.58078083872477548</v>
      </c>
      <c r="Q1326" s="8">
        <f t="shared" si="165"/>
        <v>0.55643175310877557</v>
      </c>
      <c r="R1326" s="8">
        <f t="shared" si="166"/>
        <v>0.95807526007665234</v>
      </c>
      <c r="S1326" s="22">
        <f t="shared" si="167"/>
        <v>-6.1789105862554435E-2</v>
      </c>
      <c r="T1326" s="25"/>
      <c r="U1326" s="1" t="s">
        <v>3759</v>
      </c>
    </row>
    <row r="1327" spans="1:21">
      <c r="A1327" s="6" t="s">
        <v>3760</v>
      </c>
      <c r="B1327" s="6" t="s">
        <v>3761</v>
      </c>
      <c r="C1327" s="7">
        <v>0.90950347953212518</v>
      </c>
      <c r="D1327" s="7">
        <v>0.89043944560929811</v>
      </c>
      <c r="E1327" s="7">
        <v>0.84286155685783004</v>
      </c>
      <c r="F1327" s="8">
        <v>0.99093844897790462</v>
      </c>
      <c r="G1327" s="8">
        <f t="shared" si="160"/>
        <v>0.89997146257071159</v>
      </c>
      <c r="H1327" s="8">
        <f t="shared" si="161"/>
        <v>0.91690000291786733</v>
      </c>
      <c r="I1327" s="8">
        <f t="shared" si="162"/>
        <v>1.0188100857096074</v>
      </c>
      <c r="J1327" s="22">
        <f t="shared" si="163"/>
        <v>2.688514675381122E-2</v>
      </c>
      <c r="K1327" s="8"/>
      <c r="L1327" s="8">
        <v>1.2291662999105544</v>
      </c>
      <c r="M1327" s="8">
        <v>1.2155063246926747</v>
      </c>
      <c r="N1327" s="8">
        <v>0.80779611989426958</v>
      </c>
      <c r="O1327" s="8">
        <v>0.68605845949902433</v>
      </c>
      <c r="P1327" s="8">
        <f t="shared" si="164"/>
        <v>1.2223363123016147</v>
      </c>
      <c r="Q1327" s="8">
        <f t="shared" si="165"/>
        <v>0.74692728969664701</v>
      </c>
      <c r="R1327" s="8">
        <f t="shared" si="166"/>
        <v>0.61106528717142516</v>
      </c>
      <c r="S1327" s="22">
        <f t="shared" si="167"/>
        <v>-0.71060156681292563</v>
      </c>
      <c r="T1327" s="25"/>
      <c r="U1327" s="1" t="s">
        <v>3762</v>
      </c>
    </row>
    <row r="1328" spans="1:21">
      <c r="A1328" s="6" t="s">
        <v>3763</v>
      </c>
      <c r="B1328" s="6" t="s">
        <v>3764</v>
      </c>
      <c r="C1328" s="7">
        <v>0.78347752837871865</v>
      </c>
      <c r="D1328" s="7">
        <v>0.79996258037684576</v>
      </c>
      <c r="E1328" s="7">
        <v>0.80424220770568711</v>
      </c>
      <c r="F1328" s="8">
        <v>0.83284205349717655</v>
      </c>
      <c r="G1328" s="8">
        <f t="shared" si="160"/>
        <v>0.79172005437778226</v>
      </c>
      <c r="H1328" s="8">
        <f t="shared" si="161"/>
        <v>0.81854213060143177</v>
      </c>
      <c r="I1328" s="8">
        <f t="shared" si="162"/>
        <v>1.0338782326850735</v>
      </c>
      <c r="J1328" s="22">
        <f t="shared" si="163"/>
        <v>4.8066279031835621E-2</v>
      </c>
      <c r="K1328" s="8"/>
      <c r="L1328" s="8">
        <v>1.1311671231635609</v>
      </c>
      <c r="M1328" s="8">
        <v>0.80821210309057812</v>
      </c>
      <c r="N1328" s="8">
        <v>0.96148421525110961</v>
      </c>
      <c r="O1328" s="8">
        <v>0.93364830771037977</v>
      </c>
      <c r="P1328" s="8">
        <f t="shared" si="164"/>
        <v>0.96968961312706958</v>
      </c>
      <c r="Q1328" s="8">
        <f t="shared" si="165"/>
        <v>0.94756626148074474</v>
      </c>
      <c r="R1328" s="8">
        <f t="shared" si="166"/>
        <v>0.97718512053049522</v>
      </c>
      <c r="S1328" s="22">
        <f t="shared" si="167"/>
        <v>-3.3296198842875456E-2</v>
      </c>
      <c r="T1328" s="25"/>
      <c r="U1328" s="1" t="s">
        <v>3765</v>
      </c>
    </row>
    <row r="1329" spans="1:21">
      <c r="A1329" s="6" t="s">
        <v>3766</v>
      </c>
      <c r="B1329" s="6" t="s">
        <v>3767</v>
      </c>
      <c r="C1329" s="7">
        <v>0.88046729477088082</v>
      </c>
      <c r="D1329" s="7">
        <v>0.83740528053069863</v>
      </c>
      <c r="E1329" s="7">
        <v>0.84726576940972753</v>
      </c>
      <c r="F1329" s="8">
        <v>0.820047262212376</v>
      </c>
      <c r="G1329" s="8">
        <f t="shared" si="160"/>
        <v>0.85893628765078978</v>
      </c>
      <c r="H1329" s="8">
        <f t="shared" si="161"/>
        <v>0.83365651581105182</v>
      </c>
      <c r="I1329" s="8">
        <f t="shared" si="162"/>
        <v>0.9705685134005938</v>
      </c>
      <c r="J1329" s="22">
        <f t="shared" si="163"/>
        <v>-4.3098037070069185E-2</v>
      </c>
      <c r="K1329" s="8"/>
      <c r="L1329" s="8">
        <v>0.71570400522342925</v>
      </c>
      <c r="M1329" s="8">
        <v>1.0207860900506878</v>
      </c>
      <c r="N1329" s="8">
        <v>0.83728891327115851</v>
      </c>
      <c r="O1329" s="8">
        <v>0.98689343635798299</v>
      </c>
      <c r="P1329" s="8">
        <f t="shared" si="164"/>
        <v>0.86824504763705845</v>
      </c>
      <c r="Q1329" s="8">
        <f t="shared" si="165"/>
        <v>0.9120911748145708</v>
      </c>
      <c r="R1329" s="8">
        <f t="shared" si="166"/>
        <v>1.0504997146794448</v>
      </c>
      <c r="S1329" s="22">
        <f t="shared" si="167"/>
        <v>7.107577016840208E-2</v>
      </c>
      <c r="T1329" s="25"/>
      <c r="U1329" s="1" t="s">
        <v>3768</v>
      </c>
    </row>
    <row r="1330" spans="1:21">
      <c r="A1330" s="6" t="s">
        <v>3769</v>
      </c>
      <c r="B1330" s="9" t="s">
        <v>3770</v>
      </c>
      <c r="C1330" s="10">
        <v>0.88461146433001703</v>
      </c>
      <c r="D1330" s="10">
        <v>0.76981006539226737</v>
      </c>
      <c r="E1330" s="10">
        <v>0.83901683710568509</v>
      </c>
      <c r="F1330" s="8">
        <v>0.8550604681573859</v>
      </c>
      <c r="G1330" s="8">
        <f t="shared" si="160"/>
        <v>0.8272107648611422</v>
      </c>
      <c r="H1330" s="8">
        <f t="shared" si="161"/>
        <v>0.84703865263153544</v>
      </c>
      <c r="I1330" s="8">
        <f t="shared" si="162"/>
        <v>1.0239695717375263</v>
      </c>
      <c r="J1330" s="22">
        <f t="shared" si="163"/>
        <v>3.4172844873446434E-2</v>
      </c>
      <c r="K1330" s="8"/>
      <c r="L1330" s="8">
        <v>1.2289940693714561</v>
      </c>
      <c r="M1330" s="8">
        <v>0.9346835111371804</v>
      </c>
      <c r="N1330" s="8">
        <v>0.84087975662061742</v>
      </c>
      <c r="O1330" s="8">
        <v>0.87623398502716221</v>
      </c>
      <c r="P1330" s="8">
        <f t="shared" si="164"/>
        <v>1.0818387902543183</v>
      </c>
      <c r="Q1330" s="8">
        <f t="shared" si="165"/>
        <v>0.85855687082388976</v>
      </c>
      <c r="R1330" s="8">
        <f t="shared" si="166"/>
        <v>0.79360888013828801</v>
      </c>
      <c r="S1330" s="22">
        <f t="shared" si="167"/>
        <v>-0.33349992594206807</v>
      </c>
      <c r="T1330" s="25"/>
      <c r="U1330" s="1" t="s">
        <v>3771</v>
      </c>
    </row>
    <row r="1331" spans="1:21">
      <c r="A1331" s="6" t="s">
        <v>3772</v>
      </c>
      <c r="B1331" s="6" t="s">
        <v>3773</v>
      </c>
      <c r="C1331" s="7">
        <v>0.92328588057407335</v>
      </c>
      <c r="D1331" s="7">
        <v>0.9057153459816647</v>
      </c>
      <c r="E1331" s="7">
        <v>0.85335563334549447</v>
      </c>
      <c r="F1331" s="8">
        <v>0.98783754347475117</v>
      </c>
      <c r="G1331" s="8">
        <f t="shared" si="160"/>
        <v>0.91450061327786902</v>
      </c>
      <c r="H1331" s="8">
        <f t="shared" si="161"/>
        <v>0.92059658841012282</v>
      </c>
      <c r="I1331" s="8">
        <f t="shared" si="162"/>
        <v>1.0066659060078744</v>
      </c>
      <c r="J1331" s="22">
        <f t="shared" si="163"/>
        <v>9.5849586976596308E-3</v>
      </c>
      <c r="K1331" s="8"/>
      <c r="L1331" s="8">
        <v>1.1393050161359608</v>
      </c>
      <c r="M1331" s="8">
        <v>1.1669581903103907</v>
      </c>
      <c r="N1331" s="8">
        <v>0.92447458979602015</v>
      </c>
      <c r="O1331" s="8">
        <v>1.2073584077111255</v>
      </c>
      <c r="P1331" s="8">
        <f t="shared" si="164"/>
        <v>1.1531316032231758</v>
      </c>
      <c r="Q1331" s="8">
        <f t="shared" si="165"/>
        <v>1.0659164987535727</v>
      </c>
      <c r="R1331" s="8">
        <f t="shared" si="166"/>
        <v>0.92436673817123416</v>
      </c>
      <c r="S1331" s="22">
        <f t="shared" si="167"/>
        <v>-0.11346274717481079</v>
      </c>
      <c r="T1331" s="25"/>
      <c r="U1331" s="1" t="s">
        <v>3774</v>
      </c>
    </row>
    <row r="1332" spans="1:21">
      <c r="A1332" s="6" t="s">
        <v>3775</v>
      </c>
      <c r="B1332" s="9" t="s">
        <v>3776</v>
      </c>
      <c r="C1332" s="10">
        <v>1.042548870981137</v>
      </c>
      <c r="D1332" s="10">
        <v>0.97855279674535156</v>
      </c>
      <c r="E1332" s="10">
        <v>0.98608454060984307</v>
      </c>
      <c r="F1332" s="8">
        <v>0.97076122670165166</v>
      </c>
      <c r="G1332" s="8">
        <f t="shared" si="160"/>
        <v>1.0105508338632443</v>
      </c>
      <c r="H1332" s="8">
        <f t="shared" si="161"/>
        <v>0.97842288365574737</v>
      </c>
      <c r="I1332" s="8">
        <f t="shared" si="162"/>
        <v>0.96820748731196959</v>
      </c>
      <c r="J1332" s="22">
        <f t="shared" si="163"/>
        <v>-4.6611844041122535E-2</v>
      </c>
      <c r="K1332" s="8"/>
      <c r="L1332" s="8">
        <v>9.1712762069901602E-2</v>
      </c>
      <c r="M1332" s="8">
        <v>0.12062276504583795</v>
      </c>
      <c r="N1332" s="8">
        <v>0.1598164680065832</v>
      </c>
      <c r="O1332" s="8">
        <v>0.10558609473326616</v>
      </c>
      <c r="P1332" s="8">
        <f t="shared" si="164"/>
        <v>0.10616776355786978</v>
      </c>
      <c r="Q1332" s="8">
        <f t="shared" si="165"/>
        <v>0.13270128136992468</v>
      </c>
      <c r="R1332" s="8">
        <f t="shared" si="166"/>
        <v>1.2499206625709136</v>
      </c>
      <c r="S1332" s="22">
        <f t="shared" si="167"/>
        <v>0.32183652420893888</v>
      </c>
      <c r="T1332" s="25"/>
      <c r="U1332" s="1" t="s">
        <v>3777</v>
      </c>
    </row>
    <row r="1333" spans="1:21">
      <c r="A1333" s="6" t="s">
        <v>3778</v>
      </c>
      <c r="B1333" s="6" t="s">
        <v>3779</v>
      </c>
      <c r="C1333" s="7">
        <v>1.064923336923379</v>
      </c>
      <c r="D1333" s="7">
        <v>0.89153426140327041</v>
      </c>
      <c r="E1333" s="7">
        <v>0.86377080700242459</v>
      </c>
      <c r="F1333" s="8">
        <v>0.8812332485509744</v>
      </c>
      <c r="G1333" s="8">
        <f t="shared" si="160"/>
        <v>0.97822879916332472</v>
      </c>
      <c r="H1333" s="8">
        <f t="shared" si="161"/>
        <v>0.8725020277766995</v>
      </c>
      <c r="I1333" s="8">
        <f t="shared" si="162"/>
        <v>0.89192020161637753</v>
      </c>
      <c r="J1333" s="22">
        <f t="shared" si="163"/>
        <v>-0.16501345411640522</v>
      </c>
      <c r="K1333" s="8"/>
      <c r="L1333" s="8">
        <v>0.89503905405964534</v>
      </c>
      <c r="M1333" s="8">
        <v>0.71428201700311555</v>
      </c>
      <c r="N1333" s="8">
        <v>0.80339135205226664</v>
      </c>
      <c r="O1333" s="8">
        <v>0.82283816261923548</v>
      </c>
      <c r="P1333" s="8">
        <f t="shared" si="164"/>
        <v>0.80466053553138051</v>
      </c>
      <c r="Q1333" s="8">
        <f t="shared" si="165"/>
        <v>0.81311475733575111</v>
      </c>
      <c r="R1333" s="8">
        <f t="shared" si="166"/>
        <v>1.0105065694551401</v>
      </c>
      <c r="S1333" s="22">
        <f t="shared" si="167"/>
        <v>1.507870092550952E-2</v>
      </c>
      <c r="T1333" s="25"/>
      <c r="U1333" s="1" t="s">
        <v>3780</v>
      </c>
    </row>
    <row r="1334" spans="1:21">
      <c r="A1334" s="6" t="s">
        <v>3781</v>
      </c>
      <c r="B1334" s="6" t="s">
        <v>3782</v>
      </c>
      <c r="C1334" s="7">
        <v>9.8643384538723053E-2</v>
      </c>
      <c r="D1334" s="7">
        <v>8.9072924979005555E-2</v>
      </c>
      <c r="E1334" s="7">
        <v>0.1273922067128638</v>
      </c>
      <c r="F1334" s="8">
        <v>0.12867335404369662</v>
      </c>
      <c r="G1334" s="8">
        <f t="shared" si="160"/>
        <v>9.3858154758864304E-2</v>
      </c>
      <c r="H1334" s="8">
        <f t="shared" si="161"/>
        <v>0.1280327803782802</v>
      </c>
      <c r="I1334" s="8">
        <f t="shared" si="162"/>
        <v>1.3641092849866443</v>
      </c>
      <c r="J1334" s="22">
        <f t="shared" si="163"/>
        <v>0.44795922984044395</v>
      </c>
      <c r="K1334" s="8"/>
      <c r="L1334" s="8">
        <v>0.90257414014520065</v>
      </c>
      <c r="M1334" s="8">
        <v>0.93248477316696821</v>
      </c>
      <c r="N1334" s="8">
        <v>1.1069373098598574</v>
      </c>
      <c r="O1334" s="8">
        <v>1.2107239016916813</v>
      </c>
      <c r="P1334" s="8">
        <f t="shared" si="164"/>
        <v>0.91752945665608443</v>
      </c>
      <c r="Q1334" s="8">
        <f t="shared" si="165"/>
        <v>1.1588306057757694</v>
      </c>
      <c r="R1334" s="8">
        <f t="shared" si="166"/>
        <v>1.2629900842629092</v>
      </c>
      <c r="S1334" s="22">
        <f t="shared" si="167"/>
        <v>0.33684331256894634</v>
      </c>
      <c r="T1334" s="25"/>
      <c r="U1334" s="1" t="s">
        <v>3783</v>
      </c>
    </row>
    <row r="1335" spans="1:21">
      <c r="A1335" s="6" t="s">
        <v>3784</v>
      </c>
      <c r="B1335" s="6" t="s">
        <v>3785</v>
      </c>
      <c r="C1335" s="7">
        <v>0.98577239812860629</v>
      </c>
      <c r="D1335" s="7">
        <v>0.93683387490210102</v>
      </c>
      <c r="E1335" s="7">
        <v>0.87636656798146673</v>
      </c>
      <c r="F1335" s="8">
        <v>1.1574556520635264</v>
      </c>
      <c r="G1335" s="8">
        <f t="shared" si="160"/>
        <v>0.96130313651535371</v>
      </c>
      <c r="H1335" s="8">
        <f t="shared" si="161"/>
        <v>1.0169111100224966</v>
      </c>
      <c r="I1335" s="8">
        <f t="shared" si="162"/>
        <v>1.0578464496732189</v>
      </c>
      <c r="J1335" s="22">
        <f t="shared" si="163"/>
        <v>8.1130230125023017E-2</v>
      </c>
      <c r="K1335" s="8"/>
      <c r="L1335" s="8">
        <v>0.72642535628230509</v>
      </c>
      <c r="M1335" s="8">
        <v>0.93978458322807257</v>
      </c>
      <c r="N1335" s="8">
        <v>0.79486908383621757</v>
      </c>
      <c r="O1335" s="8">
        <v>0.88165896039880476</v>
      </c>
      <c r="P1335" s="8">
        <f t="shared" si="164"/>
        <v>0.83310496975518888</v>
      </c>
      <c r="Q1335" s="8">
        <f t="shared" si="165"/>
        <v>0.83826402211751116</v>
      </c>
      <c r="R1335" s="8">
        <f t="shared" si="166"/>
        <v>1.0061925598209291</v>
      </c>
      <c r="S1335" s="22">
        <f t="shared" si="167"/>
        <v>8.9064269273330336E-3</v>
      </c>
      <c r="T1335" s="25"/>
      <c r="U1335" s="1" t="s">
        <v>3786</v>
      </c>
    </row>
    <row r="1336" spans="1:21">
      <c r="A1336" s="6" t="s">
        <v>3787</v>
      </c>
      <c r="B1336" s="6" t="s">
        <v>3788</v>
      </c>
      <c r="C1336" s="7">
        <v>1.0393563755390012</v>
      </c>
      <c r="D1336" s="7">
        <v>0.93134047565352229</v>
      </c>
      <c r="E1336" s="7">
        <v>0.99732460749717744</v>
      </c>
      <c r="F1336" s="8">
        <v>1.0057317596351503</v>
      </c>
      <c r="G1336" s="8">
        <f t="shared" si="160"/>
        <v>0.98534842559626168</v>
      </c>
      <c r="H1336" s="8">
        <f t="shared" si="161"/>
        <v>1.0015281835661638</v>
      </c>
      <c r="I1336" s="8">
        <f t="shared" si="162"/>
        <v>1.0164203418299587</v>
      </c>
      <c r="J1336" s="22">
        <f t="shared" si="163"/>
        <v>2.3497153746268318E-2</v>
      </c>
      <c r="K1336" s="8"/>
      <c r="L1336" s="8">
        <v>0.99652589922338153</v>
      </c>
      <c r="M1336" s="8">
        <v>0.86806175063975255</v>
      </c>
      <c r="N1336" s="8">
        <v>0.88076205675527397</v>
      </c>
      <c r="O1336" s="8">
        <v>1.0633956353488319</v>
      </c>
      <c r="P1336" s="8">
        <f t="shared" si="164"/>
        <v>0.93229382493156709</v>
      </c>
      <c r="Q1336" s="8">
        <f t="shared" si="165"/>
        <v>0.97207884605205286</v>
      </c>
      <c r="R1336" s="8">
        <f t="shared" si="166"/>
        <v>1.0426743372706626</v>
      </c>
      <c r="S1336" s="22">
        <f t="shared" si="167"/>
        <v>6.0288625384761034E-2</v>
      </c>
      <c r="T1336" s="25"/>
      <c r="U1336" s="1" t="s">
        <v>3789</v>
      </c>
    </row>
    <row r="1337" spans="1:21">
      <c r="A1337" s="6" t="s">
        <v>3790</v>
      </c>
      <c r="B1337" s="6" t="s">
        <v>3791</v>
      </c>
      <c r="C1337" s="7">
        <v>1.1099624956662391</v>
      </c>
      <c r="D1337" s="7">
        <v>0.98475460621355937</v>
      </c>
      <c r="E1337" s="7">
        <v>1.1163818060906523</v>
      </c>
      <c r="F1337" s="8">
        <v>1.0279430621267744</v>
      </c>
      <c r="G1337" s="8">
        <f t="shared" si="160"/>
        <v>1.0473585509398993</v>
      </c>
      <c r="H1337" s="8">
        <f t="shared" si="161"/>
        <v>1.0721624341087135</v>
      </c>
      <c r="I1337" s="8">
        <f t="shared" si="162"/>
        <v>1.0236823226836265</v>
      </c>
      <c r="J1337" s="22">
        <f t="shared" si="163"/>
        <v>3.3768076084953733E-2</v>
      </c>
      <c r="K1337" s="8"/>
      <c r="L1337" s="8">
        <v>1.1551502257330142</v>
      </c>
      <c r="M1337" s="8">
        <v>0.75720138218165645</v>
      </c>
      <c r="N1337" s="8">
        <v>1.1036816118896813</v>
      </c>
      <c r="O1337" s="8">
        <v>0.76291227726396127</v>
      </c>
      <c r="P1337" s="8">
        <f t="shared" si="164"/>
        <v>0.95617580395733537</v>
      </c>
      <c r="Q1337" s="8">
        <f t="shared" si="165"/>
        <v>0.93329694457682133</v>
      </c>
      <c r="R1337" s="8">
        <f t="shared" si="166"/>
        <v>0.9760725388722189</v>
      </c>
      <c r="S1337" s="22">
        <f t="shared" si="167"/>
        <v>-3.4939726215564432E-2</v>
      </c>
      <c r="T1337" s="25"/>
      <c r="U1337" s="1" t="s">
        <v>3792</v>
      </c>
    </row>
    <row r="1338" spans="1:21">
      <c r="A1338" s="6" t="s">
        <v>3793</v>
      </c>
      <c r="B1338" s="6" t="s">
        <v>3794</v>
      </c>
      <c r="C1338" s="7">
        <v>0.94150942749535649</v>
      </c>
      <c r="D1338" s="7">
        <v>0.97787658699025093</v>
      </c>
      <c r="E1338" s="7">
        <v>0.90330829818493041</v>
      </c>
      <c r="F1338" s="8">
        <v>0.92621771485245463</v>
      </c>
      <c r="G1338" s="8">
        <f t="shared" si="160"/>
        <v>0.95969300724280371</v>
      </c>
      <c r="H1338" s="8">
        <f t="shared" si="161"/>
        <v>0.91476300651869247</v>
      </c>
      <c r="I1338" s="8">
        <f t="shared" si="162"/>
        <v>0.95318294456141239</v>
      </c>
      <c r="J1338" s="22">
        <f t="shared" si="163"/>
        <v>-6.9174957476684437E-2</v>
      </c>
      <c r="K1338" s="8"/>
      <c r="L1338" s="8">
        <v>1.0812633244597976</v>
      </c>
      <c r="M1338" s="8">
        <v>0.87276704989600651</v>
      </c>
      <c r="N1338" s="8">
        <v>0.74904992269712234</v>
      </c>
      <c r="O1338" s="8">
        <v>0.83926378249448674</v>
      </c>
      <c r="P1338" s="8">
        <f t="shared" si="164"/>
        <v>0.97701518717790203</v>
      </c>
      <c r="Q1338" s="8">
        <f t="shared" si="165"/>
        <v>0.79415685259580449</v>
      </c>
      <c r="R1338" s="8">
        <f t="shared" si="166"/>
        <v>0.81283982380019915</v>
      </c>
      <c r="S1338" s="22">
        <f t="shared" si="167"/>
        <v>-0.29895700848642526</v>
      </c>
      <c r="T1338" s="25"/>
      <c r="U1338" s="1" t="s">
        <v>3795</v>
      </c>
    </row>
    <row r="1339" spans="1:21">
      <c r="A1339" s="6" t="s">
        <v>3796</v>
      </c>
      <c r="B1339" s="6" t="s">
        <v>3797</v>
      </c>
      <c r="C1339" s="7">
        <v>0.91501104037944636</v>
      </c>
      <c r="D1339" s="7">
        <v>0.90227633637001048</v>
      </c>
      <c r="E1339" s="7">
        <v>0.88610748108484894</v>
      </c>
      <c r="F1339" s="8">
        <v>1.0543292075779194</v>
      </c>
      <c r="G1339" s="8">
        <f t="shared" si="160"/>
        <v>0.90864368837472842</v>
      </c>
      <c r="H1339" s="8">
        <f t="shared" si="161"/>
        <v>0.9702183443313841</v>
      </c>
      <c r="I1339" s="8">
        <f t="shared" si="162"/>
        <v>1.0677654582807843</v>
      </c>
      <c r="J1339" s="22">
        <f t="shared" si="163"/>
        <v>9.4594784351953412E-2</v>
      </c>
      <c r="K1339" s="8"/>
      <c r="L1339" s="8">
        <v>1.0735129502003693</v>
      </c>
      <c r="M1339" s="8">
        <v>0.84018175317746258</v>
      </c>
      <c r="N1339" s="8">
        <v>0.65635828636975713</v>
      </c>
      <c r="O1339" s="8">
        <v>1.205399388826921</v>
      </c>
      <c r="P1339" s="8">
        <f t="shared" si="164"/>
        <v>0.95684735168891599</v>
      </c>
      <c r="Q1339" s="8">
        <f t="shared" si="165"/>
        <v>0.930878837598339</v>
      </c>
      <c r="R1339" s="8">
        <f t="shared" si="166"/>
        <v>0.97286033760271129</v>
      </c>
      <c r="S1339" s="22">
        <f t="shared" si="167"/>
        <v>-3.9695386191455136E-2</v>
      </c>
      <c r="T1339" s="25"/>
      <c r="U1339" s="1" t="s">
        <v>3798</v>
      </c>
    </row>
    <row r="1340" spans="1:21">
      <c r="A1340" s="6" t="s">
        <v>3799</v>
      </c>
      <c r="B1340" s="6" t="s">
        <v>3800</v>
      </c>
      <c r="C1340" s="7">
        <v>1.0780577896303483</v>
      </c>
      <c r="D1340" s="7">
        <v>0.99237967621393119</v>
      </c>
      <c r="E1340" s="7">
        <v>1.0253638043463094</v>
      </c>
      <c r="F1340" s="8">
        <v>1.0022539091969804</v>
      </c>
      <c r="G1340" s="8">
        <f t="shared" si="160"/>
        <v>1.0352187329221398</v>
      </c>
      <c r="H1340" s="8">
        <f t="shared" si="161"/>
        <v>1.0138088567716448</v>
      </c>
      <c r="I1340" s="8">
        <f t="shared" si="162"/>
        <v>0.97931850007190191</v>
      </c>
      <c r="J1340" s="22">
        <f t="shared" si="163"/>
        <v>-3.0149956462198119E-2</v>
      </c>
      <c r="K1340" s="8"/>
      <c r="L1340" s="8">
        <v>0.82141049859507642</v>
      </c>
      <c r="M1340" s="8">
        <v>0.99580842670907788</v>
      </c>
      <c r="N1340" s="8">
        <v>0.7925230661812378</v>
      </c>
      <c r="O1340" s="8">
        <v>0.85624194615759042</v>
      </c>
      <c r="P1340" s="8">
        <f t="shared" si="164"/>
        <v>0.90860946265207709</v>
      </c>
      <c r="Q1340" s="8">
        <f t="shared" si="165"/>
        <v>0.82438250616941411</v>
      </c>
      <c r="R1340" s="8">
        <f t="shared" si="166"/>
        <v>0.90730125544057316</v>
      </c>
      <c r="S1340" s="22">
        <f t="shared" si="167"/>
        <v>-0.14034643986921302</v>
      </c>
      <c r="T1340" s="25"/>
      <c r="U1340" s="1" t="s">
        <v>3801</v>
      </c>
    </row>
    <row r="1341" spans="1:21">
      <c r="A1341" s="6" t="s">
        <v>3802</v>
      </c>
      <c r="B1341" s="6" t="s">
        <v>3803</v>
      </c>
      <c r="C1341" s="7">
        <v>0.97172001861375024</v>
      </c>
      <c r="D1341" s="7">
        <v>0.99874248800478194</v>
      </c>
      <c r="E1341" s="7">
        <v>0.89095641868270348</v>
      </c>
      <c r="F1341" s="8">
        <v>0.99745319540196087</v>
      </c>
      <c r="G1341" s="8">
        <f t="shared" si="160"/>
        <v>0.98523125330926609</v>
      </c>
      <c r="H1341" s="8">
        <f t="shared" si="161"/>
        <v>0.94420480704233212</v>
      </c>
      <c r="I1341" s="8">
        <f t="shared" si="162"/>
        <v>0.95835856188165836</v>
      </c>
      <c r="J1341" s="22">
        <f t="shared" si="163"/>
        <v>-6.136256557981546E-2</v>
      </c>
      <c r="K1341" s="8"/>
      <c r="L1341" s="8">
        <v>1.0217146155665235</v>
      </c>
      <c r="M1341" s="8">
        <v>1.0670035621845468</v>
      </c>
      <c r="N1341" s="8">
        <v>0.75642312104134457</v>
      </c>
      <c r="O1341" s="8">
        <v>0.8916047485801496</v>
      </c>
      <c r="P1341" s="8">
        <f t="shared" si="164"/>
        <v>1.0443590888755352</v>
      </c>
      <c r="Q1341" s="8">
        <f t="shared" si="165"/>
        <v>0.82401393481074714</v>
      </c>
      <c r="R1341" s="8">
        <f t="shared" si="166"/>
        <v>0.78901399297244168</v>
      </c>
      <c r="S1341" s="22">
        <f t="shared" si="167"/>
        <v>-0.34187720857393039</v>
      </c>
      <c r="T1341" s="25"/>
      <c r="U1341" s="1" t="s">
        <v>3804</v>
      </c>
    </row>
    <row r="1342" spans="1:21">
      <c r="A1342" s="6" t="s">
        <v>3805</v>
      </c>
      <c r="B1342" s="6" t="s">
        <v>3806</v>
      </c>
      <c r="C1342" s="7">
        <v>0.93858016106430575</v>
      </c>
      <c r="D1342" s="7">
        <v>0.90521301873501858</v>
      </c>
      <c r="E1342" s="7">
        <v>0.91479224654907998</v>
      </c>
      <c r="F1342" s="8">
        <v>0.877634491246856</v>
      </c>
      <c r="G1342" s="8">
        <f t="shared" si="160"/>
        <v>0.92189658989966217</v>
      </c>
      <c r="H1342" s="8">
        <f t="shared" si="161"/>
        <v>0.89621336889796799</v>
      </c>
      <c r="I1342" s="8">
        <f t="shared" si="162"/>
        <v>0.97214088729356352</v>
      </c>
      <c r="J1342" s="22">
        <f t="shared" si="163"/>
        <v>-4.0762683658650857E-2</v>
      </c>
      <c r="K1342" s="8"/>
      <c r="L1342" s="8">
        <v>0.88767619851318846</v>
      </c>
      <c r="M1342" s="8">
        <v>0.89246774210910729</v>
      </c>
      <c r="N1342" s="8">
        <v>0.81167423071168521</v>
      </c>
      <c r="O1342" s="8">
        <v>0.80771855533345382</v>
      </c>
      <c r="P1342" s="8">
        <f t="shared" si="164"/>
        <v>0.89007197031114793</v>
      </c>
      <c r="Q1342" s="8">
        <f t="shared" si="165"/>
        <v>0.80969639302256957</v>
      </c>
      <c r="R1342" s="8">
        <f t="shared" si="166"/>
        <v>0.90969766494221704</v>
      </c>
      <c r="S1342" s="22">
        <f t="shared" si="167"/>
        <v>-0.13654094491841645</v>
      </c>
      <c r="T1342" s="25"/>
      <c r="U1342" s="1" t="s">
        <v>3807</v>
      </c>
    </row>
    <row r="1343" spans="1:21">
      <c r="A1343" s="6" t="s">
        <v>3808</v>
      </c>
      <c r="B1343" s="6" t="s">
        <v>3809</v>
      </c>
      <c r="C1343" s="7">
        <v>0.91384338348411964</v>
      </c>
      <c r="D1343" s="7">
        <v>0.94847112278273604</v>
      </c>
      <c r="E1343" s="7">
        <v>0.98297146528814361</v>
      </c>
      <c r="F1343" s="8">
        <v>1.072643041684846</v>
      </c>
      <c r="G1343" s="8">
        <f t="shared" si="160"/>
        <v>0.93115725313342779</v>
      </c>
      <c r="H1343" s="8">
        <f t="shared" si="161"/>
        <v>1.0278072534864948</v>
      </c>
      <c r="I1343" s="8">
        <f t="shared" si="162"/>
        <v>1.1037955726896087</v>
      </c>
      <c r="J1343" s="22">
        <f t="shared" si="163"/>
        <v>0.14247300402188445</v>
      </c>
      <c r="K1343" s="8"/>
      <c r="L1343" s="8">
        <v>1.0216715579317488</v>
      </c>
      <c r="M1343" s="8">
        <v>1.1542055100831603</v>
      </c>
      <c r="N1343" s="8">
        <v>0.81133908533240229</v>
      </c>
      <c r="O1343" s="8">
        <v>0.74060960073609716</v>
      </c>
      <c r="P1343" s="8">
        <f t="shared" si="164"/>
        <v>1.0879385340074545</v>
      </c>
      <c r="Q1343" s="8">
        <f t="shared" si="165"/>
        <v>0.77597434303424973</v>
      </c>
      <c r="R1343" s="8">
        <f t="shared" si="166"/>
        <v>0.71325200714779791</v>
      </c>
      <c r="S1343" s="22">
        <f t="shared" si="167"/>
        <v>-0.48751619321622441</v>
      </c>
      <c r="T1343" s="25"/>
      <c r="U1343" s="1" t="s">
        <v>3810</v>
      </c>
    </row>
    <row r="1344" spans="1:21">
      <c r="A1344" s="6" t="s">
        <v>3811</v>
      </c>
      <c r="B1344" s="6" t="s">
        <v>3812</v>
      </c>
      <c r="C1344" s="7">
        <v>0.93591412364434023</v>
      </c>
      <c r="D1344" s="7">
        <v>0.95939352035083614</v>
      </c>
      <c r="E1344" s="7">
        <v>0.92969770857325396</v>
      </c>
      <c r="F1344" s="8">
        <v>0.89594832535378277</v>
      </c>
      <c r="G1344" s="8">
        <f t="shared" si="160"/>
        <v>0.94765382199758819</v>
      </c>
      <c r="H1344" s="8">
        <f t="shared" si="161"/>
        <v>0.91282301696351831</v>
      </c>
      <c r="I1344" s="8">
        <f t="shared" si="162"/>
        <v>0.96324522285928316</v>
      </c>
      <c r="J1344" s="22">
        <f t="shared" si="163"/>
        <v>-5.4024968920068167E-2</v>
      </c>
      <c r="K1344" s="8"/>
      <c r="L1344" s="8">
        <v>1.0082375758820732</v>
      </c>
      <c r="M1344" s="8">
        <v>0.84774541179499241</v>
      </c>
      <c r="N1344" s="8">
        <v>0.76853623260685244</v>
      </c>
      <c r="O1344" s="8">
        <v>1.1062428945341203</v>
      </c>
      <c r="P1344" s="8">
        <f t="shared" si="164"/>
        <v>0.92799149383853274</v>
      </c>
      <c r="Q1344" s="8">
        <f t="shared" si="165"/>
        <v>0.93738956357048631</v>
      </c>
      <c r="R1344" s="8">
        <f t="shared" si="166"/>
        <v>1.0101273231428873</v>
      </c>
      <c r="S1344" s="22">
        <f t="shared" si="167"/>
        <v>1.4537151283695393E-2</v>
      </c>
      <c r="T1344" s="25"/>
      <c r="U1344" s="1" t="s">
        <v>3813</v>
      </c>
    </row>
    <row r="1345" spans="1:21">
      <c r="A1345" s="6" t="s">
        <v>3814</v>
      </c>
      <c r="B1345" s="6" t="s">
        <v>3815</v>
      </c>
      <c r="C1345" s="7">
        <v>1.0631684768494778</v>
      </c>
      <c r="D1345" s="7">
        <v>1.0306273879809988</v>
      </c>
      <c r="E1345" s="7">
        <v>0.9639702290503972</v>
      </c>
      <c r="F1345" s="8">
        <v>0.96032056321855708</v>
      </c>
      <c r="G1345" s="8">
        <f t="shared" si="160"/>
        <v>1.0468979324152383</v>
      </c>
      <c r="H1345" s="8">
        <f t="shared" si="161"/>
        <v>0.96214539613447714</v>
      </c>
      <c r="I1345" s="8">
        <f t="shared" si="162"/>
        <v>0.91904412678967329</v>
      </c>
      <c r="J1345" s="22">
        <f t="shared" si="163"/>
        <v>-0.12179396245652083</v>
      </c>
      <c r="K1345" s="8"/>
      <c r="L1345" s="8">
        <v>1.0186144658627523</v>
      </c>
      <c r="M1345" s="8">
        <v>0.99466508296456757</v>
      </c>
      <c r="N1345" s="8">
        <v>1.1258969627450002</v>
      </c>
      <c r="O1345" s="8">
        <v>0.9829753985895745</v>
      </c>
      <c r="P1345" s="8">
        <f t="shared" si="164"/>
        <v>1.0066397744136599</v>
      </c>
      <c r="Q1345" s="8">
        <f t="shared" si="165"/>
        <v>1.0544361806672873</v>
      </c>
      <c r="R1345" s="8">
        <f t="shared" si="166"/>
        <v>1.0474811421806449</v>
      </c>
      <c r="S1345" s="22">
        <f t="shared" si="167"/>
        <v>6.6924271297075733E-2</v>
      </c>
      <c r="T1345" s="25"/>
      <c r="U1345" s="1" t="s">
        <v>3816</v>
      </c>
    </row>
    <row r="1346" spans="1:21">
      <c r="A1346" s="6" t="s">
        <v>3817</v>
      </c>
      <c r="B1346" s="6" t="s">
        <v>3818</v>
      </c>
      <c r="C1346" s="7">
        <v>0.93324133676255205</v>
      </c>
      <c r="D1346" s="7">
        <v>1.0557051097558703</v>
      </c>
      <c r="E1346" s="7">
        <v>0.90911124273620902</v>
      </c>
      <c r="F1346" s="8">
        <v>1.0513847697836407</v>
      </c>
      <c r="G1346" s="8">
        <f t="shared" si="160"/>
        <v>0.99447322325921117</v>
      </c>
      <c r="H1346" s="8">
        <f t="shared" si="161"/>
        <v>0.98024800625992481</v>
      </c>
      <c r="I1346" s="8">
        <f t="shared" si="162"/>
        <v>0.98569572647449899</v>
      </c>
      <c r="J1346" s="22">
        <f t="shared" si="163"/>
        <v>-2.0785723793884839E-2</v>
      </c>
      <c r="K1346" s="8"/>
      <c r="L1346" s="8">
        <v>0.80513471265027703</v>
      </c>
      <c r="M1346" s="8">
        <v>0.87896749097200477</v>
      </c>
      <c r="N1346" s="8">
        <v>0.78921949029973559</v>
      </c>
      <c r="O1346" s="8">
        <v>0.90702574338657804</v>
      </c>
      <c r="P1346" s="8">
        <f t="shared" si="164"/>
        <v>0.84205110181114096</v>
      </c>
      <c r="Q1346" s="8">
        <f t="shared" si="165"/>
        <v>0.84812261684315682</v>
      </c>
      <c r="R1346" s="8">
        <f t="shared" si="166"/>
        <v>1.0072103878481447</v>
      </c>
      <c r="S1346" s="22">
        <f t="shared" si="167"/>
        <v>1.0365067458409498E-2</v>
      </c>
      <c r="T1346" s="25"/>
      <c r="U1346" s="1" t="s">
        <v>3819</v>
      </c>
    </row>
    <row r="1347" spans="1:21">
      <c r="A1347" s="6" t="s">
        <v>3820</v>
      </c>
      <c r="B1347" s="6" t="s">
        <v>80</v>
      </c>
      <c r="C1347" s="7">
        <v>0.92921190805440168</v>
      </c>
      <c r="D1347" s="7">
        <v>0.93886250416740258</v>
      </c>
      <c r="E1347" s="7">
        <v>0.93023568241916976</v>
      </c>
      <c r="F1347" s="8">
        <v>0.97505697652712109</v>
      </c>
      <c r="G1347" s="8">
        <f t="shared" si="160"/>
        <v>0.93403720611090213</v>
      </c>
      <c r="H1347" s="8">
        <f t="shared" si="161"/>
        <v>0.95264632947314543</v>
      </c>
      <c r="I1347" s="8">
        <f t="shared" si="162"/>
        <v>1.0199233212986525</v>
      </c>
      <c r="J1347" s="22">
        <f t="shared" si="163"/>
        <v>2.8460693235521761E-2</v>
      </c>
      <c r="K1347" s="8"/>
      <c r="L1347" s="8">
        <v>1.0715322990007377</v>
      </c>
      <c r="M1347" s="8">
        <v>1.1520947216317567</v>
      </c>
      <c r="N1347" s="8">
        <v>1.1987192658720263</v>
      </c>
      <c r="O1347" s="8">
        <v>1.1038820256223869</v>
      </c>
      <c r="P1347" s="8">
        <f t="shared" si="164"/>
        <v>1.1118135103162472</v>
      </c>
      <c r="Q1347" s="8">
        <f t="shared" si="165"/>
        <v>1.1513006457472066</v>
      </c>
      <c r="R1347" s="8">
        <f t="shared" si="166"/>
        <v>1.0355159701375887</v>
      </c>
      <c r="S1347" s="22">
        <f t="shared" si="167"/>
        <v>5.0349803544551583E-2</v>
      </c>
      <c r="T1347" s="25"/>
      <c r="U1347" s="1">
        <v>0</v>
      </c>
    </row>
    <row r="1348" spans="1:21">
      <c r="A1348" s="6" t="s">
        <v>3821</v>
      </c>
      <c r="B1348" s="6" t="s">
        <v>80</v>
      </c>
      <c r="C1348" s="7">
        <v>0.90251103708381064</v>
      </c>
      <c r="D1348" s="7">
        <v>1.2565329669278253</v>
      </c>
      <c r="E1348" s="7">
        <v>0.82393922345081794</v>
      </c>
      <c r="F1348" s="8">
        <v>0.95214868151414589</v>
      </c>
      <c r="G1348" s="8">
        <f t="shared" si="160"/>
        <v>1.079522002005818</v>
      </c>
      <c r="H1348" s="8">
        <f t="shared" si="161"/>
        <v>0.88804395248248191</v>
      </c>
      <c r="I1348" s="8">
        <f t="shared" si="162"/>
        <v>0.82262700605679351</v>
      </c>
      <c r="J1348" s="22">
        <f t="shared" si="163"/>
        <v>-0.28168965997507206</v>
      </c>
      <c r="K1348" s="8"/>
      <c r="L1348" s="8">
        <v>0.93585769182596767</v>
      </c>
      <c r="M1348" s="8">
        <v>1.1328777517721027</v>
      </c>
      <c r="N1348" s="8">
        <v>1.5256775223180887</v>
      </c>
      <c r="O1348" s="8">
        <v>1.2102718204107112</v>
      </c>
      <c r="P1348" s="8">
        <f t="shared" si="164"/>
        <v>1.0343677217990352</v>
      </c>
      <c r="Q1348" s="8">
        <f t="shared" si="165"/>
        <v>1.3679746713643999</v>
      </c>
      <c r="R1348" s="8">
        <f t="shared" si="166"/>
        <v>1.3225225831536342</v>
      </c>
      <c r="S1348" s="22">
        <f t="shared" si="167"/>
        <v>0.40329235774616984</v>
      </c>
      <c r="T1348" s="25"/>
      <c r="U1348" s="1">
        <v>0</v>
      </c>
    </row>
    <row r="1349" spans="1:21">
      <c r="A1349" s="6" t="s">
        <v>3822</v>
      </c>
      <c r="B1349" s="6" t="s">
        <v>3823</v>
      </c>
      <c r="C1349" s="7">
        <v>8.5731664071902858E-2</v>
      </c>
      <c r="D1349" s="7">
        <v>8.1035689032667696E-2</v>
      </c>
      <c r="E1349" s="7">
        <v>0.22378994691636475</v>
      </c>
      <c r="F1349" s="8">
        <v>0.22306605550666045</v>
      </c>
      <c r="G1349" s="8">
        <f t="shared" si="160"/>
        <v>8.3383676552285277E-2</v>
      </c>
      <c r="H1349" s="8">
        <f t="shared" si="161"/>
        <v>0.2234280012115126</v>
      </c>
      <c r="I1349" s="8">
        <f t="shared" si="162"/>
        <v>2.6795172682439028</v>
      </c>
      <c r="J1349" s="22">
        <f t="shared" si="163"/>
        <v>1.4219731135784346</v>
      </c>
      <c r="K1349" s="8"/>
      <c r="L1349" s="8">
        <v>0.96573969035954133</v>
      </c>
      <c r="M1349" s="8">
        <v>0.86696238165464645</v>
      </c>
      <c r="N1349" s="8">
        <v>1.0152032317590145</v>
      </c>
      <c r="O1349" s="8">
        <v>1.166018086129071</v>
      </c>
      <c r="P1349" s="8">
        <f t="shared" si="164"/>
        <v>0.91635103600709389</v>
      </c>
      <c r="Q1349" s="8">
        <f t="shared" si="165"/>
        <v>1.0906106589440427</v>
      </c>
      <c r="R1349" s="8">
        <f t="shared" si="166"/>
        <v>1.190166885930819</v>
      </c>
      <c r="S1349" s="22">
        <f t="shared" si="167"/>
        <v>0.25116388330116363</v>
      </c>
      <c r="T1349" s="25"/>
      <c r="U1349" s="1" t="s">
        <v>3824</v>
      </c>
    </row>
    <row r="1350" spans="1:21">
      <c r="A1350" s="6" t="s">
        <v>3825</v>
      </c>
      <c r="B1350" s="6" t="s">
        <v>3826</v>
      </c>
      <c r="C1350" s="7">
        <v>1.2558926097347805</v>
      </c>
      <c r="D1350" s="7">
        <v>0.85683504082725415</v>
      </c>
      <c r="E1350" s="7">
        <v>0.94900738314932542</v>
      </c>
      <c r="F1350" s="8">
        <v>0.81888797873298613</v>
      </c>
      <c r="G1350" s="8">
        <f t="shared" ref="G1350:G1413" si="168">AVERAGE(C1350:D1350)</f>
        <v>1.0563638252810172</v>
      </c>
      <c r="H1350" s="8">
        <f t="shared" ref="H1350:H1413" si="169">AVERAGE(E1350:F1350)</f>
        <v>0.88394768094115572</v>
      </c>
      <c r="I1350" s="8">
        <f t="shared" ref="I1350:I1413" si="170">H1350/G1350</f>
        <v>0.83678336931502284</v>
      </c>
      <c r="J1350" s="22">
        <f t="shared" ref="J1350:J1413" si="171">LOG(I1350,2)</f>
        <v>-0.25707391591862483</v>
      </c>
      <c r="K1350" s="8"/>
      <c r="L1350" s="8">
        <v>0.968581494254665</v>
      </c>
      <c r="M1350" s="8">
        <v>0.94246704355173139</v>
      </c>
      <c r="N1350" s="8">
        <v>1.107176699416488</v>
      </c>
      <c r="O1350" s="8">
        <v>0.62075783002554863</v>
      </c>
      <c r="P1350" s="8">
        <f t="shared" ref="P1350:P1413" si="172">AVERAGE(L1350:M1350)</f>
        <v>0.95552426890319819</v>
      </c>
      <c r="Q1350" s="8">
        <f t="shared" ref="Q1350:Q1413" si="173">AVERAGE(N1350:O1350)</f>
        <v>0.86396726472101837</v>
      </c>
      <c r="R1350" s="8">
        <f t="shared" ref="R1350:R1413" si="174">Q1350/P1350</f>
        <v>0.90418139322900315</v>
      </c>
      <c r="S1350" s="22">
        <f t="shared" ref="S1350:S1413" si="175">LOG(R1350,2)</f>
        <v>-0.14531586554328377</v>
      </c>
      <c r="T1350" s="25"/>
      <c r="U1350" s="1" t="s">
        <v>3827</v>
      </c>
    </row>
    <row r="1351" spans="1:21">
      <c r="A1351" s="6" t="s">
        <v>3828</v>
      </c>
      <c r="B1351" s="6" t="s">
        <v>3829</v>
      </c>
      <c r="C1351" s="7">
        <v>0.42419692609471127</v>
      </c>
      <c r="D1351" s="7">
        <v>0.34437108794753551</v>
      </c>
      <c r="E1351" s="7">
        <v>0.77721440168687683</v>
      </c>
      <c r="F1351" s="8">
        <v>0.92729165230882205</v>
      </c>
      <c r="G1351" s="8">
        <f t="shared" si="168"/>
        <v>0.38428400702112342</v>
      </c>
      <c r="H1351" s="8">
        <f t="shared" si="169"/>
        <v>0.85225302699784944</v>
      </c>
      <c r="I1351" s="8">
        <f t="shared" si="170"/>
        <v>2.2177686591859715</v>
      </c>
      <c r="J1351" s="22">
        <f t="shared" si="171"/>
        <v>1.1491088823382589</v>
      </c>
      <c r="K1351" s="8"/>
      <c r="L1351" s="8">
        <v>0.71505814070181029</v>
      </c>
      <c r="M1351" s="8">
        <v>0.87404231791872955</v>
      </c>
      <c r="N1351" s="8">
        <v>1.0025634631689193</v>
      </c>
      <c r="O1351" s="8">
        <v>0.48829801470127515</v>
      </c>
      <c r="P1351" s="8">
        <f t="shared" si="172"/>
        <v>0.79455022931026997</v>
      </c>
      <c r="Q1351" s="8">
        <f t="shared" si="173"/>
        <v>0.74543073893509726</v>
      </c>
      <c r="R1351" s="8">
        <f t="shared" si="174"/>
        <v>0.93817950261267669</v>
      </c>
      <c r="S1351" s="22">
        <f t="shared" si="175"/>
        <v>-9.2064113774294853E-2</v>
      </c>
      <c r="T1351" s="25"/>
      <c r="U1351" s="1" t="s">
        <v>3830</v>
      </c>
    </row>
    <row r="1352" spans="1:21">
      <c r="A1352" s="6" t="s">
        <v>3831</v>
      </c>
      <c r="B1352" s="6" t="s">
        <v>3832</v>
      </c>
      <c r="C1352" s="7">
        <v>0.96310095586616551</v>
      </c>
      <c r="D1352" s="7">
        <v>0.84834055828461019</v>
      </c>
      <c r="E1352" s="7">
        <v>0.71976596792768055</v>
      </c>
      <c r="F1352" s="8">
        <v>0.86664619078269989</v>
      </c>
      <c r="G1352" s="8">
        <f t="shared" si="168"/>
        <v>0.90572075707538779</v>
      </c>
      <c r="H1352" s="8">
        <f t="shared" si="169"/>
        <v>0.79320607935519027</v>
      </c>
      <c r="I1352" s="8">
        <f t="shared" si="170"/>
        <v>0.87577332545241382</v>
      </c>
      <c r="J1352" s="22">
        <f t="shared" si="171"/>
        <v>-0.1913705864345252</v>
      </c>
      <c r="K1352" s="8"/>
      <c r="L1352" s="8">
        <v>0.9817140728609185</v>
      </c>
      <c r="M1352" s="8">
        <v>1.2329643041761591</v>
      </c>
      <c r="N1352" s="8">
        <v>1.3259308762655229</v>
      </c>
      <c r="O1352" s="8">
        <v>0.87367219110166427</v>
      </c>
      <c r="P1352" s="8">
        <f t="shared" si="172"/>
        <v>1.1073391885185389</v>
      </c>
      <c r="Q1352" s="8">
        <f t="shared" si="173"/>
        <v>1.0998015336835936</v>
      </c>
      <c r="R1352" s="8">
        <f t="shared" si="174"/>
        <v>0.99319300272843269</v>
      </c>
      <c r="S1352" s="22">
        <f t="shared" si="175"/>
        <v>-9.8539974529049199E-3</v>
      </c>
      <c r="T1352" s="25"/>
      <c r="U1352" s="1" t="s">
        <v>3833</v>
      </c>
    </row>
    <row r="1353" spans="1:21">
      <c r="A1353" s="6" t="s">
        <v>3834</v>
      </c>
      <c r="B1353" s="6" t="s">
        <v>3835</v>
      </c>
      <c r="C1353" s="7">
        <v>0.66936437734237308</v>
      </c>
      <c r="D1353" s="7">
        <v>0.61728934510611388</v>
      </c>
      <c r="E1353" s="7">
        <v>0.88537583665440345</v>
      </c>
      <c r="F1353" s="8">
        <v>0.87099172578826589</v>
      </c>
      <c r="G1353" s="8">
        <f t="shared" si="168"/>
        <v>0.64332686122424354</v>
      </c>
      <c r="H1353" s="8">
        <f t="shared" si="169"/>
        <v>0.87818378122133467</v>
      </c>
      <c r="I1353" s="8">
        <f t="shared" si="170"/>
        <v>1.3650662426098004</v>
      </c>
      <c r="J1353" s="22">
        <f t="shared" si="171"/>
        <v>0.44897096254864738</v>
      </c>
      <c r="K1353" s="8"/>
      <c r="L1353" s="8">
        <v>1.1421468200310845</v>
      </c>
      <c r="M1353" s="8">
        <v>1.1417606531717597</v>
      </c>
      <c r="N1353" s="8">
        <v>1.1993895566305919</v>
      </c>
      <c r="O1353" s="8">
        <v>1.4458563990496351</v>
      </c>
      <c r="P1353" s="8">
        <f t="shared" si="172"/>
        <v>1.1419537366014221</v>
      </c>
      <c r="Q1353" s="8">
        <f t="shared" si="173"/>
        <v>1.3226229778401135</v>
      </c>
      <c r="R1353" s="8">
        <f t="shared" si="174"/>
        <v>1.1582106485122441</v>
      </c>
      <c r="S1353" s="22">
        <f t="shared" si="175"/>
        <v>0.21189766604424698</v>
      </c>
      <c r="T1353" s="25"/>
      <c r="U1353" s="1" t="s">
        <v>3836</v>
      </c>
    </row>
    <row r="1354" spans="1:21">
      <c r="A1354" s="6" t="s">
        <v>3837</v>
      </c>
      <c r="B1354" s="9" t="s">
        <v>3838</v>
      </c>
      <c r="C1354" s="10">
        <v>0.9733668872984883</v>
      </c>
      <c r="D1354" s="10">
        <v>0.84063820716936977</v>
      </c>
      <c r="E1354" s="10">
        <v>0.75735958028027728</v>
      </c>
      <c r="F1354" s="8">
        <v>0.82176129484141269</v>
      </c>
      <c r="G1354" s="8">
        <f t="shared" si="168"/>
        <v>0.90700254723392904</v>
      </c>
      <c r="H1354" s="8">
        <f t="shared" si="169"/>
        <v>0.78956043756084493</v>
      </c>
      <c r="I1354" s="8">
        <f t="shared" si="170"/>
        <v>0.87051622949544583</v>
      </c>
      <c r="J1354" s="22">
        <f t="shared" si="171"/>
        <v>-0.20005689983197081</v>
      </c>
      <c r="K1354" s="8"/>
      <c r="L1354" s="8">
        <v>1.2370889047090812</v>
      </c>
      <c r="M1354" s="8">
        <v>1.1006442531287925</v>
      </c>
      <c r="N1354" s="8">
        <v>1.4724851628347713</v>
      </c>
      <c r="O1354" s="8">
        <v>1.1714430615007136</v>
      </c>
      <c r="P1354" s="8">
        <f t="shared" si="172"/>
        <v>1.1688665789189367</v>
      </c>
      <c r="Q1354" s="8">
        <f t="shared" si="173"/>
        <v>1.3219641121677426</v>
      </c>
      <c r="R1354" s="8">
        <f t="shared" si="174"/>
        <v>1.130979477050668</v>
      </c>
      <c r="S1354" s="22">
        <f t="shared" si="175"/>
        <v>0.17757275017135571</v>
      </c>
      <c r="T1354" s="25"/>
      <c r="U1354" s="1" t="s">
        <v>3839</v>
      </c>
    </row>
    <row r="1355" spans="1:21">
      <c r="A1355" s="6" t="s">
        <v>3840</v>
      </c>
      <c r="B1355" s="6" t="s">
        <v>3841</v>
      </c>
      <c r="C1355" s="7">
        <v>0.95730991762229112</v>
      </c>
      <c r="D1355" s="7">
        <v>0.89337612797430621</v>
      </c>
      <c r="E1355" s="7">
        <v>0.83205186904722839</v>
      </c>
      <c r="F1355" s="8">
        <v>0.74652877554701613</v>
      </c>
      <c r="G1355" s="8">
        <f t="shared" si="168"/>
        <v>0.92534302279829861</v>
      </c>
      <c r="H1355" s="8">
        <f t="shared" si="169"/>
        <v>0.78929032229712226</v>
      </c>
      <c r="I1355" s="8">
        <f t="shared" si="170"/>
        <v>0.85297052320149991</v>
      </c>
      <c r="J1355" s="22">
        <f t="shared" si="171"/>
        <v>-0.22943220887229893</v>
      </c>
      <c r="K1355" s="8"/>
      <c r="L1355" s="8">
        <v>0.74511236977448225</v>
      </c>
      <c r="M1355" s="8">
        <v>1.0235125251337507</v>
      </c>
      <c r="N1355" s="8">
        <v>1.3096045085033166</v>
      </c>
      <c r="O1355" s="8">
        <v>0.8713113221899309</v>
      </c>
      <c r="P1355" s="8">
        <f t="shared" si="172"/>
        <v>0.88431244745411641</v>
      </c>
      <c r="Q1355" s="8">
        <f t="shared" si="173"/>
        <v>1.0904579153466236</v>
      </c>
      <c r="R1355" s="8">
        <f t="shared" si="174"/>
        <v>1.2331138371804986</v>
      </c>
      <c r="S1355" s="22">
        <f t="shared" si="175"/>
        <v>0.30230599094499794</v>
      </c>
      <c r="T1355" s="25"/>
      <c r="U1355" s="1" t="s">
        <v>3842</v>
      </c>
    </row>
    <row r="1356" spans="1:21">
      <c r="A1356" s="6" t="s">
        <v>3843</v>
      </c>
      <c r="B1356" s="6" t="s">
        <v>3844</v>
      </c>
      <c r="C1356" s="7">
        <v>0.95392168778729702</v>
      </c>
      <c r="D1356" s="7">
        <v>0.91704346940282511</v>
      </c>
      <c r="E1356" s="7">
        <v>0.9514175059790283</v>
      </c>
      <c r="F1356" s="8">
        <v>0.81141308954992586</v>
      </c>
      <c r="G1356" s="8">
        <f t="shared" si="168"/>
        <v>0.93548257859506112</v>
      </c>
      <c r="H1356" s="8">
        <f t="shared" si="169"/>
        <v>0.88141529776447713</v>
      </c>
      <c r="I1356" s="8">
        <f t="shared" si="170"/>
        <v>0.9422038613356285</v>
      </c>
      <c r="J1356" s="22">
        <f t="shared" si="171"/>
        <v>-8.5888850423082586E-2</v>
      </c>
      <c r="K1356" s="8"/>
      <c r="L1356" s="8">
        <v>0.98231687974776294</v>
      </c>
      <c r="M1356" s="8">
        <v>1.19980733558536</v>
      </c>
      <c r="N1356" s="8">
        <v>1.3598284374844147</v>
      </c>
      <c r="O1356" s="8">
        <v>0.92269789446021222</v>
      </c>
      <c r="P1356" s="8">
        <f t="shared" si="172"/>
        <v>1.0910621076665614</v>
      </c>
      <c r="Q1356" s="8">
        <f t="shared" si="173"/>
        <v>1.1412631659723136</v>
      </c>
      <c r="R1356" s="8">
        <f t="shared" si="174"/>
        <v>1.046011183005078</v>
      </c>
      <c r="S1356" s="22">
        <f t="shared" si="175"/>
        <v>6.4898275657248872E-2</v>
      </c>
      <c r="T1356" s="25"/>
      <c r="U1356" s="1" t="s">
        <v>3845</v>
      </c>
    </row>
    <row r="1357" spans="1:21">
      <c r="A1357" s="6" t="s">
        <v>3846</v>
      </c>
      <c r="B1357" s="6" t="s">
        <v>3847</v>
      </c>
      <c r="C1357" s="7">
        <v>1.0290364484120968</v>
      </c>
      <c r="D1357" s="7">
        <v>0.85377599669703741</v>
      </c>
      <c r="E1357" s="7">
        <v>0.85782440275890182</v>
      </c>
      <c r="F1357" s="8">
        <v>0.86769879173331166</v>
      </c>
      <c r="G1357" s="8">
        <f t="shared" si="168"/>
        <v>0.94140622255456718</v>
      </c>
      <c r="H1357" s="8">
        <f t="shared" si="169"/>
        <v>0.86276159724610668</v>
      </c>
      <c r="I1357" s="8">
        <f t="shared" si="170"/>
        <v>0.91646047856465918</v>
      </c>
      <c r="J1357" s="22">
        <f t="shared" si="171"/>
        <v>-0.12585542755173312</v>
      </c>
      <c r="K1357" s="8"/>
      <c r="L1357" s="8">
        <v>0.84737425236416131</v>
      </c>
      <c r="M1357" s="8">
        <v>1.088375295255009</v>
      </c>
      <c r="N1357" s="8">
        <v>1.0363652685651588</v>
      </c>
      <c r="O1357" s="8">
        <v>0.93842027678728757</v>
      </c>
      <c r="P1357" s="8">
        <f t="shared" si="172"/>
        <v>0.9678747738095852</v>
      </c>
      <c r="Q1357" s="8">
        <f t="shared" si="173"/>
        <v>0.98739277267622316</v>
      </c>
      <c r="R1357" s="8">
        <f t="shared" si="174"/>
        <v>1.0201658307404939</v>
      </c>
      <c r="S1357" s="22">
        <f t="shared" si="175"/>
        <v>2.8803685276248655E-2</v>
      </c>
      <c r="T1357" s="25"/>
      <c r="U1357" s="1" t="s">
        <v>3848</v>
      </c>
    </row>
    <row r="1358" spans="1:21">
      <c r="A1358" s="6" t="s">
        <v>3849</v>
      </c>
      <c r="B1358" s="6" t="s">
        <v>3850</v>
      </c>
      <c r="C1358" s="7">
        <v>0.92903642204701153</v>
      </c>
      <c r="D1358" s="7">
        <v>0.90324235030586841</v>
      </c>
      <c r="E1358" s="7">
        <v>0.83345060104660951</v>
      </c>
      <c r="F1358" s="8">
        <v>0.76200485438844234</v>
      </c>
      <c r="G1358" s="8">
        <f t="shared" si="168"/>
        <v>0.91613938617643997</v>
      </c>
      <c r="H1358" s="8">
        <f t="shared" si="169"/>
        <v>0.79772772771752587</v>
      </c>
      <c r="I1358" s="8">
        <f t="shared" si="170"/>
        <v>0.87074929836483517</v>
      </c>
      <c r="J1358" s="22">
        <f t="shared" si="171"/>
        <v>-0.19967068957433728</v>
      </c>
      <c r="K1358" s="8"/>
      <c r="L1358" s="8">
        <v>0.76771762803114818</v>
      </c>
      <c r="M1358" s="8">
        <v>1.123159329943765</v>
      </c>
      <c r="N1358" s="8">
        <v>0.94443967881901147</v>
      </c>
      <c r="O1358" s="8">
        <v>0.77089904656110175</v>
      </c>
      <c r="P1358" s="8">
        <f t="shared" si="172"/>
        <v>0.94543847898745659</v>
      </c>
      <c r="Q1358" s="8">
        <f t="shared" si="173"/>
        <v>0.85766936269005667</v>
      </c>
      <c r="R1358" s="8">
        <f t="shared" si="174"/>
        <v>0.90716570327093238</v>
      </c>
      <c r="S1358" s="22">
        <f t="shared" si="175"/>
        <v>-0.14056199677681874</v>
      </c>
      <c r="T1358" s="25"/>
      <c r="U1358" s="1" t="s">
        <v>3851</v>
      </c>
    </row>
    <row r="1359" spans="1:21">
      <c r="A1359" s="6" t="s">
        <v>3852</v>
      </c>
      <c r="B1359" s="6" t="s">
        <v>3853</v>
      </c>
      <c r="C1359" s="7">
        <v>1.0882832242917349</v>
      </c>
      <c r="D1359" s="7">
        <v>1.0147525589684006</v>
      </c>
      <c r="E1359" s="7">
        <v>1.2342841541615612</v>
      </c>
      <c r="F1359" s="8">
        <v>1.1884433705893049</v>
      </c>
      <c r="G1359" s="8">
        <f t="shared" si="168"/>
        <v>1.0515178916300676</v>
      </c>
      <c r="H1359" s="8">
        <f t="shared" si="169"/>
        <v>1.211363762375433</v>
      </c>
      <c r="I1359" s="8">
        <f t="shared" si="170"/>
        <v>1.1520144089013755</v>
      </c>
      <c r="J1359" s="22">
        <f t="shared" si="171"/>
        <v>0.20415876150293114</v>
      </c>
      <c r="K1359" s="8"/>
      <c r="L1359" s="8">
        <v>1.0540508992822493</v>
      </c>
      <c r="M1359" s="8">
        <v>0.97742697727810435</v>
      </c>
      <c r="N1359" s="8">
        <v>1.0127614582813824</v>
      </c>
      <c r="O1359" s="8">
        <v>0.57539900816820355</v>
      </c>
      <c r="P1359" s="8">
        <f t="shared" si="172"/>
        <v>1.0157389382801769</v>
      </c>
      <c r="Q1359" s="8">
        <f t="shared" si="173"/>
        <v>0.79408023322479293</v>
      </c>
      <c r="R1359" s="8">
        <f t="shared" si="174"/>
        <v>0.78177591042173611</v>
      </c>
      <c r="S1359" s="22">
        <f t="shared" si="175"/>
        <v>-0.35517296466095827</v>
      </c>
      <c r="T1359" s="25"/>
      <c r="U1359" s="1" t="s">
        <v>3854</v>
      </c>
    </row>
    <row r="1360" spans="1:21">
      <c r="A1360" s="6" t="s">
        <v>3855</v>
      </c>
      <c r="B1360" s="6" t="s">
        <v>3856</v>
      </c>
      <c r="C1360" s="7">
        <v>0.90431989285229353</v>
      </c>
      <c r="D1360" s="7">
        <v>0.90080799518750643</v>
      </c>
      <c r="E1360" s="7">
        <v>0.95297404363987803</v>
      </c>
      <c r="F1360" s="8">
        <v>0.9508827155059778</v>
      </c>
      <c r="G1360" s="8">
        <f t="shared" si="168"/>
        <v>0.90256394401990003</v>
      </c>
      <c r="H1360" s="8">
        <f t="shared" si="169"/>
        <v>0.95192837957292786</v>
      </c>
      <c r="I1360" s="8">
        <f t="shared" si="170"/>
        <v>1.0546935603622334</v>
      </c>
      <c r="J1360" s="22">
        <f t="shared" si="171"/>
        <v>7.6823886927614576E-2</v>
      </c>
      <c r="K1360" s="8"/>
      <c r="L1360" s="8">
        <v>1.1475720820126842</v>
      </c>
      <c r="M1360" s="8">
        <v>1.2192441792420354</v>
      </c>
      <c r="N1360" s="8">
        <v>1.3217654979801505</v>
      </c>
      <c r="O1360" s="8">
        <v>0.9865920488373362</v>
      </c>
      <c r="P1360" s="8">
        <f t="shared" si="172"/>
        <v>1.1834081306273598</v>
      </c>
      <c r="Q1360" s="8">
        <f t="shared" si="173"/>
        <v>1.1541787734087434</v>
      </c>
      <c r="R1360" s="8">
        <f t="shared" si="174"/>
        <v>0.97530069596266755</v>
      </c>
      <c r="S1360" s="22">
        <f t="shared" si="175"/>
        <v>-3.6081008648005161E-2</v>
      </c>
      <c r="T1360" s="25"/>
      <c r="U1360" s="1" t="s">
        <v>3857</v>
      </c>
    </row>
    <row r="1361" spans="1:21">
      <c r="A1361" s="6" t="s">
        <v>3858</v>
      </c>
      <c r="B1361" s="13" t="s">
        <v>3859</v>
      </c>
      <c r="C1361" s="14">
        <v>0.30405650565069692</v>
      </c>
      <c r="D1361" s="14">
        <v>0.33596032661266595</v>
      </c>
      <c r="E1361" s="14">
        <v>1.1278298895317407</v>
      </c>
      <c r="F1361" s="8">
        <v>1.1153089410275465</v>
      </c>
      <c r="G1361" s="8">
        <f t="shared" si="168"/>
        <v>0.32000841613168141</v>
      </c>
      <c r="H1361" s="8">
        <f t="shared" si="169"/>
        <v>1.1215694152796436</v>
      </c>
      <c r="I1361" s="8">
        <f t="shared" si="170"/>
        <v>3.504812244744604</v>
      </c>
      <c r="J1361" s="22">
        <f t="shared" si="171"/>
        <v>1.8093371601185875</v>
      </c>
      <c r="K1361" s="8"/>
      <c r="L1361" s="8">
        <v>0.8766534440108904</v>
      </c>
      <c r="M1361" s="8">
        <v>1.1629125124452004</v>
      </c>
      <c r="N1361" s="8">
        <v>1.2217006633085632</v>
      </c>
      <c r="O1361" s="8">
        <v>0.98332701736366246</v>
      </c>
      <c r="P1361" s="8">
        <f t="shared" si="172"/>
        <v>1.0197829782280454</v>
      </c>
      <c r="Q1361" s="8">
        <f t="shared" si="173"/>
        <v>1.1025138403361128</v>
      </c>
      <c r="R1361" s="8">
        <f t="shared" si="174"/>
        <v>1.0811259492209007</v>
      </c>
      <c r="S1361" s="22">
        <f t="shared" si="175"/>
        <v>0.11253460423052557</v>
      </c>
      <c r="T1361" s="25"/>
      <c r="U1361" s="1" t="s">
        <v>3860</v>
      </c>
    </row>
    <row r="1362" spans="1:21">
      <c r="A1362" s="6" t="s">
        <v>3861</v>
      </c>
      <c r="B1362" s="9" t="s">
        <v>3862</v>
      </c>
      <c r="C1362" s="10">
        <v>0.9658952330607623</v>
      </c>
      <c r="D1362" s="10">
        <v>0.99173566692335924</v>
      </c>
      <c r="E1362" s="10">
        <v>0.97380439095373816</v>
      </c>
      <c r="F1362" s="8">
        <v>0.94559126207857835</v>
      </c>
      <c r="G1362" s="8">
        <f t="shared" si="168"/>
        <v>0.97881544999206072</v>
      </c>
      <c r="H1362" s="8">
        <f t="shared" si="169"/>
        <v>0.9596978265161582</v>
      </c>
      <c r="I1362" s="8">
        <f t="shared" si="170"/>
        <v>0.98046861287686293</v>
      </c>
      <c r="J1362" s="22">
        <f t="shared" si="171"/>
        <v>-2.8456647816886258E-2</v>
      </c>
      <c r="K1362" s="8"/>
      <c r="L1362" s="8">
        <v>1.0351916552509739</v>
      </c>
      <c r="M1362" s="8">
        <v>1.0440927125349364</v>
      </c>
      <c r="N1362" s="8">
        <v>1.2535394743404318</v>
      </c>
      <c r="O1362" s="8">
        <v>1.2033901386892756</v>
      </c>
      <c r="P1362" s="8">
        <f t="shared" si="172"/>
        <v>1.0396421838929553</v>
      </c>
      <c r="Q1362" s="8">
        <f t="shared" si="173"/>
        <v>1.2284648065148538</v>
      </c>
      <c r="R1362" s="8">
        <f t="shared" si="174"/>
        <v>1.181622702067407</v>
      </c>
      <c r="S1362" s="22">
        <f t="shared" si="175"/>
        <v>0.24076944943253406</v>
      </c>
      <c r="T1362" s="25"/>
      <c r="U1362" s="1" t="s">
        <v>3863</v>
      </c>
    </row>
    <row r="1363" spans="1:21">
      <c r="A1363" s="6" t="s">
        <v>3864</v>
      </c>
      <c r="B1363" s="6" t="s">
        <v>3865</v>
      </c>
      <c r="C1363" s="7">
        <v>0.74153637261247674</v>
      </c>
      <c r="D1363" s="7">
        <v>0.73653410534841501</v>
      </c>
      <c r="E1363" s="7">
        <v>0.9418343985371147</v>
      </c>
      <c r="F1363" s="8">
        <v>0.93682907038159435</v>
      </c>
      <c r="G1363" s="8">
        <f t="shared" si="168"/>
        <v>0.73903523898044587</v>
      </c>
      <c r="H1363" s="8">
        <f t="shared" si="169"/>
        <v>0.93933173445935458</v>
      </c>
      <c r="I1363" s="8">
        <f t="shared" si="170"/>
        <v>1.2710242826245102</v>
      </c>
      <c r="J1363" s="22">
        <f t="shared" si="171"/>
        <v>0.34599159296074383</v>
      </c>
      <c r="K1363" s="8"/>
      <c r="L1363" s="8">
        <v>1.1347409068498528</v>
      </c>
      <c r="M1363" s="8">
        <v>1.0437848892191066</v>
      </c>
      <c r="N1363" s="8">
        <v>1.2543533988329758</v>
      </c>
      <c r="O1363" s="8">
        <v>1.3242967657220881</v>
      </c>
      <c r="P1363" s="8">
        <f t="shared" si="172"/>
        <v>1.0892628980344798</v>
      </c>
      <c r="Q1363" s="8">
        <f t="shared" si="173"/>
        <v>1.289325082277532</v>
      </c>
      <c r="R1363" s="8">
        <f t="shared" si="174"/>
        <v>1.1836674916625309</v>
      </c>
      <c r="S1363" s="22">
        <f t="shared" si="175"/>
        <v>0.24326386517168561</v>
      </c>
      <c r="T1363" s="25"/>
      <c r="U1363" s="1" t="s">
        <v>3866</v>
      </c>
    </row>
    <row r="1364" spans="1:21">
      <c r="A1364" s="6" t="s">
        <v>3867</v>
      </c>
      <c r="B1364" s="13" t="s">
        <v>3868</v>
      </c>
      <c r="C1364" s="14">
        <v>0.16015797959078751</v>
      </c>
      <c r="D1364" s="14">
        <v>0.18577091995838294</v>
      </c>
      <c r="E1364" s="14">
        <v>0.24608358309111591</v>
      </c>
      <c r="F1364" s="8">
        <v>0.26022713636440503</v>
      </c>
      <c r="G1364" s="8">
        <f t="shared" si="168"/>
        <v>0.17296444977458522</v>
      </c>
      <c r="H1364" s="8">
        <f t="shared" si="169"/>
        <v>0.25315535972776049</v>
      </c>
      <c r="I1364" s="8">
        <f t="shared" si="170"/>
        <v>1.4636265432444848</v>
      </c>
      <c r="J1364" s="22">
        <f t="shared" si="171"/>
        <v>0.54954748467317915</v>
      </c>
      <c r="K1364" s="8"/>
      <c r="L1364" s="8">
        <v>1.0709725497486677</v>
      </c>
      <c r="M1364" s="8">
        <v>1.1423323250440147</v>
      </c>
      <c r="N1364" s="8">
        <v>1.1597466460525658</v>
      </c>
      <c r="O1364" s="8">
        <v>0.70213246060018764</v>
      </c>
      <c r="P1364" s="8">
        <f t="shared" si="172"/>
        <v>1.1066524373963413</v>
      </c>
      <c r="Q1364" s="8">
        <f t="shared" si="173"/>
        <v>0.93093955332637668</v>
      </c>
      <c r="R1364" s="8">
        <f t="shared" si="174"/>
        <v>0.84122125598587183</v>
      </c>
      <c r="S1364" s="22">
        <f t="shared" si="175"/>
        <v>-0.24944279032650263</v>
      </c>
      <c r="T1364" s="25"/>
      <c r="U1364" s="1" t="s">
        <v>3869</v>
      </c>
    </row>
    <row r="1365" spans="1:21">
      <c r="A1365" s="6" t="s">
        <v>3870</v>
      </c>
      <c r="B1365" s="6" t="s">
        <v>3871</v>
      </c>
      <c r="C1365" s="7">
        <v>0.94380424451507361</v>
      </c>
      <c r="D1365" s="7">
        <v>0.91071929816940866</v>
      </c>
      <c r="E1365" s="7">
        <v>0.91736734802486364</v>
      </c>
      <c r="F1365" s="8">
        <v>0.97918203430654538</v>
      </c>
      <c r="G1365" s="8">
        <f t="shared" si="168"/>
        <v>0.92726177134224108</v>
      </c>
      <c r="H1365" s="8">
        <f t="shared" si="169"/>
        <v>0.94827469116570451</v>
      </c>
      <c r="I1365" s="8">
        <f t="shared" si="170"/>
        <v>1.0226612597142299</v>
      </c>
      <c r="J1365" s="22">
        <f t="shared" si="171"/>
        <v>3.232835441034717E-2</v>
      </c>
      <c r="K1365" s="8"/>
      <c r="L1365" s="8">
        <v>0.94205799123351042</v>
      </c>
      <c r="M1365" s="8">
        <v>0.92382174556433239</v>
      </c>
      <c r="N1365" s="8">
        <v>0.82038801057303867</v>
      </c>
      <c r="O1365" s="8">
        <v>0.89949105537040774</v>
      </c>
      <c r="P1365" s="8">
        <f t="shared" si="172"/>
        <v>0.9329398683989214</v>
      </c>
      <c r="Q1365" s="8">
        <f t="shared" si="173"/>
        <v>0.85993953297172321</v>
      </c>
      <c r="R1365" s="8">
        <f t="shared" si="174"/>
        <v>0.92175236807868566</v>
      </c>
      <c r="S1365" s="22">
        <f t="shared" si="175"/>
        <v>-0.11754887712835854</v>
      </c>
      <c r="T1365" s="25"/>
      <c r="U1365" s="1" t="s">
        <v>3872</v>
      </c>
    </row>
    <row r="1366" spans="1:21">
      <c r="A1366" s="6" t="s">
        <v>3873</v>
      </c>
      <c r="B1366" s="6" t="s">
        <v>3874</v>
      </c>
      <c r="C1366" s="7">
        <v>0.92298215479205203</v>
      </c>
      <c r="D1366" s="7">
        <v>0.9393841516927659</v>
      </c>
      <c r="E1366" s="7">
        <v>0.89781379197197697</v>
      </c>
      <c r="F1366" s="8">
        <v>0.97184938849518943</v>
      </c>
      <c r="G1366" s="8">
        <f t="shared" si="168"/>
        <v>0.93118315324240897</v>
      </c>
      <c r="H1366" s="8">
        <f t="shared" si="169"/>
        <v>0.9348315902335832</v>
      </c>
      <c r="I1366" s="8">
        <f t="shared" si="170"/>
        <v>1.0039180659341509</v>
      </c>
      <c r="J1366" s="22">
        <f t="shared" si="171"/>
        <v>5.6415295536315756E-3</v>
      </c>
      <c r="K1366" s="8"/>
      <c r="L1366" s="8">
        <v>1.1330616590936435</v>
      </c>
      <c r="M1366" s="8">
        <v>1.0506889264455728</v>
      </c>
      <c r="N1366" s="8">
        <v>1.1182843748441473</v>
      </c>
      <c r="O1366" s="8">
        <v>0.92194442565859525</v>
      </c>
      <c r="P1366" s="8">
        <f t="shared" si="172"/>
        <v>1.091875292769608</v>
      </c>
      <c r="Q1366" s="8">
        <f t="shared" si="173"/>
        <v>1.0201144002513713</v>
      </c>
      <c r="R1366" s="8">
        <f t="shared" si="174"/>
        <v>0.93427739138944077</v>
      </c>
      <c r="S1366" s="22">
        <f t="shared" si="175"/>
        <v>-9.8077138349940307E-2</v>
      </c>
      <c r="T1366" s="25"/>
      <c r="U1366" s="1" t="s">
        <v>3875</v>
      </c>
    </row>
    <row r="1367" spans="1:21">
      <c r="A1367" s="6" t="s">
        <v>3876</v>
      </c>
      <c r="B1367" s="6" t="s">
        <v>3877</v>
      </c>
      <c r="C1367" s="7">
        <v>0.90521082181288959</v>
      </c>
      <c r="D1367" s="7">
        <v>0.90540622152219008</v>
      </c>
      <c r="E1367" s="7">
        <v>0.83471304633835863</v>
      </c>
      <c r="F1367" s="8">
        <v>0.85052290460001923</v>
      </c>
      <c r="G1367" s="8">
        <f t="shared" si="168"/>
        <v>0.90530852166753983</v>
      </c>
      <c r="H1367" s="8">
        <f t="shared" si="169"/>
        <v>0.84261797546918893</v>
      </c>
      <c r="I1367" s="8">
        <f t="shared" si="170"/>
        <v>0.93075228532823528</v>
      </c>
      <c r="J1367" s="22">
        <f t="shared" si="171"/>
        <v>-0.10353084147625873</v>
      </c>
      <c r="K1367" s="8"/>
      <c r="L1367" s="8">
        <v>0.80677090277171182</v>
      </c>
      <c r="M1367" s="8">
        <v>1.0739515741704173</v>
      </c>
      <c r="N1367" s="8">
        <v>1.1699446411650292</v>
      </c>
      <c r="O1367" s="8">
        <v>0.80807017410754178</v>
      </c>
      <c r="P1367" s="8">
        <f t="shared" si="172"/>
        <v>0.94036123847106456</v>
      </c>
      <c r="Q1367" s="8">
        <f t="shared" si="173"/>
        <v>0.98900740763628547</v>
      </c>
      <c r="R1367" s="8">
        <f t="shared" si="174"/>
        <v>1.0517313636239567</v>
      </c>
      <c r="S1367" s="22">
        <f t="shared" si="175"/>
        <v>7.2766254193692884E-2</v>
      </c>
      <c r="T1367" s="25"/>
      <c r="U1367" s="1" t="s">
        <v>3878</v>
      </c>
    </row>
    <row r="1368" spans="1:21">
      <c r="A1368" s="6" t="s">
        <v>3879</v>
      </c>
      <c r="B1368" s="6" t="s">
        <v>3880</v>
      </c>
      <c r="C1368" s="7">
        <v>0.92929965105809675</v>
      </c>
      <c r="D1368" s="7">
        <v>0.92533186897248609</v>
      </c>
      <c r="E1368" s="7">
        <v>0.99213853962254905</v>
      </c>
      <c r="F1368" s="8">
        <v>0.91245566864006511</v>
      </c>
      <c r="G1368" s="8">
        <f t="shared" si="168"/>
        <v>0.92731576001529148</v>
      </c>
      <c r="H1368" s="8">
        <f t="shared" si="169"/>
        <v>0.95229710413130708</v>
      </c>
      <c r="I1368" s="8">
        <f t="shared" si="170"/>
        <v>1.0269394150225633</v>
      </c>
      <c r="J1368" s="22">
        <f t="shared" si="171"/>
        <v>3.8351071408077912E-2</v>
      </c>
      <c r="K1368" s="8"/>
      <c r="L1368" s="8">
        <v>1.0304553154257676</v>
      </c>
      <c r="M1368" s="8">
        <v>0.98059315995520979</v>
      </c>
      <c r="N1368" s="8">
        <v>0.94448755673033757</v>
      </c>
      <c r="O1368" s="8">
        <v>0.83680245107587103</v>
      </c>
      <c r="P1368" s="8">
        <f t="shared" si="172"/>
        <v>1.0055242376904887</v>
      </c>
      <c r="Q1368" s="8">
        <f t="shared" si="173"/>
        <v>0.8906450039031043</v>
      </c>
      <c r="R1368" s="8">
        <f t="shared" si="174"/>
        <v>0.88575189987340164</v>
      </c>
      <c r="S1368" s="22">
        <f t="shared" si="175"/>
        <v>-0.17502544006452406</v>
      </c>
      <c r="T1368" s="25"/>
      <c r="U1368" s="1" t="s">
        <v>3881</v>
      </c>
    </row>
    <row r="1369" spans="1:21">
      <c r="A1369" s="6" t="s">
        <v>3882</v>
      </c>
      <c r="B1369" s="6" t="s">
        <v>3883</v>
      </c>
      <c r="C1369" s="7">
        <v>0.94877184841657891</v>
      </c>
      <c r="D1369" s="7">
        <v>0.95986364713295369</v>
      </c>
      <c r="E1369" s="7">
        <v>1.017588289026673</v>
      </c>
      <c r="F1369" s="8">
        <v>0.96364194594785224</v>
      </c>
      <c r="G1369" s="8">
        <f t="shared" si="168"/>
        <v>0.9543177477747663</v>
      </c>
      <c r="H1369" s="8">
        <f t="shared" si="169"/>
        <v>0.99061511748726261</v>
      </c>
      <c r="I1369" s="8">
        <f t="shared" si="170"/>
        <v>1.0380348891101867</v>
      </c>
      <c r="J1369" s="22">
        <f t="shared" si="171"/>
        <v>5.3854934543915989E-2</v>
      </c>
      <c r="K1369" s="8"/>
      <c r="L1369" s="8">
        <v>0.85714833545799585</v>
      </c>
      <c r="M1369" s="8">
        <v>0.83477285777074073</v>
      </c>
      <c r="N1369" s="8">
        <v>1.1110548102339035</v>
      </c>
      <c r="O1369" s="8">
        <v>0.51401641646313634</v>
      </c>
      <c r="P1369" s="8">
        <f t="shared" si="172"/>
        <v>0.84596059661436829</v>
      </c>
      <c r="Q1369" s="8">
        <f t="shared" si="173"/>
        <v>0.81253561334851998</v>
      </c>
      <c r="R1369" s="8">
        <f t="shared" si="174"/>
        <v>0.96048872323413292</v>
      </c>
      <c r="S1369" s="22">
        <f t="shared" si="175"/>
        <v>-5.8159419080575842E-2</v>
      </c>
      <c r="T1369" s="25"/>
      <c r="U1369" s="1" t="s">
        <v>3884</v>
      </c>
    </row>
    <row r="1370" spans="1:21">
      <c r="A1370" s="6" t="s">
        <v>3885</v>
      </c>
      <c r="B1370" s="13" t="s">
        <v>3886</v>
      </c>
      <c r="C1370" s="14">
        <v>0.75175505781204066</v>
      </c>
      <c r="D1370" s="14">
        <v>1.0158087342049384</v>
      </c>
      <c r="E1370" s="14">
        <v>0.97706809895229407</v>
      </c>
      <c r="F1370" s="8">
        <v>0.97789473179262154</v>
      </c>
      <c r="G1370" s="8">
        <f t="shared" si="168"/>
        <v>0.88378189600848955</v>
      </c>
      <c r="H1370" s="8">
        <f t="shared" si="169"/>
        <v>0.97748141537245781</v>
      </c>
      <c r="I1370" s="8">
        <f t="shared" si="170"/>
        <v>1.1060210893515159</v>
      </c>
      <c r="J1370" s="22">
        <f t="shared" si="171"/>
        <v>0.14537889480659152</v>
      </c>
      <c r="K1370" s="8"/>
      <c r="L1370" s="8">
        <v>1.2409640918387954</v>
      </c>
      <c r="M1370" s="8">
        <v>1.3817309152407125</v>
      </c>
      <c r="N1370" s="8">
        <v>1.3702658221535085</v>
      </c>
      <c r="O1370" s="8">
        <v>1.513015584900433</v>
      </c>
      <c r="P1370" s="8">
        <f t="shared" si="172"/>
        <v>1.3113475035397539</v>
      </c>
      <c r="Q1370" s="8">
        <f t="shared" si="173"/>
        <v>1.4416407035269707</v>
      </c>
      <c r="R1370" s="8">
        <f t="shared" si="174"/>
        <v>1.0993582552569117</v>
      </c>
      <c r="S1370" s="22">
        <f t="shared" si="175"/>
        <v>0.1366616036285245</v>
      </c>
      <c r="T1370" s="25"/>
      <c r="U1370" s="1" t="s">
        <v>3887</v>
      </c>
    </row>
    <row r="1371" spans="1:21">
      <c r="A1371" s="6" t="s">
        <v>3888</v>
      </c>
      <c r="B1371" s="6" t="s">
        <v>80</v>
      </c>
      <c r="C1371" s="7">
        <v>0.99055776656089878</v>
      </c>
      <c r="D1371" s="7">
        <v>0.88006445593818416</v>
      </c>
      <c r="E1371" s="7">
        <v>0.97368245021533062</v>
      </c>
      <c r="F1371" s="8">
        <v>0.96817950950521892</v>
      </c>
      <c r="G1371" s="8">
        <f t="shared" si="168"/>
        <v>0.93531111124954147</v>
      </c>
      <c r="H1371" s="8">
        <f t="shared" si="169"/>
        <v>0.97093097986027477</v>
      </c>
      <c r="I1371" s="8">
        <f t="shared" si="170"/>
        <v>1.0380834443024487</v>
      </c>
      <c r="J1371" s="22">
        <f t="shared" si="171"/>
        <v>5.3922416569358547E-2</v>
      </c>
      <c r="K1371" s="8"/>
      <c r="L1371" s="8">
        <v>0.90774105631815283</v>
      </c>
      <c r="M1371" s="8">
        <v>1.1827451289365138</v>
      </c>
      <c r="N1371" s="8">
        <v>1.2957199142187421</v>
      </c>
      <c r="O1371" s="8">
        <v>1.0308457831189763</v>
      </c>
      <c r="P1371" s="8">
        <f t="shared" si="172"/>
        <v>1.0452430926273333</v>
      </c>
      <c r="Q1371" s="8">
        <f t="shared" si="173"/>
        <v>1.1632828486688593</v>
      </c>
      <c r="R1371" s="8">
        <f t="shared" si="174"/>
        <v>1.1129304339575401</v>
      </c>
      <c r="S1371" s="22">
        <f t="shared" si="175"/>
        <v>0.15436341682983437</v>
      </c>
      <c r="T1371" s="25"/>
      <c r="U1371" s="1">
        <v>0</v>
      </c>
    </row>
    <row r="1372" spans="1:21">
      <c r="A1372" s="6" t="s">
        <v>3889</v>
      </c>
      <c r="B1372" s="6" t="s">
        <v>80</v>
      </c>
      <c r="C1372" s="7">
        <v>1.0037867117333856</v>
      </c>
      <c r="D1372" s="7">
        <v>1.1297983786361725</v>
      </c>
      <c r="E1372" s="7">
        <v>0.93784621909272547</v>
      </c>
      <c r="F1372" s="8">
        <v>0.95689249796048381</v>
      </c>
      <c r="G1372" s="8">
        <f t="shared" si="168"/>
        <v>1.0667925451847791</v>
      </c>
      <c r="H1372" s="8">
        <f t="shared" si="169"/>
        <v>0.94736935852660464</v>
      </c>
      <c r="I1372" s="8">
        <f t="shared" si="170"/>
        <v>0.88805397338290437</v>
      </c>
      <c r="J1372" s="22">
        <f t="shared" si="171"/>
        <v>-0.17128073276520484</v>
      </c>
      <c r="K1372" s="8"/>
      <c r="L1372" s="8">
        <v>1.1465386987780939</v>
      </c>
      <c r="M1372" s="8">
        <v>1.2323926323039041</v>
      </c>
      <c r="N1372" s="8">
        <v>1.3454650640865791</v>
      </c>
      <c r="O1372" s="8">
        <v>1.6662209078958954</v>
      </c>
      <c r="P1372" s="8">
        <f t="shared" si="172"/>
        <v>1.189465665540999</v>
      </c>
      <c r="Q1372" s="8">
        <f t="shared" si="173"/>
        <v>1.5058429859912372</v>
      </c>
      <c r="R1372" s="8">
        <f t="shared" si="174"/>
        <v>1.2659827262070165</v>
      </c>
      <c r="S1372" s="22">
        <f t="shared" si="175"/>
        <v>0.34025771994359166</v>
      </c>
      <c r="T1372" s="25"/>
      <c r="U1372" s="1">
        <v>0</v>
      </c>
    </row>
    <row r="1373" spans="1:21">
      <c r="A1373" s="6" t="s">
        <v>3890</v>
      </c>
      <c r="B1373" s="6" t="s">
        <v>3891</v>
      </c>
      <c r="C1373" s="7">
        <v>1.0615891027829665</v>
      </c>
      <c r="D1373" s="7">
        <v>1.0305436667732246</v>
      </c>
      <c r="E1373" s="7">
        <v>1.0533743092569927</v>
      </c>
      <c r="F1373" s="8">
        <v>1.0387677827134705</v>
      </c>
      <c r="G1373" s="8">
        <f t="shared" si="168"/>
        <v>1.0460663847780955</v>
      </c>
      <c r="H1373" s="8">
        <f t="shared" si="169"/>
        <v>1.0460710459852316</v>
      </c>
      <c r="I1373" s="8">
        <f t="shared" si="170"/>
        <v>1.0000044559381736</v>
      </c>
      <c r="J1373" s="22">
        <f t="shared" si="171"/>
        <v>6.4285455829027812E-6</v>
      </c>
      <c r="K1373" s="8"/>
      <c r="L1373" s="8">
        <v>1.1727177407210516</v>
      </c>
      <c r="M1373" s="8">
        <v>1.2266319388219482</v>
      </c>
      <c r="N1373" s="8">
        <v>1.2650780509700263</v>
      </c>
      <c r="O1373" s="8">
        <v>0.96971434768111475</v>
      </c>
      <c r="P1373" s="8">
        <f t="shared" si="172"/>
        <v>1.1996748397714998</v>
      </c>
      <c r="Q1373" s="8">
        <f t="shared" si="173"/>
        <v>1.1173961993255705</v>
      </c>
      <c r="R1373" s="8">
        <f t="shared" si="174"/>
        <v>0.93141588227223238</v>
      </c>
      <c r="S1373" s="22">
        <f t="shared" si="175"/>
        <v>-0.10250261204195062</v>
      </c>
      <c r="T1373" s="25"/>
      <c r="U1373" s="1" t="s">
        <v>3892</v>
      </c>
    </row>
    <row r="1374" spans="1:21">
      <c r="A1374" s="6" t="s">
        <v>3893</v>
      </c>
      <c r="B1374" s="6" t="s">
        <v>3894</v>
      </c>
      <c r="C1374" s="7">
        <v>1.0627972564492294</v>
      </c>
      <c r="D1374" s="7">
        <v>0.94751798903268958</v>
      </c>
      <c r="E1374" s="7">
        <v>0.93974706001496133</v>
      </c>
      <c r="F1374" s="8">
        <v>0.89788994737754624</v>
      </c>
      <c r="G1374" s="8">
        <f t="shared" si="168"/>
        <v>1.0051576227409595</v>
      </c>
      <c r="H1374" s="8">
        <f t="shared" si="169"/>
        <v>0.91881850369625373</v>
      </c>
      <c r="I1374" s="8">
        <f t="shared" si="170"/>
        <v>0.91410390063076075</v>
      </c>
      <c r="J1374" s="22">
        <f t="shared" si="171"/>
        <v>-0.12956993791311461</v>
      </c>
      <c r="K1374" s="8"/>
      <c r="L1374" s="8">
        <v>1.2283482048498371</v>
      </c>
      <c r="M1374" s="8">
        <v>1.2718379914895097</v>
      </c>
      <c r="N1374" s="8">
        <v>1.2425754326467506</v>
      </c>
      <c r="O1374" s="8">
        <v>1.032202026961887</v>
      </c>
      <c r="P1374" s="8">
        <f t="shared" si="172"/>
        <v>1.2500930981696734</v>
      </c>
      <c r="Q1374" s="8">
        <f t="shared" si="173"/>
        <v>1.1373887298043188</v>
      </c>
      <c r="R1374" s="8">
        <f t="shared" si="174"/>
        <v>0.90984322005267371</v>
      </c>
      <c r="S1374" s="22">
        <f t="shared" si="175"/>
        <v>-0.13631012665188391</v>
      </c>
      <c r="T1374" s="25"/>
      <c r="U1374" s="1" t="s">
        <v>3895</v>
      </c>
    </row>
    <row r="1375" spans="1:21">
      <c r="A1375" s="6" t="s">
        <v>3896</v>
      </c>
      <c r="B1375" s="6" t="s">
        <v>3897</v>
      </c>
      <c r="C1375" s="7">
        <v>0.14522817003898078</v>
      </c>
      <c r="D1375" s="7">
        <v>0.10093557611134076</v>
      </c>
      <c r="E1375" s="7">
        <v>0.49145704070562296</v>
      </c>
      <c r="F1375" s="8">
        <v>0.52830610684688661</v>
      </c>
      <c r="G1375" s="8">
        <f t="shared" si="168"/>
        <v>0.12308187307516077</v>
      </c>
      <c r="H1375" s="8">
        <f t="shared" si="169"/>
        <v>0.50988157377625476</v>
      </c>
      <c r="I1375" s="8">
        <f t="shared" si="170"/>
        <v>4.1426211759459672</v>
      </c>
      <c r="J1375" s="22">
        <f t="shared" si="171"/>
        <v>2.0505438983832303</v>
      </c>
      <c r="K1375" s="8"/>
      <c r="L1375" s="8">
        <v>1.1844294173797434</v>
      </c>
      <c r="M1375" s="8">
        <v>0.94567720098824104</v>
      </c>
      <c r="N1375" s="8">
        <v>1.3480504712981896</v>
      </c>
      <c r="O1375" s="8">
        <v>1.0472714029942276</v>
      </c>
      <c r="P1375" s="8">
        <f t="shared" si="172"/>
        <v>1.0650533091839922</v>
      </c>
      <c r="Q1375" s="8">
        <f t="shared" si="173"/>
        <v>1.1976609371462086</v>
      </c>
      <c r="R1375" s="8">
        <f t="shared" si="174"/>
        <v>1.1245079723416058</v>
      </c>
      <c r="S1375" s="22">
        <f t="shared" si="175"/>
        <v>0.16929388932109007</v>
      </c>
      <c r="T1375" s="25"/>
      <c r="U1375" s="1" t="s">
        <v>3898</v>
      </c>
    </row>
    <row r="1376" spans="1:21">
      <c r="A1376" s="6" t="s">
        <v>3899</v>
      </c>
      <c r="B1376" s="6" t="s">
        <v>3900</v>
      </c>
      <c r="C1376" s="7">
        <v>1.1143766436982832</v>
      </c>
      <c r="D1376" s="7">
        <v>0.69519514898660195</v>
      </c>
      <c r="E1376" s="7">
        <v>0.77132538132025175</v>
      </c>
      <c r="F1376" s="8">
        <v>0.63589899320400811</v>
      </c>
      <c r="G1376" s="8">
        <f t="shared" si="168"/>
        <v>0.90478589634244255</v>
      </c>
      <c r="H1376" s="8">
        <f t="shared" si="169"/>
        <v>0.70361218726212993</v>
      </c>
      <c r="I1376" s="8">
        <f t="shared" si="170"/>
        <v>0.77765600691439984</v>
      </c>
      <c r="J1376" s="22">
        <f t="shared" si="171"/>
        <v>-0.36279596906616945</v>
      </c>
      <c r="K1376" s="8"/>
      <c r="L1376" s="8">
        <v>0.8529717448848595</v>
      </c>
      <c r="M1376" s="8">
        <v>1.0998966822189205</v>
      </c>
      <c r="N1376" s="8">
        <v>1.222897611091716</v>
      </c>
      <c r="O1376" s="8">
        <v>0.89366422997123607</v>
      </c>
      <c r="P1376" s="8">
        <f t="shared" si="172"/>
        <v>0.97643421355188997</v>
      </c>
      <c r="Q1376" s="8">
        <f t="shared" si="173"/>
        <v>1.058280920531476</v>
      </c>
      <c r="R1376" s="8">
        <f t="shared" si="174"/>
        <v>1.0838220392563462</v>
      </c>
      <c r="S1376" s="22">
        <f t="shared" si="175"/>
        <v>0.11612788938600972</v>
      </c>
      <c r="T1376" s="25"/>
      <c r="U1376" s="1" t="s">
        <v>3901</v>
      </c>
    </row>
    <row r="1377" spans="1:21">
      <c r="A1377" s="6" t="s">
        <v>3902</v>
      </c>
      <c r="B1377" s="6" t="s">
        <v>3903</v>
      </c>
      <c r="C1377" s="7">
        <v>0.86124482749983855</v>
      </c>
      <c r="D1377" s="7">
        <v>0.77719041186222182</v>
      </c>
      <c r="E1377" s="7">
        <v>0.80109326746092657</v>
      </c>
      <c r="F1377" s="8">
        <v>0.79482040024062106</v>
      </c>
      <c r="G1377" s="8">
        <f t="shared" si="168"/>
        <v>0.81921761968103013</v>
      </c>
      <c r="H1377" s="8">
        <f t="shared" si="169"/>
        <v>0.79795683385077387</v>
      </c>
      <c r="I1377" s="8">
        <f t="shared" si="170"/>
        <v>0.9740474504948583</v>
      </c>
      <c r="J1377" s="22">
        <f t="shared" si="171"/>
        <v>-3.7936040314684095E-2</v>
      </c>
      <c r="K1377" s="8"/>
      <c r="L1377" s="8">
        <v>1.2029872579675966</v>
      </c>
      <c r="M1377" s="8">
        <v>1.1169149141083625</v>
      </c>
      <c r="N1377" s="8">
        <v>1.1935005735374793</v>
      </c>
      <c r="O1377" s="8">
        <v>0.90647319959872563</v>
      </c>
      <c r="P1377" s="8">
        <f t="shared" si="172"/>
        <v>1.1599510860379796</v>
      </c>
      <c r="Q1377" s="8">
        <f t="shared" si="173"/>
        <v>1.0499868865681026</v>
      </c>
      <c r="R1377" s="8">
        <f t="shared" si="174"/>
        <v>0.90519927883728324</v>
      </c>
      <c r="S1377" s="22">
        <f t="shared" si="175"/>
        <v>-0.14369265966201961</v>
      </c>
      <c r="T1377" s="25"/>
      <c r="U1377" s="1" t="s">
        <v>3904</v>
      </c>
    </row>
    <row r="1378" spans="1:21">
      <c r="A1378" s="6" t="s">
        <v>3905</v>
      </c>
      <c r="B1378" s="6" t="s">
        <v>3906</v>
      </c>
      <c r="C1378" s="7">
        <v>0.85570351934340394</v>
      </c>
      <c r="D1378" s="7">
        <v>0.8536600750247344</v>
      </c>
      <c r="E1378" s="7">
        <v>0.79577808586327836</v>
      </c>
      <c r="F1378" s="8">
        <v>0.84584309767094823</v>
      </c>
      <c r="G1378" s="8">
        <f t="shared" si="168"/>
        <v>0.85468179718406923</v>
      </c>
      <c r="H1378" s="8">
        <f t="shared" si="169"/>
        <v>0.82081059176711335</v>
      </c>
      <c r="I1378" s="8">
        <f t="shared" si="170"/>
        <v>0.96036980601604982</v>
      </c>
      <c r="J1378" s="22">
        <f t="shared" si="171"/>
        <v>-5.833804887388077E-2</v>
      </c>
      <c r="K1378" s="8"/>
      <c r="L1378" s="8">
        <v>1.0760533506520709</v>
      </c>
      <c r="M1378" s="8">
        <v>1.0429933435498304</v>
      </c>
      <c r="N1378" s="8">
        <v>0.81966984190314696</v>
      </c>
      <c r="O1378" s="8">
        <v>0.81545416836338858</v>
      </c>
      <c r="P1378" s="8">
        <f t="shared" si="172"/>
        <v>1.0595233471009506</v>
      </c>
      <c r="Q1378" s="8">
        <f t="shared" si="173"/>
        <v>0.81756200513326771</v>
      </c>
      <c r="R1378" s="8">
        <f t="shared" si="174"/>
        <v>0.77163189218082517</v>
      </c>
      <c r="S1378" s="22">
        <f t="shared" si="175"/>
        <v>-0.37401532249532171</v>
      </c>
      <c r="T1378" s="25"/>
      <c r="U1378" s="1" t="s">
        <v>3907</v>
      </c>
    </row>
    <row r="1379" spans="1:21">
      <c r="A1379" s="6" t="s">
        <v>3908</v>
      </c>
      <c r="B1379" s="6" t="s">
        <v>3909</v>
      </c>
      <c r="C1379" s="7">
        <v>0.8482183661820325</v>
      </c>
      <c r="D1379" s="7">
        <v>0.8426797166204828</v>
      </c>
      <c r="E1379" s="7">
        <v>0.93294707060258553</v>
      </c>
      <c r="F1379" s="8">
        <v>0.86419960478938618</v>
      </c>
      <c r="G1379" s="8">
        <f t="shared" si="168"/>
        <v>0.84544904140125765</v>
      </c>
      <c r="H1379" s="8">
        <f t="shared" si="169"/>
        <v>0.89857333769598591</v>
      </c>
      <c r="I1379" s="8">
        <f t="shared" si="170"/>
        <v>1.0628355982362692</v>
      </c>
      <c r="J1379" s="22">
        <f t="shared" si="171"/>
        <v>8.7918454863194134E-2</v>
      </c>
      <c r="K1379" s="8"/>
      <c r="L1379" s="8">
        <v>1.1820181898323656</v>
      </c>
      <c r="M1379" s="8">
        <v>0.84664604280988631</v>
      </c>
      <c r="N1379" s="8">
        <v>1.2831280235399729</v>
      </c>
      <c r="O1379" s="8">
        <v>1.0632449415885086</v>
      </c>
      <c r="P1379" s="8">
        <f t="shared" si="172"/>
        <v>1.0143321163211261</v>
      </c>
      <c r="Q1379" s="8">
        <f t="shared" si="173"/>
        <v>1.1731864825642409</v>
      </c>
      <c r="R1379" s="8">
        <f t="shared" si="174"/>
        <v>1.1566098161411495</v>
      </c>
      <c r="S1379" s="22">
        <f t="shared" si="175"/>
        <v>0.2099022514308764</v>
      </c>
      <c r="T1379" s="25"/>
      <c r="U1379" s="1" t="s">
        <v>3910</v>
      </c>
    </row>
    <row r="1380" spans="1:21">
      <c r="A1380" s="6" t="s">
        <v>3911</v>
      </c>
      <c r="B1380" s="6" t="s">
        <v>3912</v>
      </c>
      <c r="C1380" s="7">
        <v>0.91213576964297716</v>
      </c>
      <c r="D1380" s="7">
        <v>0.80391035732805183</v>
      </c>
      <c r="E1380" s="7">
        <v>0.65462809466419425</v>
      </c>
      <c r="F1380" s="8">
        <v>0.61250707072723831</v>
      </c>
      <c r="G1380" s="8">
        <f t="shared" si="168"/>
        <v>0.85802306348551449</v>
      </c>
      <c r="H1380" s="8">
        <f t="shared" si="169"/>
        <v>0.63356758269571634</v>
      </c>
      <c r="I1380" s="8">
        <f t="shared" si="170"/>
        <v>0.7384039073751687</v>
      </c>
      <c r="J1380" s="22">
        <f t="shared" si="171"/>
        <v>-0.43751790764600473</v>
      </c>
      <c r="K1380" s="8"/>
      <c r="L1380" s="8">
        <v>0.3129428895418051</v>
      </c>
      <c r="M1380" s="8">
        <v>0.53442525103976257</v>
      </c>
      <c r="N1380" s="8">
        <v>0.45685102987382176</v>
      </c>
      <c r="O1380" s="8">
        <v>0.45464307489571459</v>
      </c>
      <c r="P1380" s="8">
        <f t="shared" si="172"/>
        <v>0.42368407029078381</v>
      </c>
      <c r="Q1380" s="8">
        <f t="shared" si="173"/>
        <v>0.4557470523847682</v>
      </c>
      <c r="R1380" s="8">
        <f t="shared" si="174"/>
        <v>1.0756766287483475</v>
      </c>
      <c r="S1380" s="22">
        <f t="shared" si="175"/>
        <v>0.10524443828679647</v>
      </c>
      <c r="T1380" s="25"/>
      <c r="U1380" s="1" t="s">
        <v>3913</v>
      </c>
    </row>
    <row r="1381" spans="1:21">
      <c r="A1381" s="6" t="s">
        <v>3914</v>
      </c>
      <c r="B1381" s="6" t="s">
        <v>3915</v>
      </c>
      <c r="C1381" s="7">
        <v>1.0817024990146049</v>
      </c>
      <c r="D1381" s="7">
        <v>0.88574461788102865</v>
      </c>
      <c r="E1381" s="7">
        <v>0.93795381386190868</v>
      </c>
      <c r="F1381" s="8">
        <v>0.86055106230517131</v>
      </c>
      <c r="G1381" s="8">
        <f t="shared" si="168"/>
        <v>0.98372355844781678</v>
      </c>
      <c r="H1381" s="8">
        <f t="shared" si="169"/>
        <v>0.89925243808354005</v>
      </c>
      <c r="I1381" s="8">
        <f t="shared" si="170"/>
        <v>0.91413124181191641</v>
      </c>
      <c r="J1381" s="22">
        <f t="shared" si="171"/>
        <v>-0.12952678702343687</v>
      </c>
      <c r="K1381" s="8"/>
      <c r="L1381" s="8">
        <v>1.0933625198314607</v>
      </c>
      <c r="M1381" s="8">
        <v>1.2029735182624657</v>
      </c>
      <c r="N1381" s="8">
        <v>1.2152850231908632</v>
      </c>
      <c r="O1381" s="8">
        <v>0.90210308054934685</v>
      </c>
      <c r="P1381" s="8">
        <f t="shared" si="172"/>
        <v>1.1481680190469632</v>
      </c>
      <c r="Q1381" s="8">
        <f t="shared" si="173"/>
        <v>1.0586940518701051</v>
      </c>
      <c r="R1381" s="8">
        <f t="shared" si="174"/>
        <v>0.92207240953190284</v>
      </c>
      <c r="S1381" s="22">
        <f t="shared" si="175"/>
        <v>-0.11704804621678937</v>
      </c>
      <c r="T1381" s="25"/>
      <c r="U1381" s="1" t="s">
        <v>3916</v>
      </c>
    </row>
    <row r="1382" spans="1:21">
      <c r="A1382" s="6" t="s">
        <v>3917</v>
      </c>
      <c r="B1382" s="6" t="s">
        <v>3918</v>
      </c>
      <c r="C1382" s="7">
        <v>1.0455388825685921</v>
      </c>
      <c r="D1382" s="7">
        <v>0.92610468012117242</v>
      </c>
      <c r="E1382" s="7">
        <v>0.95663226579210558</v>
      </c>
      <c r="F1382" s="8">
        <v>0.91224941575109386</v>
      </c>
      <c r="G1382" s="8">
        <f t="shared" si="168"/>
        <v>0.98582178134488219</v>
      </c>
      <c r="H1382" s="8">
        <f t="shared" si="169"/>
        <v>0.93444084077159972</v>
      </c>
      <c r="I1382" s="8">
        <f t="shared" si="170"/>
        <v>0.94788009197444656</v>
      </c>
      <c r="J1382" s="22">
        <f t="shared" si="171"/>
        <v>-7.7223526961231928E-2</v>
      </c>
      <c r="K1382" s="8"/>
      <c r="L1382" s="8">
        <v>1.0778617713126042</v>
      </c>
      <c r="M1382" s="8">
        <v>0.96256350859947026</v>
      </c>
      <c r="N1382" s="8">
        <v>1.2825056106927335</v>
      </c>
      <c r="O1382" s="8">
        <v>1.0705284733374731</v>
      </c>
      <c r="P1382" s="8">
        <f t="shared" si="172"/>
        <v>1.0202126399560372</v>
      </c>
      <c r="Q1382" s="8">
        <f t="shared" si="173"/>
        <v>1.1765170420151034</v>
      </c>
      <c r="R1382" s="8">
        <f t="shared" si="174"/>
        <v>1.1532076705752261</v>
      </c>
      <c r="S1382" s="22">
        <f t="shared" si="175"/>
        <v>0.20565233808145753</v>
      </c>
      <c r="T1382" s="25"/>
      <c r="U1382" s="1" t="s">
        <v>3919</v>
      </c>
    </row>
    <row r="1383" spans="1:21">
      <c r="A1383" s="6" t="s">
        <v>3920</v>
      </c>
      <c r="B1383" s="6" t="s">
        <v>3921</v>
      </c>
      <c r="C1383" s="7">
        <v>1.1430888542920381</v>
      </c>
      <c r="D1383" s="7">
        <v>0.95085395715785226</v>
      </c>
      <c r="E1383" s="7">
        <v>0.97632928153723642</v>
      </c>
      <c r="F1383" s="8">
        <v>0.94052739804590579</v>
      </c>
      <c r="G1383" s="8">
        <f t="shared" si="168"/>
        <v>1.0469714057249453</v>
      </c>
      <c r="H1383" s="8">
        <f t="shared" si="169"/>
        <v>0.95842833979157116</v>
      </c>
      <c r="I1383" s="8">
        <f t="shared" si="170"/>
        <v>0.91542933699123807</v>
      </c>
      <c r="J1383" s="22">
        <f t="shared" si="171"/>
        <v>-0.12747956780177289</v>
      </c>
      <c r="K1383" s="8"/>
      <c r="L1383" s="8">
        <v>1.1097244210458093</v>
      </c>
      <c r="M1383" s="8">
        <v>1.0833621726829252</v>
      </c>
      <c r="N1383" s="8">
        <v>1.3043858161687696</v>
      </c>
      <c r="O1383" s="8">
        <v>0.84664777675033354</v>
      </c>
      <c r="P1383" s="8">
        <f t="shared" si="172"/>
        <v>1.0965432968643674</v>
      </c>
      <c r="Q1383" s="8">
        <f t="shared" si="173"/>
        <v>1.0755167964595516</v>
      </c>
      <c r="R1383" s="8">
        <f t="shared" si="174"/>
        <v>0.98082474220129534</v>
      </c>
      <c r="S1383" s="22">
        <f t="shared" si="175"/>
        <v>-2.7932722097574417E-2</v>
      </c>
      <c r="T1383" s="25"/>
      <c r="U1383" s="1" t="s">
        <v>3922</v>
      </c>
    </row>
    <row r="1384" spans="1:21">
      <c r="A1384" s="6" t="s">
        <v>3923</v>
      </c>
      <c r="B1384" s="6" t="s">
        <v>3924</v>
      </c>
      <c r="C1384" s="7">
        <v>1.0704713945416364</v>
      </c>
      <c r="D1384" s="7">
        <v>1.0171418334364224</v>
      </c>
      <c r="E1384" s="7">
        <v>0.95790905705307905</v>
      </c>
      <c r="F1384" s="8">
        <v>0.95550562508636705</v>
      </c>
      <c r="G1384" s="8">
        <f t="shared" si="168"/>
        <v>1.0438066139890294</v>
      </c>
      <c r="H1384" s="8">
        <f t="shared" si="169"/>
        <v>0.95670734106972311</v>
      </c>
      <c r="I1384" s="8">
        <f t="shared" si="170"/>
        <v>0.91655612088292271</v>
      </c>
      <c r="J1384" s="22">
        <f t="shared" si="171"/>
        <v>-0.12570487496162047</v>
      </c>
      <c r="K1384" s="8"/>
      <c r="L1384" s="8">
        <v>0.96070194709091294</v>
      </c>
      <c r="M1384" s="8">
        <v>1.0986653889556017</v>
      </c>
      <c r="N1384" s="8">
        <v>0.95832427310358581</v>
      </c>
      <c r="O1384" s="8">
        <v>0.76858840890280955</v>
      </c>
      <c r="P1384" s="8">
        <f t="shared" si="172"/>
        <v>1.0296836680232573</v>
      </c>
      <c r="Q1384" s="8">
        <f t="shared" si="173"/>
        <v>0.86345634100319768</v>
      </c>
      <c r="R1384" s="8">
        <f t="shared" si="174"/>
        <v>0.83856466584618583</v>
      </c>
      <c r="S1384" s="22">
        <f t="shared" si="175"/>
        <v>-0.25400605349682254</v>
      </c>
      <c r="T1384" s="25"/>
      <c r="U1384" s="1" t="s">
        <v>3925</v>
      </c>
    </row>
    <row r="1385" spans="1:21">
      <c r="A1385" s="6" t="s">
        <v>3926</v>
      </c>
      <c r="B1385" s="6" t="s">
        <v>3927</v>
      </c>
      <c r="C1385" s="7">
        <v>1.030636070864076</v>
      </c>
      <c r="D1385" s="7">
        <v>0.97666584952397573</v>
      </c>
      <c r="E1385" s="7">
        <v>1.0816215226598787</v>
      </c>
      <c r="F1385" s="8">
        <v>0.97783072227535461</v>
      </c>
      <c r="G1385" s="8">
        <f t="shared" si="168"/>
        <v>1.003650960194026</v>
      </c>
      <c r="H1385" s="8">
        <f t="shared" si="169"/>
        <v>1.0297261224676166</v>
      </c>
      <c r="I1385" s="8">
        <f t="shared" si="170"/>
        <v>1.0259803091988771</v>
      </c>
      <c r="J1385" s="22">
        <f t="shared" si="171"/>
        <v>3.7003042744447025E-2</v>
      </c>
      <c r="K1385" s="8"/>
      <c r="L1385" s="8">
        <v>1.1032227181948444</v>
      </c>
      <c r="M1385" s="8">
        <v>1.0236884241713677</v>
      </c>
      <c r="N1385" s="8">
        <v>1.2764251159543165</v>
      </c>
      <c r="O1385" s="8">
        <v>0.96413867854914881</v>
      </c>
      <c r="P1385" s="8">
        <f t="shared" si="172"/>
        <v>1.063455571183106</v>
      </c>
      <c r="Q1385" s="8">
        <f t="shared" si="173"/>
        <v>1.1202818972517328</v>
      </c>
      <c r="R1385" s="8">
        <f t="shared" si="174"/>
        <v>1.0534355431561724</v>
      </c>
      <c r="S1385" s="22">
        <f t="shared" si="175"/>
        <v>7.5102042286369089E-2</v>
      </c>
      <c r="T1385" s="25"/>
      <c r="U1385" s="1" t="s">
        <v>3928</v>
      </c>
    </row>
    <row r="1386" spans="1:21">
      <c r="A1386" s="6" t="s">
        <v>3929</v>
      </c>
      <c r="B1386" s="6" t="s">
        <v>3930</v>
      </c>
      <c r="C1386" s="7">
        <v>1.0336125835278858</v>
      </c>
      <c r="D1386" s="7">
        <v>0.99620509139992852</v>
      </c>
      <c r="E1386" s="7">
        <v>1.06962111940365</v>
      </c>
      <c r="F1386" s="8">
        <v>0.88630422475223214</v>
      </c>
      <c r="G1386" s="8">
        <f t="shared" si="168"/>
        <v>1.0149088374639073</v>
      </c>
      <c r="H1386" s="8">
        <f t="shared" si="169"/>
        <v>0.97796267207794108</v>
      </c>
      <c r="I1386" s="8">
        <f t="shared" si="170"/>
        <v>0.9635965674727115</v>
      </c>
      <c r="J1386" s="22">
        <f t="shared" si="171"/>
        <v>-5.3498840475483714E-2</v>
      </c>
      <c r="K1386" s="8"/>
      <c r="L1386" s="8">
        <v>1.0083236911516225</v>
      </c>
      <c r="M1386" s="8">
        <v>1.0067581418007343</v>
      </c>
      <c r="N1386" s="8">
        <v>1.2332871178494837</v>
      </c>
      <c r="O1386" s="8">
        <v>0.91993517552094983</v>
      </c>
      <c r="P1386" s="8">
        <f t="shared" si="172"/>
        <v>1.0075409164761784</v>
      </c>
      <c r="Q1386" s="8">
        <f t="shared" si="173"/>
        <v>1.0766111466852168</v>
      </c>
      <c r="R1386" s="8">
        <f t="shared" si="174"/>
        <v>1.068553275682945</v>
      </c>
      <c r="S1386" s="22">
        <f t="shared" si="175"/>
        <v>9.5658839347751823E-2</v>
      </c>
      <c r="T1386" s="25"/>
      <c r="U1386" s="1" t="s">
        <v>3931</v>
      </c>
    </row>
    <row r="1387" spans="1:21">
      <c r="A1387" s="6" t="s">
        <v>3932</v>
      </c>
      <c r="B1387" s="6" t="s">
        <v>3933</v>
      </c>
      <c r="C1387" s="7">
        <v>0.9560207704141559</v>
      </c>
      <c r="D1387" s="7">
        <v>0.93401955430230155</v>
      </c>
      <c r="E1387" s="7">
        <v>1.0753308151549699</v>
      </c>
      <c r="F1387" s="8">
        <v>1.0139747630254137</v>
      </c>
      <c r="G1387" s="8">
        <f t="shared" si="168"/>
        <v>0.94502016235822872</v>
      </c>
      <c r="H1387" s="8">
        <f t="shared" si="169"/>
        <v>1.0446527890901918</v>
      </c>
      <c r="I1387" s="8">
        <f t="shared" si="170"/>
        <v>1.1054291016218503</v>
      </c>
      <c r="J1387" s="22">
        <f t="shared" si="171"/>
        <v>0.14460649867870937</v>
      </c>
      <c r="K1387" s="8"/>
      <c r="L1387" s="8">
        <v>1.0817369584423182</v>
      </c>
      <c r="M1387" s="8">
        <v>0.88837808948451269</v>
      </c>
      <c r="N1387" s="8">
        <v>1.2395112463218791</v>
      </c>
      <c r="O1387" s="8">
        <v>0.71830692420823317</v>
      </c>
      <c r="P1387" s="8">
        <f t="shared" si="172"/>
        <v>0.98505752396341539</v>
      </c>
      <c r="Q1387" s="8">
        <f t="shared" si="173"/>
        <v>0.97890908526505616</v>
      </c>
      <c r="R1387" s="8">
        <f t="shared" si="174"/>
        <v>0.99375829477082644</v>
      </c>
      <c r="S1387" s="22">
        <f t="shared" si="175"/>
        <v>-9.0330975654787145E-3</v>
      </c>
      <c r="T1387" s="25"/>
      <c r="U1387" s="1" t="s">
        <v>3934</v>
      </c>
    </row>
    <row r="1388" spans="1:21">
      <c r="A1388" s="6" t="s">
        <v>3935</v>
      </c>
      <c r="B1388" s="6" t="s">
        <v>3936</v>
      </c>
      <c r="C1388" s="7">
        <v>1.0965445655627166</v>
      </c>
      <c r="D1388" s="7">
        <v>1.086746357561438</v>
      </c>
      <c r="E1388" s="7">
        <v>0.99002250916194678</v>
      </c>
      <c r="F1388" s="8">
        <v>1.0472312633298755</v>
      </c>
      <c r="G1388" s="8">
        <f t="shared" si="168"/>
        <v>1.0916454615620772</v>
      </c>
      <c r="H1388" s="8">
        <f t="shared" si="169"/>
        <v>1.0186268862459111</v>
      </c>
      <c r="I1388" s="8">
        <f t="shared" si="170"/>
        <v>0.93311145615749547</v>
      </c>
      <c r="J1388" s="22">
        <f t="shared" si="171"/>
        <v>-9.9878679788846514E-2</v>
      </c>
      <c r="K1388" s="8"/>
      <c r="L1388" s="8">
        <v>0.98287662899983275</v>
      </c>
      <c r="M1388" s="8">
        <v>1.0425535959557879</v>
      </c>
      <c r="N1388" s="8">
        <v>1.2842770934117997</v>
      </c>
      <c r="O1388" s="8">
        <v>0.79742114837802114</v>
      </c>
      <c r="P1388" s="8">
        <f t="shared" si="172"/>
        <v>1.0127151124778102</v>
      </c>
      <c r="Q1388" s="8">
        <f t="shared" si="173"/>
        <v>1.0408491208949104</v>
      </c>
      <c r="R1388" s="8">
        <f t="shared" si="174"/>
        <v>1.0277807727666517</v>
      </c>
      <c r="S1388" s="22">
        <f t="shared" si="175"/>
        <v>3.9532568256226953E-2</v>
      </c>
      <c r="T1388" s="25"/>
      <c r="U1388" s="1" t="s">
        <v>3937</v>
      </c>
    </row>
    <row r="1389" spans="1:21">
      <c r="A1389" s="6" t="s">
        <v>3938</v>
      </c>
      <c r="B1389" s="6" t="s">
        <v>3939</v>
      </c>
      <c r="C1389" s="7">
        <v>0.92811174577730204</v>
      </c>
      <c r="D1389" s="7">
        <v>1.0217464998640118</v>
      </c>
      <c r="E1389" s="7">
        <v>0.96471621945006714</v>
      </c>
      <c r="F1389" s="8">
        <v>0.98594570663108416</v>
      </c>
      <c r="G1389" s="8">
        <f t="shared" si="168"/>
        <v>0.97492912282065691</v>
      </c>
      <c r="H1389" s="8">
        <f t="shared" si="169"/>
        <v>0.97533096304057565</v>
      </c>
      <c r="I1389" s="8">
        <f t="shared" si="170"/>
        <v>1.0004121737780858</v>
      </c>
      <c r="J1389" s="22">
        <f t="shared" si="171"/>
        <v>5.9451855156507458E-4</v>
      </c>
      <c r="K1389" s="8"/>
      <c r="L1389" s="8">
        <v>0.93228390813967577</v>
      </c>
      <c r="M1389" s="8">
        <v>1.1552169295494579</v>
      </c>
      <c r="N1389" s="8">
        <v>1.1314986783701559</v>
      </c>
      <c r="O1389" s="8">
        <v>0.84910910816894924</v>
      </c>
      <c r="P1389" s="8">
        <f t="shared" si="172"/>
        <v>1.0437504188445668</v>
      </c>
      <c r="Q1389" s="8">
        <f t="shared" si="173"/>
        <v>0.99030389326955259</v>
      </c>
      <c r="R1389" s="8">
        <f t="shared" si="174"/>
        <v>0.94879376850053909</v>
      </c>
      <c r="S1389" s="22">
        <f t="shared" si="175"/>
        <v>-7.5833560322683E-2</v>
      </c>
      <c r="T1389" s="25"/>
      <c r="U1389" s="1" t="s">
        <v>3940</v>
      </c>
    </row>
    <row r="1390" spans="1:21">
      <c r="A1390" s="6" t="s">
        <v>3941</v>
      </c>
      <c r="B1390" s="6" t="s">
        <v>3942</v>
      </c>
      <c r="C1390" s="7">
        <v>0.98644059484905333</v>
      </c>
      <c r="D1390" s="7">
        <v>0.90668780001042826</v>
      </c>
      <c r="E1390" s="7">
        <v>0.93139053294173579</v>
      </c>
      <c r="F1390" s="8">
        <v>0.96155808055238445</v>
      </c>
      <c r="G1390" s="8">
        <f t="shared" si="168"/>
        <v>0.94656419742974074</v>
      </c>
      <c r="H1390" s="8">
        <f t="shared" si="169"/>
        <v>0.94647430674706012</v>
      </c>
      <c r="I1390" s="8">
        <f t="shared" si="170"/>
        <v>0.99990503477426607</v>
      </c>
      <c r="J1390" s="22">
        <f t="shared" si="171"/>
        <v>-1.3701236603135594E-4</v>
      </c>
      <c r="K1390" s="8"/>
      <c r="L1390" s="8">
        <v>0.98231687974776294</v>
      </c>
      <c r="M1390" s="8">
        <v>1.1490164884734597</v>
      </c>
      <c r="N1390" s="8">
        <v>1.2382185427160739</v>
      </c>
      <c r="O1390" s="8">
        <v>0.87296895355348836</v>
      </c>
      <c r="P1390" s="8">
        <f t="shared" si="172"/>
        <v>1.0656666841106113</v>
      </c>
      <c r="Q1390" s="8">
        <f t="shared" si="173"/>
        <v>1.0555937481347812</v>
      </c>
      <c r="R1390" s="8">
        <f t="shared" si="174"/>
        <v>0.99054776120336652</v>
      </c>
      <c r="S1390" s="22">
        <f t="shared" si="175"/>
        <v>-1.3701555724114215E-2</v>
      </c>
      <c r="T1390" s="25"/>
      <c r="U1390" s="1" t="s">
        <v>3943</v>
      </c>
    </row>
    <row r="1391" spans="1:21">
      <c r="A1391" s="6" t="s">
        <v>3944</v>
      </c>
      <c r="B1391" s="6" t="s">
        <v>3945</v>
      </c>
      <c r="C1391" s="7">
        <v>0.95531882638459542</v>
      </c>
      <c r="D1391" s="7">
        <v>0.91073217835522013</v>
      </c>
      <c r="E1391" s="7">
        <v>1.074721111462932</v>
      </c>
      <c r="F1391" s="8">
        <v>1.0065709955282056</v>
      </c>
      <c r="G1391" s="8">
        <f t="shared" si="168"/>
        <v>0.93302550236990778</v>
      </c>
      <c r="H1391" s="8">
        <f t="shared" si="169"/>
        <v>1.0406460534955688</v>
      </c>
      <c r="I1391" s="8">
        <f t="shared" si="170"/>
        <v>1.1153457765648445</v>
      </c>
      <c r="J1391" s="22">
        <f t="shared" si="171"/>
        <v>0.15749104001218189</v>
      </c>
      <c r="K1391" s="8"/>
      <c r="L1391" s="8">
        <v>1.1754734293466262</v>
      </c>
      <c r="M1391" s="8">
        <v>0.99690779569418386</v>
      </c>
      <c r="N1391" s="8">
        <v>1.1160819909231459</v>
      </c>
      <c r="O1391" s="8">
        <v>0.84458829535924707</v>
      </c>
      <c r="P1391" s="8">
        <f t="shared" si="172"/>
        <v>1.0861906125204051</v>
      </c>
      <c r="Q1391" s="8">
        <f t="shared" si="173"/>
        <v>0.98033514314119641</v>
      </c>
      <c r="R1391" s="8">
        <f t="shared" si="174"/>
        <v>0.90254429732772157</v>
      </c>
      <c r="S1391" s="22">
        <f t="shared" si="175"/>
        <v>-0.14793035295215659</v>
      </c>
      <c r="T1391" s="25"/>
      <c r="U1391" s="1" t="s">
        <v>3946</v>
      </c>
    </row>
    <row r="1392" spans="1:21">
      <c r="A1392" s="6" t="s">
        <v>3947</v>
      </c>
      <c r="B1392" s="6" t="s">
        <v>3948</v>
      </c>
      <c r="C1392" s="7">
        <v>0.9648490664782442</v>
      </c>
      <c r="D1392" s="7">
        <v>0.93275729609278057</v>
      </c>
      <c r="E1392" s="7">
        <v>1.0027402108793966</v>
      </c>
      <c r="F1392" s="8">
        <v>1.0388033435563966</v>
      </c>
      <c r="G1392" s="8">
        <f t="shared" si="168"/>
        <v>0.94880318128551244</v>
      </c>
      <c r="H1392" s="8">
        <f t="shared" si="169"/>
        <v>1.0207717772178966</v>
      </c>
      <c r="I1392" s="8">
        <f t="shared" si="170"/>
        <v>1.0758519757858269</v>
      </c>
      <c r="J1392" s="22">
        <f t="shared" si="171"/>
        <v>0.10547959416753461</v>
      </c>
      <c r="K1392" s="8"/>
      <c r="L1392" s="8">
        <v>0.92035694330711115</v>
      </c>
      <c r="M1392" s="8">
        <v>0.90157051730578552</v>
      </c>
      <c r="N1392" s="8">
        <v>1.1659228966136352</v>
      </c>
      <c r="O1392" s="8">
        <v>1.0156759445797534</v>
      </c>
      <c r="P1392" s="8">
        <f t="shared" si="172"/>
        <v>0.91096373030644839</v>
      </c>
      <c r="Q1392" s="8">
        <f t="shared" si="173"/>
        <v>1.0907994205966944</v>
      </c>
      <c r="R1392" s="8">
        <f t="shared" si="174"/>
        <v>1.1974125690270339</v>
      </c>
      <c r="S1392" s="22">
        <f t="shared" si="175"/>
        <v>0.25992031914640379</v>
      </c>
      <c r="T1392" s="25"/>
      <c r="U1392" s="1" t="s">
        <v>3949</v>
      </c>
    </row>
    <row r="1393" spans="1:21">
      <c r="A1393" s="6" t="s">
        <v>3950</v>
      </c>
      <c r="B1393" s="6" t="s">
        <v>3951</v>
      </c>
      <c r="C1393" s="7">
        <v>0.94316304564191733</v>
      </c>
      <c r="D1393" s="7">
        <v>0.88381259000931289</v>
      </c>
      <c r="E1393" s="7">
        <v>1.0963404870841353</v>
      </c>
      <c r="F1393" s="8">
        <v>0.94084744563224043</v>
      </c>
      <c r="G1393" s="8">
        <f t="shared" si="168"/>
        <v>0.91348781782561517</v>
      </c>
      <c r="H1393" s="8">
        <f t="shared" si="169"/>
        <v>1.0185939663581878</v>
      </c>
      <c r="I1393" s="8">
        <f t="shared" si="170"/>
        <v>1.1150602629630659</v>
      </c>
      <c r="J1393" s="22">
        <f t="shared" si="171"/>
        <v>0.15712168209945912</v>
      </c>
      <c r="K1393" s="8"/>
      <c r="L1393" s="8">
        <v>1.0949987099528955</v>
      </c>
      <c r="M1393" s="8">
        <v>1.1728508080705593</v>
      </c>
      <c r="N1393" s="8">
        <v>1.1366216148820507</v>
      </c>
      <c r="O1393" s="8">
        <v>0.75517666423402641</v>
      </c>
      <c r="P1393" s="8">
        <f t="shared" si="172"/>
        <v>1.1339247590117274</v>
      </c>
      <c r="Q1393" s="8">
        <f t="shared" si="173"/>
        <v>0.9458991395580385</v>
      </c>
      <c r="R1393" s="8">
        <f t="shared" si="174"/>
        <v>0.83418157337214971</v>
      </c>
      <c r="S1393" s="22">
        <f t="shared" si="175"/>
        <v>-0.26156665067536528</v>
      </c>
      <c r="T1393" s="25"/>
      <c r="U1393" s="1" t="s">
        <v>3952</v>
      </c>
    </row>
    <row r="1394" spans="1:21">
      <c r="A1394" s="6" t="s">
        <v>3953</v>
      </c>
      <c r="B1394" s="6" t="s">
        <v>3954</v>
      </c>
      <c r="C1394" s="7">
        <v>0.98598163144510986</v>
      </c>
      <c r="D1394" s="7">
        <v>0.96400462687133126</v>
      </c>
      <c r="E1394" s="7">
        <v>0.93422386186355899</v>
      </c>
      <c r="F1394" s="8">
        <v>0.96139450067492449</v>
      </c>
      <c r="G1394" s="8">
        <f t="shared" si="168"/>
        <v>0.97499312915822056</v>
      </c>
      <c r="H1394" s="8">
        <f t="shared" si="169"/>
        <v>0.94780918126924174</v>
      </c>
      <c r="I1394" s="8">
        <f t="shared" si="170"/>
        <v>0.97211883132710009</v>
      </c>
      <c r="J1394" s="22">
        <f t="shared" si="171"/>
        <v>-4.0795415945531481E-2</v>
      </c>
      <c r="K1394" s="8"/>
      <c r="L1394" s="8">
        <v>1.056246838655754</v>
      </c>
      <c r="M1394" s="8">
        <v>0.91067329250246376</v>
      </c>
      <c r="N1394" s="8">
        <v>1.0743324522467708</v>
      </c>
      <c r="O1394" s="8">
        <v>0.98824968020089365</v>
      </c>
      <c r="P1394" s="8">
        <f t="shared" si="172"/>
        <v>0.98346006557910881</v>
      </c>
      <c r="Q1394" s="8">
        <f t="shared" si="173"/>
        <v>1.0312910662238322</v>
      </c>
      <c r="R1394" s="8">
        <f t="shared" si="174"/>
        <v>1.0486354274248626</v>
      </c>
      <c r="S1394" s="22">
        <f t="shared" si="175"/>
        <v>6.8513192247447993E-2</v>
      </c>
      <c r="T1394" s="25"/>
      <c r="U1394" s="1" t="s">
        <v>3955</v>
      </c>
    </row>
    <row r="1395" spans="1:21">
      <c r="A1395" s="6" t="s">
        <v>3956</v>
      </c>
      <c r="B1395" s="6" t="s">
        <v>80</v>
      </c>
      <c r="C1395" s="7">
        <v>0.97956289325172463</v>
      </c>
      <c r="D1395" s="7">
        <v>1.0180498865361289</v>
      </c>
      <c r="E1395" s="7">
        <v>0.95478880874676741</v>
      </c>
      <c r="F1395" s="8">
        <v>0.91813117917106601</v>
      </c>
      <c r="G1395" s="8">
        <f t="shared" si="168"/>
        <v>0.99880638989392678</v>
      </c>
      <c r="H1395" s="8">
        <f t="shared" si="169"/>
        <v>0.93645999395891666</v>
      </c>
      <c r="I1395" s="8">
        <f t="shared" si="170"/>
        <v>0.93757909784534788</v>
      </c>
      <c r="J1395" s="22">
        <f t="shared" si="171"/>
        <v>-9.2987687852240875E-2</v>
      </c>
      <c r="K1395" s="8"/>
      <c r="L1395" s="8">
        <v>0.97981953693083601</v>
      </c>
      <c r="M1395" s="8">
        <v>1.005614798056224</v>
      </c>
      <c r="N1395" s="8">
        <v>0.95985636626602155</v>
      </c>
      <c r="O1395" s="8">
        <v>1.0259231202817451</v>
      </c>
      <c r="P1395" s="8">
        <f t="shared" si="172"/>
        <v>0.99271716749353001</v>
      </c>
      <c r="Q1395" s="8">
        <f t="shared" si="173"/>
        <v>0.99288974327388335</v>
      </c>
      <c r="R1395" s="8">
        <f t="shared" si="174"/>
        <v>1.0001738418413666</v>
      </c>
      <c r="S1395" s="22">
        <f t="shared" si="175"/>
        <v>2.5077896513156657E-4</v>
      </c>
      <c r="T1395" s="25"/>
      <c r="U1395" s="1">
        <v>0</v>
      </c>
    </row>
    <row r="1396" spans="1:21">
      <c r="A1396" s="6" t="s">
        <v>3957</v>
      </c>
      <c r="B1396" s="6" t="s">
        <v>80</v>
      </c>
      <c r="C1396" s="7">
        <v>1.0977459697671568</v>
      </c>
      <c r="D1396" s="7">
        <v>1.3531665609781456</v>
      </c>
      <c r="E1396" s="7">
        <v>0.99292039494527995</v>
      </c>
      <c r="F1396" s="8">
        <v>0.98231138848403965</v>
      </c>
      <c r="G1396" s="8">
        <f t="shared" si="168"/>
        <v>1.2254562653726513</v>
      </c>
      <c r="H1396" s="8">
        <f t="shared" si="169"/>
        <v>0.9876158917146598</v>
      </c>
      <c r="I1396" s="8">
        <f t="shared" si="170"/>
        <v>0.80591688142728934</v>
      </c>
      <c r="J1396" s="22">
        <f t="shared" si="171"/>
        <v>-0.31129704141472986</v>
      </c>
      <c r="K1396" s="8"/>
      <c r="L1396" s="8">
        <v>1.0034151207873179</v>
      </c>
      <c r="M1396" s="8">
        <v>1.1003804045723671</v>
      </c>
      <c r="N1396" s="8">
        <v>1.4099566106428607</v>
      </c>
      <c r="O1396" s="8">
        <v>1.2349353658503086</v>
      </c>
      <c r="P1396" s="8">
        <f t="shared" si="172"/>
        <v>1.0518977626798425</v>
      </c>
      <c r="Q1396" s="8">
        <f t="shared" si="173"/>
        <v>1.3224459882465847</v>
      </c>
      <c r="R1396" s="8">
        <f t="shared" si="174"/>
        <v>1.2572001150354064</v>
      </c>
      <c r="S1396" s="22">
        <f t="shared" si="175"/>
        <v>0.33021430925773526</v>
      </c>
      <c r="T1396" s="25"/>
      <c r="U1396" s="1">
        <v>0</v>
      </c>
    </row>
    <row r="1397" spans="1:21">
      <c r="A1397" s="6" t="s">
        <v>3958</v>
      </c>
      <c r="B1397" s="6" t="s">
        <v>3959</v>
      </c>
      <c r="C1397" s="7">
        <v>1.1759654828303974</v>
      </c>
      <c r="D1397" s="7">
        <v>1.1757033608681406</v>
      </c>
      <c r="E1397" s="7">
        <v>1.0780780682614466</v>
      </c>
      <c r="F1397" s="8">
        <v>0.99034102681674652</v>
      </c>
      <c r="G1397" s="8">
        <f t="shared" si="168"/>
        <v>1.1758344218492689</v>
      </c>
      <c r="H1397" s="8">
        <f t="shared" si="169"/>
        <v>1.0342095475390964</v>
      </c>
      <c r="I1397" s="8">
        <f t="shared" si="170"/>
        <v>0.87955372654643427</v>
      </c>
      <c r="J1397" s="22">
        <f t="shared" si="171"/>
        <v>-0.18515638910062071</v>
      </c>
      <c r="K1397" s="8"/>
      <c r="L1397" s="8">
        <v>0.97314560354077284</v>
      </c>
      <c r="M1397" s="8">
        <v>1.1667822912727739</v>
      </c>
      <c r="N1397" s="8">
        <v>0.98556680464814717</v>
      </c>
      <c r="O1397" s="8">
        <v>0.98161915474666384</v>
      </c>
      <c r="P1397" s="8">
        <f t="shared" si="172"/>
        <v>1.0699639474067735</v>
      </c>
      <c r="Q1397" s="8">
        <f t="shared" si="173"/>
        <v>0.98359297969740545</v>
      </c>
      <c r="R1397" s="8">
        <f t="shared" si="174"/>
        <v>0.91927674954029837</v>
      </c>
      <c r="S1397" s="22">
        <f t="shared" si="175"/>
        <v>-0.12142884264002171</v>
      </c>
      <c r="T1397" s="25"/>
      <c r="U1397" s="1" t="s">
        <v>3960</v>
      </c>
    </row>
    <row r="1398" spans="1:21">
      <c r="A1398" s="6" t="s">
        <v>3961</v>
      </c>
      <c r="B1398" s="6" t="s">
        <v>3962</v>
      </c>
      <c r="C1398" s="7">
        <v>1.0612516296918317</v>
      </c>
      <c r="D1398" s="7">
        <v>0.96661930459105339</v>
      </c>
      <c r="E1398" s="7">
        <v>1.0055878857704443</v>
      </c>
      <c r="F1398" s="8">
        <v>0.88350914249824297</v>
      </c>
      <c r="G1398" s="8">
        <f t="shared" si="168"/>
        <v>1.0139354671414424</v>
      </c>
      <c r="H1398" s="8">
        <f t="shared" si="169"/>
        <v>0.94454851413434371</v>
      </c>
      <c r="I1398" s="8">
        <f t="shared" si="170"/>
        <v>0.93156669703771255</v>
      </c>
      <c r="J1398" s="22">
        <f t="shared" si="171"/>
        <v>-0.10226902991709041</v>
      </c>
      <c r="K1398" s="8"/>
      <c r="L1398" s="8">
        <v>1.0252022839832662</v>
      </c>
      <c r="M1398" s="8">
        <v>1.1179703083340642</v>
      </c>
      <c r="N1398" s="8">
        <v>1.0839559124233205</v>
      </c>
      <c r="O1398" s="8">
        <v>0.7479433637385029</v>
      </c>
      <c r="P1398" s="8">
        <f t="shared" si="172"/>
        <v>1.0715862961586651</v>
      </c>
      <c r="Q1398" s="8">
        <f t="shared" si="173"/>
        <v>0.91594963808091168</v>
      </c>
      <c r="R1398" s="8">
        <f t="shared" si="174"/>
        <v>0.85476049979766733</v>
      </c>
      <c r="S1398" s="22">
        <f t="shared" si="175"/>
        <v>-0.22640785518951584</v>
      </c>
      <c r="T1398" s="25"/>
      <c r="U1398" s="1" t="s">
        <v>3963</v>
      </c>
    </row>
    <row r="1399" spans="1:21">
      <c r="A1399" s="6" t="s">
        <v>3964</v>
      </c>
      <c r="B1399" s="6" t="s">
        <v>3965</v>
      </c>
      <c r="C1399" s="7">
        <v>1.1641944214116131</v>
      </c>
      <c r="D1399" s="7">
        <v>1.0943263469114699</v>
      </c>
      <c r="E1399" s="7">
        <v>1.3183084959089986</v>
      </c>
      <c r="F1399" s="8">
        <v>1.3249258857395667</v>
      </c>
      <c r="G1399" s="8">
        <f t="shared" si="168"/>
        <v>1.1292603841615416</v>
      </c>
      <c r="H1399" s="8">
        <f t="shared" si="169"/>
        <v>1.3216171908242826</v>
      </c>
      <c r="I1399" s="8">
        <f t="shared" si="170"/>
        <v>1.1703387538964833</v>
      </c>
      <c r="J1399" s="22">
        <f t="shared" si="171"/>
        <v>0.22692617752667599</v>
      </c>
      <c r="K1399" s="8"/>
      <c r="L1399" s="8">
        <v>0.76341186455368792</v>
      </c>
      <c r="M1399" s="8">
        <v>0.71032428865673369</v>
      </c>
      <c r="N1399" s="8">
        <v>0.8465293501570994</v>
      </c>
      <c r="O1399" s="8">
        <v>0.94751213366013298</v>
      </c>
      <c r="P1399" s="8">
        <f t="shared" si="172"/>
        <v>0.73686807660521081</v>
      </c>
      <c r="Q1399" s="8">
        <f t="shared" si="173"/>
        <v>0.89702074190861625</v>
      </c>
      <c r="R1399" s="8">
        <f t="shared" si="174"/>
        <v>1.2173423851406848</v>
      </c>
      <c r="S1399" s="22">
        <f t="shared" si="175"/>
        <v>0.28373499210565473</v>
      </c>
      <c r="T1399" s="25"/>
      <c r="U1399" s="1" t="s">
        <v>3966</v>
      </c>
    </row>
    <row r="1400" spans="1:21">
      <c r="A1400" s="6" t="s">
        <v>3967</v>
      </c>
      <c r="B1400" s="6" t="s">
        <v>3968</v>
      </c>
      <c r="C1400" s="7">
        <v>0.9392686061702209</v>
      </c>
      <c r="D1400" s="7">
        <v>0.87489306133489142</v>
      </c>
      <c r="E1400" s="7">
        <v>0.9532537900397543</v>
      </c>
      <c r="F1400" s="8">
        <v>0.94704925663854733</v>
      </c>
      <c r="G1400" s="8">
        <f t="shared" si="168"/>
        <v>0.90708083375255621</v>
      </c>
      <c r="H1400" s="8">
        <f t="shared" si="169"/>
        <v>0.95015152333915087</v>
      </c>
      <c r="I1400" s="8">
        <f t="shared" si="170"/>
        <v>1.0474827468335022</v>
      </c>
      <c r="J1400" s="22">
        <f t="shared" si="171"/>
        <v>6.692648138263535E-2</v>
      </c>
      <c r="K1400" s="8"/>
      <c r="L1400" s="8">
        <v>1.0477644846051575</v>
      </c>
      <c r="M1400" s="8">
        <v>0.74893412741365883</v>
      </c>
      <c r="N1400" s="8">
        <v>0.8655368809535684</v>
      </c>
      <c r="O1400" s="8">
        <v>0.8801520227955707</v>
      </c>
      <c r="P1400" s="8">
        <f t="shared" si="172"/>
        <v>0.8983493060094081</v>
      </c>
      <c r="Q1400" s="8">
        <f t="shared" si="173"/>
        <v>0.87284445187456949</v>
      </c>
      <c r="R1400" s="8">
        <f t="shared" si="174"/>
        <v>0.97160920149408847</v>
      </c>
      <c r="S1400" s="22">
        <f t="shared" si="175"/>
        <v>-4.1551941999802271E-2</v>
      </c>
      <c r="T1400" s="25"/>
      <c r="U1400" s="1" t="s">
        <v>3969</v>
      </c>
    </row>
    <row r="1401" spans="1:21">
      <c r="A1401" s="6" t="s">
        <v>3970</v>
      </c>
      <c r="B1401" s="6" t="s">
        <v>3971</v>
      </c>
      <c r="C1401" s="7">
        <v>0.9909222374993244</v>
      </c>
      <c r="D1401" s="7">
        <v>0.88087590764430479</v>
      </c>
      <c r="E1401" s="7">
        <v>0.87756445641170588</v>
      </c>
      <c r="F1401" s="8">
        <v>0.82661890598511401</v>
      </c>
      <c r="G1401" s="8">
        <f t="shared" si="168"/>
        <v>0.93589907257181459</v>
      </c>
      <c r="H1401" s="8">
        <f t="shared" si="169"/>
        <v>0.85209168119840994</v>
      </c>
      <c r="I1401" s="8">
        <f t="shared" si="170"/>
        <v>0.91045253293914996</v>
      </c>
      <c r="J1401" s="22">
        <f t="shared" si="171"/>
        <v>-0.13534429160990713</v>
      </c>
      <c r="K1401" s="8"/>
      <c r="L1401" s="8">
        <v>0.79764268419949635</v>
      </c>
      <c r="M1401" s="8">
        <v>0.97333732465350975</v>
      </c>
      <c r="N1401" s="8">
        <v>0.83044237195152359</v>
      </c>
      <c r="O1401" s="8">
        <v>0.76964326522507331</v>
      </c>
      <c r="P1401" s="8">
        <f t="shared" si="172"/>
        <v>0.88549000442650305</v>
      </c>
      <c r="Q1401" s="8">
        <f t="shared" si="173"/>
        <v>0.8000428185882984</v>
      </c>
      <c r="R1401" s="8">
        <f t="shared" si="174"/>
        <v>0.90350293576318186</v>
      </c>
      <c r="S1401" s="22">
        <f t="shared" si="175"/>
        <v>-0.14639880602316249</v>
      </c>
      <c r="T1401" s="25"/>
      <c r="U1401" s="1" t="s">
        <v>3972</v>
      </c>
    </row>
    <row r="1402" spans="1:21">
      <c r="A1402" s="6" t="s">
        <v>3973</v>
      </c>
      <c r="B1402" s="6" t="s">
        <v>3974</v>
      </c>
      <c r="C1402" s="7">
        <v>1.045626625572287</v>
      </c>
      <c r="D1402" s="7">
        <v>0.99197395036087077</v>
      </c>
      <c r="E1402" s="7">
        <v>0.76991947633625846</v>
      </c>
      <c r="F1402" s="8">
        <v>0.53126476897833574</v>
      </c>
      <c r="G1402" s="8">
        <f t="shared" si="168"/>
        <v>1.018800287966579</v>
      </c>
      <c r="H1402" s="8">
        <f t="shared" si="169"/>
        <v>0.65059212265729705</v>
      </c>
      <c r="I1402" s="8">
        <f t="shared" si="170"/>
        <v>0.63858651233384744</v>
      </c>
      <c r="J1402" s="22">
        <f t="shared" si="171"/>
        <v>-0.64704601300122189</v>
      </c>
      <c r="K1402" s="8"/>
      <c r="L1402" s="8">
        <v>0.59621906872390962</v>
      </c>
      <c r="M1402" s="8">
        <v>1.0516123963930619</v>
      </c>
      <c r="N1402" s="8">
        <v>1.1396379232955962</v>
      </c>
      <c r="O1402" s="8">
        <v>0.94942092129089617</v>
      </c>
      <c r="P1402" s="8">
        <f t="shared" si="172"/>
        <v>0.82391573255848582</v>
      </c>
      <c r="Q1402" s="8">
        <f t="shared" si="173"/>
        <v>1.0445294222932462</v>
      </c>
      <c r="R1402" s="8">
        <f t="shared" si="174"/>
        <v>1.2677624434354395</v>
      </c>
      <c r="S1402" s="22">
        <f t="shared" si="175"/>
        <v>0.34228443492081534</v>
      </c>
      <c r="T1402" s="25"/>
      <c r="U1402" s="1" t="s">
        <v>3975</v>
      </c>
    </row>
    <row r="1403" spans="1:21">
      <c r="A1403" s="6" t="s">
        <v>3976</v>
      </c>
      <c r="B1403" s="6" t="s">
        <v>3977</v>
      </c>
      <c r="C1403" s="7">
        <v>0.89370298940519044</v>
      </c>
      <c r="D1403" s="7">
        <v>0.92095904588950261</v>
      </c>
      <c r="E1403" s="7">
        <v>0.90833656039809019</v>
      </c>
      <c r="F1403" s="8">
        <v>1.0119549071472127</v>
      </c>
      <c r="G1403" s="8">
        <f t="shared" si="168"/>
        <v>0.90733101764734658</v>
      </c>
      <c r="H1403" s="8">
        <f t="shared" si="169"/>
        <v>0.96014573377265144</v>
      </c>
      <c r="I1403" s="8">
        <f t="shared" si="170"/>
        <v>1.0582088731654409</v>
      </c>
      <c r="J1403" s="22">
        <f t="shared" si="171"/>
        <v>8.1624420021099556E-2</v>
      </c>
      <c r="K1403" s="8"/>
      <c r="L1403" s="8">
        <v>0.9092050159004893</v>
      </c>
      <c r="M1403" s="8">
        <v>0.99501688103980146</v>
      </c>
      <c r="N1403" s="8">
        <v>0.86089272355493485</v>
      </c>
      <c r="O1403" s="8">
        <v>1.2700470120056622</v>
      </c>
      <c r="P1403" s="8">
        <f t="shared" si="172"/>
        <v>0.95211094847014532</v>
      </c>
      <c r="Q1403" s="8">
        <f t="shared" si="173"/>
        <v>1.0654698677802985</v>
      </c>
      <c r="R1403" s="8">
        <f t="shared" si="174"/>
        <v>1.1190606194501793</v>
      </c>
      <c r="S1403" s="22">
        <f t="shared" si="175"/>
        <v>0.16228818913949536</v>
      </c>
      <c r="T1403" s="25"/>
      <c r="U1403" s="1" t="s">
        <v>3978</v>
      </c>
    </row>
    <row r="1404" spans="1:21">
      <c r="A1404" s="6" t="s">
        <v>3979</v>
      </c>
      <c r="B1404" s="6" t="s">
        <v>3980</v>
      </c>
      <c r="C1404" s="7">
        <v>1.03307262658207</v>
      </c>
      <c r="D1404" s="7">
        <v>1.029590533023178</v>
      </c>
      <c r="E1404" s="7">
        <v>1.0181262628725887</v>
      </c>
      <c r="F1404" s="8">
        <v>0.99678465155495066</v>
      </c>
      <c r="G1404" s="8">
        <f t="shared" si="168"/>
        <v>1.0313315798026239</v>
      </c>
      <c r="H1404" s="8">
        <f t="shared" si="169"/>
        <v>1.0074554572137697</v>
      </c>
      <c r="I1404" s="8">
        <f t="shared" si="170"/>
        <v>0.97684922768153415</v>
      </c>
      <c r="J1404" s="22">
        <f t="shared" si="171"/>
        <v>-3.3792189051729878E-2</v>
      </c>
      <c r="K1404" s="8"/>
      <c r="L1404" s="8">
        <v>1.0989169547173843</v>
      </c>
      <c r="M1404" s="8">
        <v>0.94075202793496582</v>
      </c>
      <c r="N1404" s="8">
        <v>1.236207670440377</v>
      </c>
      <c r="O1404" s="8">
        <v>1.2969207325966694</v>
      </c>
      <c r="P1404" s="8">
        <f t="shared" si="172"/>
        <v>1.019834491326175</v>
      </c>
      <c r="Q1404" s="8">
        <f t="shared" si="173"/>
        <v>1.2665642015185232</v>
      </c>
      <c r="R1404" s="8">
        <f t="shared" si="174"/>
        <v>1.2419311293065851</v>
      </c>
      <c r="S1404" s="22">
        <f t="shared" si="175"/>
        <v>0.31258517181703738</v>
      </c>
      <c r="T1404" s="25"/>
      <c r="U1404" s="1" t="s">
        <v>3981</v>
      </c>
    </row>
    <row r="1405" spans="1:21">
      <c r="A1405" s="6" t="s">
        <v>3982</v>
      </c>
      <c r="B1405" s="6" t="s">
        <v>3983</v>
      </c>
      <c r="C1405" s="7">
        <v>1.0204443835118029</v>
      </c>
      <c r="D1405" s="7">
        <v>1.083487670551144</v>
      </c>
      <c r="E1405" s="7">
        <v>1.0302988177595105</v>
      </c>
      <c r="F1405" s="8">
        <v>0.93574802075664176</v>
      </c>
      <c r="G1405" s="8">
        <f t="shared" si="168"/>
        <v>1.0519660270314735</v>
      </c>
      <c r="H1405" s="8">
        <f t="shared" si="169"/>
        <v>0.98302341925807613</v>
      </c>
      <c r="I1405" s="8">
        <f t="shared" si="170"/>
        <v>0.93446308530709365</v>
      </c>
      <c r="J1405" s="22">
        <f t="shared" si="171"/>
        <v>-9.7790421496162516E-2</v>
      </c>
      <c r="K1405" s="8"/>
      <c r="L1405" s="8">
        <v>0.89335980630343581</v>
      </c>
      <c r="M1405" s="8">
        <v>0.93283657124220221</v>
      </c>
      <c r="N1405" s="8">
        <v>1.2813086629095805</v>
      </c>
      <c r="O1405" s="8">
        <v>0.88994711721659214</v>
      </c>
      <c r="P1405" s="8">
        <f t="shared" si="172"/>
        <v>0.91309818877281901</v>
      </c>
      <c r="Q1405" s="8">
        <f t="shared" si="173"/>
        <v>1.0856278900630862</v>
      </c>
      <c r="R1405" s="8">
        <f t="shared" si="174"/>
        <v>1.1889497793464499</v>
      </c>
      <c r="S1405" s="22">
        <f t="shared" si="175"/>
        <v>0.24968777764202391</v>
      </c>
      <c r="T1405" s="25"/>
      <c r="U1405" s="1" t="s">
        <v>3984</v>
      </c>
    </row>
    <row r="1406" spans="1:21">
      <c r="A1406" s="6" t="s">
        <v>3985</v>
      </c>
      <c r="B1406" s="6" t="s">
        <v>3986</v>
      </c>
      <c r="C1406" s="7">
        <v>1.0125137658701335</v>
      </c>
      <c r="D1406" s="7">
        <v>0.98020790062212138</v>
      </c>
      <c r="E1406" s="7">
        <v>1.0285701284679676</v>
      </c>
      <c r="F1406" s="8">
        <v>0.87543683115402482</v>
      </c>
      <c r="G1406" s="8">
        <f t="shared" si="168"/>
        <v>0.99636083324612745</v>
      </c>
      <c r="H1406" s="8">
        <f t="shared" si="169"/>
        <v>0.9520034798109962</v>
      </c>
      <c r="I1406" s="8">
        <f t="shared" si="170"/>
        <v>0.95548063316518006</v>
      </c>
      <c r="J1406" s="22">
        <f t="shared" si="171"/>
        <v>-6.5701463672820731E-2</v>
      </c>
      <c r="K1406" s="8"/>
      <c r="L1406" s="8">
        <v>0.84181981747823764</v>
      </c>
      <c r="M1406" s="8">
        <v>1.0526677906187638</v>
      </c>
      <c r="N1406" s="8">
        <v>1.2643120043888085</v>
      </c>
      <c r="O1406" s="8">
        <v>0.81967359365244397</v>
      </c>
      <c r="P1406" s="8">
        <f t="shared" si="172"/>
        <v>0.94724380404850073</v>
      </c>
      <c r="Q1406" s="8">
        <f t="shared" si="173"/>
        <v>1.0419927990206261</v>
      </c>
      <c r="R1406" s="8">
        <f t="shared" si="174"/>
        <v>1.1000259854613672</v>
      </c>
      <c r="S1406" s="22">
        <f t="shared" si="175"/>
        <v>0.13753760434398168</v>
      </c>
      <c r="T1406" s="25"/>
      <c r="U1406" s="1" t="s">
        <v>3987</v>
      </c>
    </row>
    <row r="1407" spans="1:21">
      <c r="A1407" s="6" t="s">
        <v>3988</v>
      </c>
      <c r="B1407" s="6" t="s">
        <v>3989</v>
      </c>
      <c r="C1407" s="7">
        <v>0.65046588423882024</v>
      </c>
      <c r="D1407" s="7">
        <v>0.60120199302762678</v>
      </c>
      <c r="E1407" s="7">
        <v>0.87242859942936302</v>
      </c>
      <c r="F1407" s="8">
        <v>0.87038719145852261</v>
      </c>
      <c r="G1407" s="8">
        <f t="shared" si="168"/>
        <v>0.62583393863322345</v>
      </c>
      <c r="H1407" s="8">
        <f t="shared" si="169"/>
        <v>0.87140789544394281</v>
      </c>
      <c r="I1407" s="8">
        <f t="shared" si="170"/>
        <v>1.3923947578602645</v>
      </c>
      <c r="J1407" s="22">
        <f t="shared" si="171"/>
        <v>0.47756828767233972</v>
      </c>
      <c r="K1407" s="8"/>
      <c r="L1407" s="8">
        <v>0.98722545011206753</v>
      </c>
      <c r="M1407" s="8">
        <v>0.90675953891548622</v>
      </c>
      <c r="N1407" s="8">
        <v>1.0496274500024936</v>
      </c>
      <c r="O1407" s="8">
        <v>1.2159479520495595</v>
      </c>
      <c r="P1407" s="8">
        <f t="shared" si="172"/>
        <v>0.94699249451377687</v>
      </c>
      <c r="Q1407" s="8">
        <f t="shared" si="173"/>
        <v>1.1327877010260266</v>
      </c>
      <c r="R1407" s="8">
        <f t="shared" si="174"/>
        <v>1.1961950148376248</v>
      </c>
      <c r="S1407" s="22">
        <f t="shared" si="175"/>
        <v>0.2584526102751461</v>
      </c>
      <c r="T1407" s="25"/>
      <c r="U1407" s="1" t="s">
        <v>3990</v>
      </c>
    </row>
    <row r="1408" spans="1:21">
      <c r="A1408" s="6" t="s">
        <v>3991</v>
      </c>
      <c r="B1408" s="6" t="s">
        <v>3992</v>
      </c>
      <c r="C1408" s="7">
        <v>1.0783682648741924</v>
      </c>
      <c r="D1408" s="7">
        <v>0.97620216283476391</v>
      </c>
      <c r="E1408" s="7">
        <v>0.92100405122325446</v>
      </c>
      <c r="F1408" s="8">
        <v>0.96597473724380245</v>
      </c>
      <c r="G1408" s="8">
        <f t="shared" si="168"/>
        <v>1.0272852138544781</v>
      </c>
      <c r="H1408" s="8">
        <f t="shared" si="169"/>
        <v>0.94348939423352851</v>
      </c>
      <c r="I1408" s="8">
        <f t="shared" si="170"/>
        <v>0.9184298396483882</v>
      </c>
      <c r="J1408" s="22">
        <f t="shared" si="171"/>
        <v>-0.12275857916578269</v>
      </c>
      <c r="K1408" s="8"/>
      <c r="L1408" s="8">
        <v>1.0175380249933872</v>
      </c>
      <c r="M1408" s="8">
        <v>0.93402388974611672</v>
      </c>
      <c r="N1408" s="8">
        <v>0.83728891327115851</v>
      </c>
      <c r="O1408" s="8">
        <v>0.91832777541083344</v>
      </c>
      <c r="P1408" s="8">
        <f t="shared" si="172"/>
        <v>0.97578095736975201</v>
      </c>
      <c r="Q1408" s="8">
        <f t="shared" si="173"/>
        <v>0.87780834434099597</v>
      </c>
      <c r="R1408" s="8">
        <f t="shared" si="174"/>
        <v>0.89959569072464352</v>
      </c>
      <c r="S1408" s="22">
        <f t="shared" si="175"/>
        <v>-0.15265134460431043</v>
      </c>
      <c r="T1408" s="25"/>
      <c r="U1408" s="1" t="s">
        <v>3993</v>
      </c>
    </row>
    <row r="1409" spans="1:21">
      <c r="A1409" s="6" t="s">
        <v>3994</v>
      </c>
      <c r="B1409" s="6" t="s">
        <v>3995</v>
      </c>
      <c r="C1409" s="7">
        <v>1.1369805913424968</v>
      </c>
      <c r="D1409" s="7">
        <v>1.070356321116382</v>
      </c>
      <c r="E1409" s="7">
        <v>1.1307636402381349</v>
      </c>
      <c r="F1409" s="8">
        <v>1.0009452701773009</v>
      </c>
      <c r="G1409" s="8">
        <f t="shared" si="168"/>
        <v>1.1036684562294394</v>
      </c>
      <c r="H1409" s="8">
        <f t="shared" si="169"/>
        <v>1.065854455207718</v>
      </c>
      <c r="I1409" s="8">
        <f t="shared" si="170"/>
        <v>0.9657378981810274</v>
      </c>
      <c r="J1409" s="22">
        <f t="shared" si="171"/>
        <v>-5.0296400963533307E-2</v>
      </c>
      <c r="K1409" s="8"/>
      <c r="L1409" s="8">
        <v>1.0821244771552896</v>
      </c>
      <c r="M1409" s="8">
        <v>1.0214457114417514</v>
      </c>
      <c r="N1409" s="8">
        <v>1.01180390005486</v>
      </c>
      <c r="O1409" s="8">
        <v>0.91124516867563343</v>
      </c>
      <c r="P1409" s="8">
        <f t="shared" si="172"/>
        <v>1.0517850942985205</v>
      </c>
      <c r="Q1409" s="8">
        <f t="shared" si="173"/>
        <v>0.96152453436524676</v>
      </c>
      <c r="R1409" s="8">
        <f t="shared" si="174"/>
        <v>0.91418345779707755</v>
      </c>
      <c r="S1409" s="22">
        <f t="shared" si="175"/>
        <v>-0.12944438136003145</v>
      </c>
      <c r="T1409" s="25"/>
      <c r="U1409" s="1" t="s">
        <v>3996</v>
      </c>
    </row>
    <row r="1410" spans="1:21">
      <c r="A1410" s="6" t="s">
        <v>3997</v>
      </c>
      <c r="B1410" s="6" t="s">
        <v>3998</v>
      </c>
      <c r="C1410" s="7">
        <v>1.0377162563160858</v>
      </c>
      <c r="D1410" s="7">
        <v>0.88785052826119892</v>
      </c>
      <c r="E1410" s="7">
        <v>0.74264778884063298</v>
      </c>
      <c r="F1410" s="8">
        <v>0.75451574086821172</v>
      </c>
      <c r="G1410" s="8">
        <f t="shared" si="168"/>
        <v>0.9627833922886424</v>
      </c>
      <c r="H1410" s="8">
        <f t="shared" si="169"/>
        <v>0.7485817648544224</v>
      </c>
      <c r="I1410" s="8">
        <f t="shared" si="170"/>
        <v>0.77751836067192737</v>
      </c>
      <c r="J1410" s="22">
        <f t="shared" si="171"/>
        <v>-0.36305135078550521</v>
      </c>
      <c r="K1410" s="8"/>
      <c r="L1410" s="8">
        <v>0.6759618083264719</v>
      </c>
      <c r="M1410" s="8">
        <v>1.0598356764016554</v>
      </c>
      <c r="N1410" s="8">
        <v>0.82584609246421625</v>
      </c>
      <c r="O1410" s="8">
        <v>0.50638126594008381</v>
      </c>
      <c r="P1410" s="8">
        <f t="shared" si="172"/>
        <v>0.86789874236406361</v>
      </c>
      <c r="Q1410" s="8">
        <f t="shared" si="173"/>
        <v>0.66611367920215003</v>
      </c>
      <c r="R1410" s="8">
        <f t="shared" si="174"/>
        <v>0.76750160668251166</v>
      </c>
      <c r="S1410" s="22">
        <f t="shared" si="175"/>
        <v>-0.38175832427364542</v>
      </c>
      <c r="T1410" s="25"/>
      <c r="U1410" s="1" t="s">
        <v>3999</v>
      </c>
    </row>
    <row r="1411" spans="1:21">
      <c r="A1411" s="6" t="s">
        <v>4000</v>
      </c>
      <c r="B1411" s="6" t="s">
        <v>4001</v>
      </c>
      <c r="C1411" s="7">
        <v>0.81339789263873641</v>
      </c>
      <c r="D1411" s="7">
        <v>0.76718250748673378</v>
      </c>
      <c r="E1411" s="7">
        <v>0.6058876642242218</v>
      </c>
      <c r="F1411" s="8">
        <v>0.67152384564734635</v>
      </c>
      <c r="G1411" s="8">
        <f t="shared" si="168"/>
        <v>0.79029020006273509</v>
      </c>
      <c r="H1411" s="8">
        <f t="shared" si="169"/>
        <v>0.63870575493578408</v>
      </c>
      <c r="I1411" s="8">
        <f t="shared" si="170"/>
        <v>0.80819141485631751</v>
      </c>
      <c r="J1411" s="22">
        <f t="shared" si="171"/>
        <v>-0.30723106854540189</v>
      </c>
      <c r="K1411" s="8"/>
      <c r="L1411" s="8">
        <v>0.79329386308726157</v>
      </c>
      <c r="M1411" s="8">
        <v>1.1046459562345787</v>
      </c>
      <c r="N1411" s="8">
        <v>0.8085142885641613</v>
      </c>
      <c r="O1411" s="8">
        <v>0.76743309007366334</v>
      </c>
      <c r="P1411" s="8">
        <f t="shared" si="172"/>
        <v>0.9489699096609201</v>
      </c>
      <c r="Q1411" s="8">
        <f t="shared" si="173"/>
        <v>0.78797368931891232</v>
      </c>
      <c r="R1411" s="8">
        <f t="shared" si="174"/>
        <v>0.83034633795761348</v>
      </c>
      <c r="S1411" s="22">
        <f t="shared" si="175"/>
        <v>-0.26821488392758913</v>
      </c>
      <c r="T1411" s="25"/>
      <c r="U1411" s="1" t="s">
        <v>4002</v>
      </c>
    </row>
    <row r="1412" spans="1:21">
      <c r="A1412" s="6" t="s">
        <v>4003</v>
      </c>
      <c r="B1412" s="6" t="s">
        <v>4004</v>
      </c>
      <c r="C1412" s="7">
        <v>0.96740711250904654</v>
      </c>
      <c r="D1412" s="7">
        <v>0.94554088051063367</v>
      </c>
      <c r="E1412" s="7">
        <v>0.98042505575080874</v>
      </c>
      <c r="F1412" s="8">
        <v>0.95528514786022545</v>
      </c>
      <c r="G1412" s="8">
        <f t="shared" si="168"/>
        <v>0.95647399650984011</v>
      </c>
      <c r="H1412" s="8">
        <f t="shared" si="169"/>
        <v>0.96785510180551704</v>
      </c>
      <c r="I1412" s="8">
        <f t="shared" si="170"/>
        <v>1.011899022176459</v>
      </c>
      <c r="J1412" s="22">
        <f t="shared" si="171"/>
        <v>1.7065330077910161E-2</v>
      </c>
      <c r="K1412" s="8"/>
      <c r="L1412" s="8">
        <v>0.98804354517278503</v>
      </c>
      <c r="M1412" s="8">
        <v>1.0411464036548521</v>
      </c>
      <c r="N1412" s="8">
        <v>0.90441374495037652</v>
      </c>
      <c r="O1412" s="8">
        <v>0.8097780367245403</v>
      </c>
      <c r="P1412" s="8">
        <f t="shared" si="172"/>
        <v>1.0145949744138185</v>
      </c>
      <c r="Q1412" s="8">
        <f t="shared" si="173"/>
        <v>0.85709589083745841</v>
      </c>
      <c r="R1412" s="8">
        <f t="shared" si="174"/>
        <v>0.84476654473145296</v>
      </c>
      <c r="S1412" s="22">
        <f t="shared" si="175"/>
        <v>-0.24337539407563785</v>
      </c>
      <c r="T1412" s="25"/>
      <c r="U1412" s="1" t="s">
        <v>4005</v>
      </c>
    </row>
    <row r="1413" spans="1:21">
      <c r="A1413" s="6" t="s">
        <v>4006</v>
      </c>
      <c r="B1413" s="6" t="s">
        <v>4007</v>
      </c>
      <c r="C1413" s="7">
        <v>0.41978952752448989</v>
      </c>
      <c r="D1413" s="7">
        <v>0.41914056658293819</v>
      </c>
      <c r="E1413" s="7">
        <v>0.76951778919797464</v>
      </c>
      <c r="F1413" s="8">
        <v>0.78719615551727129</v>
      </c>
      <c r="G1413" s="8">
        <f t="shared" si="168"/>
        <v>0.41946504705371401</v>
      </c>
      <c r="H1413" s="8">
        <f t="shared" si="169"/>
        <v>0.77835697235762291</v>
      </c>
      <c r="I1413" s="8">
        <f t="shared" si="170"/>
        <v>1.8555943524370733</v>
      </c>
      <c r="J1413" s="22">
        <f t="shared" si="171"/>
        <v>0.89188136041688459</v>
      </c>
      <c r="K1413" s="8"/>
      <c r="L1413" s="8">
        <v>0.62424958896217531</v>
      </c>
      <c r="M1413" s="8">
        <v>0.88499203301038598</v>
      </c>
      <c r="N1413" s="8">
        <v>0.86376539823450194</v>
      </c>
      <c r="O1413" s="8">
        <v>0.6884193284107577</v>
      </c>
      <c r="P1413" s="8">
        <f t="shared" si="172"/>
        <v>0.75462081098628064</v>
      </c>
      <c r="Q1413" s="8">
        <f t="shared" si="173"/>
        <v>0.77609236332262976</v>
      </c>
      <c r="R1413" s="8">
        <f t="shared" si="174"/>
        <v>1.0284534325369135</v>
      </c>
      <c r="S1413" s="22">
        <f t="shared" si="175"/>
        <v>4.0476471384456737E-2</v>
      </c>
      <c r="T1413" s="25"/>
      <c r="U1413" s="1" t="s">
        <v>4008</v>
      </c>
    </row>
    <row r="1414" spans="1:21">
      <c r="A1414" s="6" t="s">
        <v>4009</v>
      </c>
      <c r="B1414" s="6" t="s">
        <v>4010</v>
      </c>
      <c r="C1414" s="7">
        <v>1.040834507678172</v>
      </c>
      <c r="D1414" s="7">
        <v>0.95671444170205688</v>
      </c>
      <c r="E1414" s="7">
        <v>1.0561717732557547</v>
      </c>
      <c r="F1414" s="8">
        <v>0.90676593377189363</v>
      </c>
      <c r="G1414" s="8">
        <f t="shared" ref="G1414:G1477" si="176">AVERAGE(C1414:D1414)</f>
        <v>0.99877447469011438</v>
      </c>
      <c r="H1414" s="8">
        <f t="shared" ref="H1414:H1477" si="177">AVERAGE(E1414:F1414)</f>
        <v>0.98146885351382418</v>
      </c>
      <c r="I1414" s="8">
        <f t="shared" ref="I1414:I1477" si="178">H1414/G1414</f>
        <v>0.98267314432353758</v>
      </c>
      <c r="J1414" s="22">
        <f t="shared" ref="J1414:J1477" si="179">LOG(I1414,2)</f>
        <v>-2.5216466193896683E-2</v>
      </c>
      <c r="K1414" s="8"/>
      <c r="L1414" s="8">
        <v>1.0374306522592531</v>
      </c>
      <c r="M1414" s="8">
        <v>0.99123505173103654</v>
      </c>
      <c r="N1414" s="8">
        <v>1.0483347463966883</v>
      </c>
      <c r="O1414" s="8">
        <v>0.79460819818531747</v>
      </c>
      <c r="P1414" s="8">
        <f t="shared" ref="P1414:P1477" si="180">AVERAGE(L1414:M1414)</f>
        <v>1.0143328519951449</v>
      </c>
      <c r="Q1414" s="8">
        <f t="shared" ref="Q1414:Q1477" si="181">AVERAGE(N1414:O1414)</f>
        <v>0.9214714722910029</v>
      </c>
      <c r="R1414" s="8">
        <f t="shared" ref="R1414:R1477" si="182">Q1414/P1414</f>
        <v>0.90845078169213589</v>
      </c>
      <c r="S1414" s="22">
        <f t="shared" ref="S1414:S1477" si="183">LOG(R1414,2)</f>
        <v>-0.13851974105775752</v>
      </c>
      <c r="T1414" s="25"/>
      <c r="U1414" s="1" t="s">
        <v>4011</v>
      </c>
    </row>
    <row r="1415" spans="1:21">
      <c r="A1415" s="6" t="s">
        <v>4012</v>
      </c>
      <c r="B1415" s="6" t="s">
        <v>4013</v>
      </c>
      <c r="C1415" s="7">
        <v>1.1032197833053643</v>
      </c>
      <c r="D1415" s="7">
        <v>1.0317222037749711</v>
      </c>
      <c r="E1415" s="7">
        <v>1.0798067575529895</v>
      </c>
      <c r="F1415" s="8">
        <v>1.0943564923755054</v>
      </c>
      <c r="G1415" s="8">
        <f t="shared" si="176"/>
        <v>1.0674709935401676</v>
      </c>
      <c r="H1415" s="8">
        <f t="shared" si="177"/>
        <v>1.0870816249642474</v>
      </c>
      <c r="I1415" s="8">
        <f t="shared" si="178"/>
        <v>1.0183711141031035</v>
      </c>
      <c r="J1415" s="22">
        <f t="shared" si="179"/>
        <v>2.6263403170418503E-2</v>
      </c>
      <c r="K1415" s="8"/>
      <c r="L1415" s="8">
        <v>0.91088426365669872</v>
      </c>
      <c r="M1415" s="8">
        <v>1.0966425500230066</v>
      </c>
      <c r="N1415" s="8">
        <v>0.60522467707346261</v>
      </c>
      <c r="O1415" s="8">
        <v>1.10137046295033</v>
      </c>
      <c r="P1415" s="8">
        <f t="shared" si="180"/>
        <v>1.0037634068398527</v>
      </c>
      <c r="Q1415" s="8">
        <f t="shared" si="181"/>
        <v>0.85329757001189632</v>
      </c>
      <c r="R1415" s="8">
        <f t="shared" si="182"/>
        <v>0.85009830423917543</v>
      </c>
      <c r="S1415" s="22">
        <f t="shared" si="183"/>
        <v>-0.23429841265122681</v>
      </c>
      <c r="T1415" s="25"/>
      <c r="U1415" s="1" t="s">
        <v>4014</v>
      </c>
    </row>
    <row r="1416" spans="1:21">
      <c r="A1416" s="6" t="s">
        <v>4015</v>
      </c>
      <c r="B1416" s="6" t="s">
        <v>4016</v>
      </c>
      <c r="C1416" s="7">
        <v>0.99042277732444484</v>
      </c>
      <c r="D1416" s="7">
        <v>0.98096139149209061</v>
      </c>
      <c r="E1416" s="7">
        <v>0.88757076994574002</v>
      </c>
      <c r="F1416" s="8">
        <v>0.94830099830954495</v>
      </c>
      <c r="G1416" s="8">
        <f t="shared" si="176"/>
        <v>0.98569208440826772</v>
      </c>
      <c r="H1416" s="8">
        <f t="shared" si="177"/>
        <v>0.91793588412764249</v>
      </c>
      <c r="I1416" s="8">
        <f t="shared" si="178"/>
        <v>0.93126027757309149</v>
      </c>
      <c r="J1416" s="22">
        <f t="shared" si="179"/>
        <v>-0.10274365246878511</v>
      </c>
      <c r="K1416" s="8"/>
      <c r="L1416" s="8">
        <v>1.0397127069023071</v>
      </c>
      <c r="M1416" s="8">
        <v>1.0189831249151138</v>
      </c>
      <c r="N1416" s="8">
        <v>1.1761208917260983</v>
      </c>
      <c r="O1416" s="8">
        <v>0.80349913004439844</v>
      </c>
      <c r="P1416" s="8">
        <f t="shared" si="180"/>
        <v>1.0293479159087104</v>
      </c>
      <c r="Q1416" s="8">
        <f t="shared" si="181"/>
        <v>0.98981001088524834</v>
      </c>
      <c r="R1416" s="8">
        <f t="shared" si="182"/>
        <v>0.96158936700371322</v>
      </c>
      <c r="S1416" s="22">
        <f t="shared" si="183"/>
        <v>-5.650715168334107E-2</v>
      </c>
      <c r="T1416" s="25"/>
      <c r="U1416" s="1" t="s">
        <v>4017</v>
      </c>
    </row>
    <row r="1417" spans="1:21">
      <c r="A1417" s="6" t="s">
        <v>4018</v>
      </c>
      <c r="B1417" s="6" t="s">
        <v>4019</v>
      </c>
      <c r="C1417" s="7">
        <v>1.0383912024983555</v>
      </c>
      <c r="D1417" s="7">
        <v>0.9246814195890084</v>
      </c>
      <c r="E1417" s="7">
        <v>1.0565806333786509</v>
      </c>
      <c r="F1417" s="8">
        <v>1.1735718260776218</v>
      </c>
      <c r="G1417" s="8">
        <f t="shared" si="176"/>
        <v>0.98153631104368189</v>
      </c>
      <c r="H1417" s="8">
        <f t="shared" si="177"/>
        <v>1.1150762297281362</v>
      </c>
      <c r="I1417" s="8">
        <f t="shared" si="178"/>
        <v>1.1360519393749777</v>
      </c>
      <c r="J1417" s="22">
        <f t="shared" si="179"/>
        <v>0.1840287951997697</v>
      </c>
      <c r="K1417" s="8"/>
      <c r="L1417" s="8">
        <v>1.118292890365955</v>
      </c>
      <c r="M1417" s="8">
        <v>1.0121230624480519</v>
      </c>
      <c r="N1417" s="8">
        <v>1.1426063537978155</v>
      </c>
      <c r="O1417" s="8">
        <v>0.83303510706778594</v>
      </c>
      <c r="P1417" s="8">
        <f t="shared" si="180"/>
        <v>1.0652079764070035</v>
      </c>
      <c r="Q1417" s="8">
        <f t="shared" si="181"/>
        <v>0.98782073043280072</v>
      </c>
      <c r="R1417" s="8">
        <f t="shared" si="182"/>
        <v>0.92735010656300798</v>
      </c>
      <c r="S1417" s="22">
        <f t="shared" si="183"/>
        <v>-0.10881398619352799</v>
      </c>
      <c r="T1417" s="25"/>
      <c r="U1417" s="1" t="s">
        <v>4020</v>
      </c>
    </row>
    <row r="1418" spans="1:21">
      <c r="A1418" s="6" t="s">
        <v>4021</v>
      </c>
      <c r="B1418" s="6" t="s">
        <v>4022</v>
      </c>
      <c r="C1418" s="7">
        <v>0.98214793712981774</v>
      </c>
      <c r="D1418" s="7">
        <v>0.96903433943069817</v>
      </c>
      <c r="E1418" s="7">
        <v>0.92035848260815556</v>
      </c>
      <c r="F1418" s="8">
        <v>0.89125429408754131</v>
      </c>
      <c r="G1418" s="8">
        <f t="shared" si="176"/>
        <v>0.97559113828025801</v>
      </c>
      <c r="H1418" s="8">
        <f t="shared" si="177"/>
        <v>0.90580638834784843</v>
      </c>
      <c r="I1418" s="8">
        <f t="shared" si="178"/>
        <v>0.92846926627949489</v>
      </c>
      <c r="J1418" s="22">
        <f t="shared" si="179"/>
        <v>-0.10707393929855924</v>
      </c>
      <c r="K1418" s="8"/>
      <c r="L1418" s="8">
        <v>0.94627763944142129</v>
      </c>
      <c r="M1418" s="8">
        <v>0.9425110183111356</v>
      </c>
      <c r="N1418" s="8">
        <v>1.1155553338985587</v>
      </c>
      <c r="O1418" s="8">
        <v>1.1945996693370771</v>
      </c>
      <c r="P1418" s="8">
        <f t="shared" si="180"/>
        <v>0.94439432887627839</v>
      </c>
      <c r="Q1418" s="8">
        <f t="shared" si="181"/>
        <v>1.1550775016178179</v>
      </c>
      <c r="R1418" s="8">
        <f t="shared" si="182"/>
        <v>1.2230881383968373</v>
      </c>
      <c r="S1418" s="22">
        <f t="shared" si="183"/>
        <v>0.2905283713602464</v>
      </c>
      <c r="T1418" s="25"/>
      <c r="U1418" s="1" t="s">
        <v>4023</v>
      </c>
    </row>
    <row r="1419" spans="1:21">
      <c r="A1419" s="6" t="s">
        <v>4024</v>
      </c>
      <c r="B1419" s="6" t="s">
        <v>80</v>
      </c>
      <c r="C1419" s="7">
        <v>0.96775808452382683</v>
      </c>
      <c r="D1419" s="7">
        <v>0.97196458170280053</v>
      </c>
      <c r="E1419" s="7">
        <v>0.86049275303464423</v>
      </c>
      <c r="F1419" s="8">
        <v>0.99249601389806652</v>
      </c>
      <c r="G1419" s="8">
        <f t="shared" si="176"/>
        <v>0.96986133311331368</v>
      </c>
      <c r="H1419" s="8">
        <f t="shared" si="177"/>
        <v>0.92649438346635538</v>
      </c>
      <c r="I1419" s="8">
        <f t="shared" si="178"/>
        <v>0.95528541228904573</v>
      </c>
      <c r="J1419" s="22">
        <f t="shared" si="179"/>
        <v>-6.5996260821353916E-2</v>
      </c>
      <c r="K1419" s="8"/>
      <c r="L1419" s="8">
        <v>1.0905637735711116</v>
      </c>
      <c r="M1419" s="8">
        <v>0.87122793331685799</v>
      </c>
      <c r="N1419" s="8">
        <v>1.2230412448256944</v>
      </c>
      <c r="O1419" s="8">
        <v>0.86513287801667127</v>
      </c>
      <c r="P1419" s="8">
        <f t="shared" si="180"/>
        <v>0.98089585344398478</v>
      </c>
      <c r="Q1419" s="8">
        <f t="shared" si="181"/>
        <v>1.0440870614211828</v>
      </c>
      <c r="R1419" s="8">
        <f t="shared" si="182"/>
        <v>1.0644219340466472</v>
      </c>
      <c r="S1419" s="22">
        <f t="shared" si="183"/>
        <v>9.0070144723319603E-2</v>
      </c>
      <c r="T1419" s="25"/>
      <c r="U1419" s="1">
        <v>0</v>
      </c>
    </row>
    <row r="1420" spans="1:21">
      <c r="A1420" s="6" t="s">
        <v>4025</v>
      </c>
      <c r="B1420" s="6" t="s">
        <v>80</v>
      </c>
      <c r="C1420" s="7">
        <v>1.0353404457544961</v>
      </c>
      <c r="D1420" s="7">
        <v>1.3579064693567551</v>
      </c>
      <c r="E1420" s="7">
        <v>1.0538405532567863</v>
      </c>
      <c r="F1420" s="8">
        <v>1.1002382557954775</v>
      </c>
      <c r="G1420" s="8">
        <f t="shared" si="176"/>
        <v>1.1966234575556256</v>
      </c>
      <c r="H1420" s="8">
        <f t="shared" si="177"/>
        <v>1.0770394045261318</v>
      </c>
      <c r="I1420" s="8">
        <f t="shared" si="178"/>
        <v>0.90006542803884915</v>
      </c>
      <c r="J1420" s="22">
        <f t="shared" si="179"/>
        <v>-0.15189821647140891</v>
      </c>
      <c r="K1420" s="8"/>
      <c r="L1420" s="8">
        <v>1.1185081785398281</v>
      </c>
      <c r="M1420" s="8">
        <v>1.038595867609406</v>
      </c>
      <c r="N1420" s="8">
        <v>1.3752451249314248</v>
      </c>
      <c r="O1420" s="8">
        <v>1.2269485965531681</v>
      </c>
      <c r="P1420" s="8">
        <f t="shared" si="180"/>
        <v>1.0785520230746171</v>
      </c>
      <c r="Q1420" s="8">
        <f t="shared" si="181"/>
        <v>1.3010968607422964</v>
      </c>
      <c r="R1420" s="8">
        <f t="shared" si="182"/>
        <v>1.2063366744547686</v>
      </c>
      <c r="S1420" s="22">
        <f t="shared" si="183"/>
        <v>0.2706326027444631</v>
      </c>
      <c r="T1420" s="25"/>
      <c r="U1420" s="1">
        <v>0</v>
      </c>
    </row>
    <row r="1421" spans="1:21">
      <c r="A1421" s="6" t="s">
        <v>4026</v>
      </c>
      <c r="B1421" s="6" t="s">
        <v>4027</v>
      </c>
      <c r="C1421" s="7">
        <v>1.2081469168010188</v>
      </c>
      <c r="D1421" s="7">
        <v>1.1067170856620741</v>
      </c>
      <c r="E1421" s="7">
        <v>1.0623046750991951</v>
      </c>
      <c r="F1421" s="8">
        <v>1.0300980492080944</v>
      </c>
      <c r="G1421" s="8">
        <f t="shared" si="176"/>
        <v>1.1574320012315464</v>
      </c>
      <c r="H1421" s="8">
        <f t="shared" si="177"/>
        <v>1.0462013621536448</v>
      </c>
      <c r="I1421" s="8">
        <f t="shared" si="178"/>
        <v>0.90389876989788731</v>
      </c>
      <c r="J1421" s="22">
        <f t="shared" si="179"/>
        <v>-0.14576688457427184</v>
      </c>
      <c r="K1421" s="8"/>
      <c r="L1421" s="8">
        <v>1.2143114159133168</v>
      </c>
      <c r="M1421" s="8">
        <v>0.98569423204610196</v>
      </c>
      <c r="N1421" s="8">
        <v>1.3117590145129918</v>
      </c>
      <c r="O1421" s="8">
        <v>1.1275911772466027</v>
      </c>
      <c r="P1421" s="8">
        <f t="shared" si="180"/>
        <v>1.1000028239797093</v>
      </c>
      <c r="Q1421" s="8">
        <f t="shared" si="181"/>
        <v>1.2196750958797973</v>
      </c>
      <c r="R1421" s="8">
        <f t="shared" si="182"/>
        <v>1.1087926951561131</v>
      </c>
      <c r="S1421" s="22">
        <f t="shared" si="183"/>
        <v>0.14898965799111491</v>
      </c>
      <c r="T1421" s="25"/>
      <c r="U1421" s="1" t="s">
        <v>4028</v>
      </c>
    </row>
    <row r="1422" spans="1:21">
      <c r="A1422" s="6" t="s">
        <v>4029</v>
      </c>
      <c r="B1422" s="6" t="s">
        <v>4030</v>
      </c>
      <c r="C1422" s="7">
        <v>0.96504480087110245</v>
      </c>
      <c r="D1422" s="7">
        <v>1.0062258759612279</v>
      </c>
      <c r="E1422" s="7">
        <v>1.0995539841904058</v>
      </c>
      <c r="F1422" s="8">
        <v>1.0751465250268415</v>
      </c>
      <c r="G1422" s="8">
        <f t="shared" si="176"/>
        <v>0.98563533841616513</v>
      </c>
      <c r="H1422" s="8">
        <f t="shared" si="177"/>
        <v>1.0873502546086238</v>
      </c>
      <c r="I1422" s="8">
        <f t="shared" si="178"/>
        <v>1.1031973106361082</v>
      </c>
      <c r="J1422" s="22">
        <f t="shared" si="179"/>
        <v>0.14169084498059414</v>
      </c>
      <c r="K1422" s="8"/>
      <c r="L1422" s="8">
        <v>0.92009859749846346</v>
      </c>
      <c r="M1422" s="8">
        <v>1.0343742907065987</v>
      </c>
      <c r="N1422" s="8">
        <v>1.2423360430901202</v>
      </c>
      <c r="O1422" s="8">
        <v>0.86739328442152241</v>
      </c>
      <c r="P1422" s="8">
        <f t="shared" si="180"/>
        <v>0.97723644410253108</v>
      </c>
      <c r="Q1422" s="8">
        <f t="shared" si="181"/>
        <v>1.0548646637558212</v>
      </c>
      <c r="R1422" s="8">
        <f t="shared" si="182"/>
        <v>1.0794364763223521</v>
      </c>
      <c r="S1422" s="22">
        <f t="shared" si="183"/>
        <v>0.11027834480434374</v>
      </c>
      <c r="T1422" s="25"/>
      <c r="U1422" s="1" t="s">
        <v>4031</v>
      </c>
    </row>
    <row r="1423" spans="1:21">
      <c r="A1423" s="6" t="s">
        <v>4032</v>
      </c>
      <c r="B1423" s="6" t="s">
        <v>4033</v>
      </c>
      <c r="C1423" s="7">
        <v>1.0555078376807161</v>
      </c>
      <c r="D1423" s="7">
        <v>1.0478481964108928</v>
      </c>
      <c r="E1423" s="7">
        <v>0.96836726861768241</v>
      </c>
      <c r="F1423" s="8">
        <v>1.1425627710460877</v>
      </c>
      <c r="G1423" s="8">
        <f t="shared" si="176"/>
        <v>1.0516780170458044</v>
      </c>
      <c r="H1423" s="8">
        <f t="shared" si="177"/>
        <v>1.0554650198318851</v>
      </c>
      <c r="I1423" s="8">
        <f t="shared" si="178"/>
        <v>1.003600914657053</v>
      </c>
      <c r="J1423" s="22">
        <f t="shared" si="179"/>
        <v>5.1856906969025562E-3</v>
      </c>
      <c r="K1423" s="8"/>
      <c r="L1423" s="8">
        <v>1.0280440878783899</v>
      </c>
      <c r="M1423" s="8">
        <v>0.88894976135676784</v>
      </c>
      <c r="N1423" s="8">
        <v>0.76508902299137194</v>
      </c>
      <c r="O1423" s="8">
        <v>0.85594055863694363</v>
      </c>
      <c r="P1423" s="8">
        <f t="shared" si="180"/>
        <v>0.95849692461757885</v>
      </c>
      <c r="Q1423" s="8">
        <f t="shared" si="181"/>
        <v>0.81051479081415778</v>
      </c>
      <c r="R1423" s="8">
        <f t="shared" si="182"/>
        <v>0.84561021532493386</v>
      </c>
      <c r="S1423" s="22">
        <f t="shared" si="183"/>
        <v>-0.24193528970223871</v>
      </c>
      <c r="T1423" s="25"/>
      <c r="U1423" s="1" t="s">
        <v>4034</v>
      </c>
    </row>
    <row r="1424" spans="1:21">
      <c r="A1424" s="6" t="s">
        <v>4035</v>
      </c>
      <c r="B1424" s="6" t="s">
        <v>4036</v>
      </c>
      <c r="C1424" s="7">
        <v>1.1489676355396077</v>
      </c>
      <c r="D1424" s="7">
        <v>0.99610204991343698</v>
      </c>
      <c r="E1424" s="7">
        <v>1.1266822119937869</v>
      </c>
      <c r="F1424" s="8">
        <v>1.0000206882612233</v>
      </c>
      <c r="G1424" s="8">
        <f t="shared" si="176"/>
        <v>1.0725348427265224</v>
      </c>
      <c r="H1424" s="8">
        <f t="shared" si="177"/>
        <v>1.063351450127505</v>
      </c>
      <c r="I1424" s="8">
        <f t="shared" si="178"/>
        <v>0.99143767434569108</v>
      </c>
      <c r="J1424" s="22">
        <f t="shared" si="179"/>
        <v>-1.2406013042010758E-2</v>
      </c>
      <c r="K1424" s="8"/>
      <c r="L1424" s="8">
        <v>0.6204174594672357</v>
      </c>
      <c r="M1424" s="8">
        <v>1.044004763016128</v>
      </c>
      <c r="N1424" s="8">
        <v>0.65769886788688836</v>
      </c>
      <c r="O1424" s="8">
        <v>0.60855163543935276</v>
      </c>
      <c r="P1424" s="8">
        <f t="shared" si="180"/>
        <v>0.8322111112416819</v>
      </c>
      <c r="Q1424" s="8">
        <f t="shared" si="181"/>
        <v>0.6331252516631205</v>
      </c>
      <c r="R1424" s="8">
        <f t="shared" si="182"/>
        <v>0.7607748119566442</v>
      </c>
      <c r="S1424" s="22">
        <f t="shared" si="183"/>
        <v>-0.39445861323514014</v>
      </c>
      <c r="T1424" s="25"/>
      <c r="U1424" s="1" t="s">
        <v>4037</v>
      </c>
    </row>
    <row r="1425" spans="1:21">
      <c r="A1425" s="6" t="s">
        <v>4038</v>
      </c>
      <c r="B1425" s="9" t="s">
        <v>4039</v>
      </c>
      <c r="C1425" s="10">
        <v>1.0983736697166677</v>
      </c>
      <c r="D1425" s="10">
        <v>0.92279447236763257</v>
      </c>
      <c r="E1425" s="10">
        <v>0.9983862092197846</v>
      </c>
      <c r="F1425" s="8">
        <v>0.92466726210087802</v>
      </c>
      <c r="G1425" s="8">
        <f t="shared" si="176"/>
        <v>1.0105840710421501</v>
      </c>
      <c r="H1425" s="8">
        <f t="shared" si="177"/>
        <v>0.96152673566033131</v>
      </c>
      <c r="I1425" s="8">
        <f t="shared" si="178"/>
        <v>0.95145645296859949</v>
      </c>
      <c r="J1425" s="22">
        <f t="shared" si="179"/>
        <v>-7.1790467314959319E-2</v>
      </c>
      <c r="K1425" s="8"/>
      <c r="L1425" s="8">
        <v>1.1004239719344955</v>
      </c>
      <c r="M1425" s="8">
        <v>0.97171025855555282</v>
      </c>
      <c r="N1425" s="8">
        <v>0.94487058002094659</v>
      </c>
      <c r="O1425" s="8">
        <v>0.84599477045559879</v>
      </c>
      <c r="P1425" s="8">
        <f t="shared" si="180"/>
        <v>1.0360671152450243</v>
      </c>
      <c r="Q1425" s="8">
        <f t="shared" si="181"/>
        <v>0.89543267523827264</v>
      </c>
      <c r="R1425" s="8">
        <f t="shared" si="182"/>
        <v>0.86426126460592045</v>
      </c>
      <c r="S1425" s="22">
        <f t="shared" si="183"/>
        <v>-0.21046059248277796</v>
      </c>
      <c r="T1425" s="25"/>
      <c r="U1425" s="1" t="s">
        <v>4040</v>
      </c>
    </row>
    <row r="1426" spans="1:21">
      <c r="A1426" s="6" t="s">
        <v>4041</v>
      </c>
      <c r="B1426" s="6" t="s">
        <v>4042</v>
      </c>
      <c r="C1426" s="7">
        <v>8.9977075558379555E-2</v>
      </c>
      <c r="D1426" s="7">
        <v>7.826000899030261E-2</v>
      </c>
      <c r="E1426" s="7">
        <v>0.17132673746265495</v>
      </c>
      <c r="F1426" s="8">
        <v>0.16897801341610591</v>
      </c>
      <c r="G1426" s="8">
        <f t="shared" si="176"/>
        <v>8.4118542274341082E-2</v>
      </c>
      <c r="H1426" s="8">
        <f t="shared" si="177"/>
        <v>0.17015237543938044</v>
      </c>
      <c r="I1426" s="8">
        <f t="shared" si="178"/>
        <v>2.0227689500901218</v>
      </c>
      <c r="J1426" s="22">
        <f t="shared" si="179"/>
        <v>1.0163315380890023</v>
      </c>
      <c r="K1426" s="8"/>
      <c r="L1426" s="8">
        <v>0.87656732874134125</v>
      </c>
      <c r="M1426" s="8">
        <v>0.80174781345815438</v>
      </c>
      <c r="N1426" s="8">
        <v>1.0664325968779611</v>
      </c>
      <c r="O1426" s="8">
        <v>0.94233831455569605</v>
      </c>
      <c r="P1426" s="8">
        <f t="shared" si="180"/>
        <v>0.83915757109974787</v>
      </c>
      <c r="Q1426" s="8">
        <f t="shared" si="181"/>
        <v>1.0043854557168286</v>
      </c>
      <c r="R1426" s="8">
        <f t="shared" si="182"/>
        <v>1.1968973293067513</v>
      </c>
      <c r="S1426" s="22">
        <f t="shared" si="183"/>
        <v>0.25929940219550102</v>
      </c>
      <c r="T1426" s="25"/>
      <c r="U1426" s="1" t="s">
        <v>4043</v>
      </c>
    </row>
    <row r="1427" spans="1:21">
      <c r="A1427" s="6" t="s">
        <v>4044</v>
      </c>
      <c r="B1427" s="6" t="s">
        <v>4045</v>
      </c>
      <c r="C1427" s="7">
        <v>1.1253107718510531</v>
      </c>
      <c r="D1427" s="7">
        <v>1.064598878058669</v>
      </c>
      <c r="E1427" s="7">
        <v>0.85804676528188029</v>
      </c>
      <c r="F1427" s="8">
        <v>0.96332189836151749</v>
      </c>
      <c r="G1427" s="8">
        <f t="shared" si="176"/>
        <v>1.0949548249548611</v>
      </c>
      <c r="H1427" s="8">
        <f t="shared" si="177"/>
        <v>0.91068433182169883</v>
      </c>
      <c r="I1427" s="8">
        <f t="shared" si="178"/>
        <v>0.83170950167669366</v>
      </c>
      <c r="J1427" s="22">
        <f t="shared" si="179"/>
        <v>-0.26584838103219105</v>
      </c>
      <c r="K1427" s="8"/>
      <c r="L1427" s="8">
        <v>0.98037928618290593</v>
      </c>
      <c r="M1427" s="8">
        <v>0.94202729595768886</v>
      </c>
      <c r="N1427" s="8">
        <v>1.2556939803501073</v>
      </c>
      <c r="O1427" s="8">
        <v>0.85378061473897482</v>
      </c>
      <c r="P1427" s="8">
        <f t="shared" si="180"/>
        <v>0.96120329107029745</v>
      </c>
      <c r="Q1427" s="8">
        <f t="shared" si="181"/>
        <v>1.054737297544541</v>
      </c>
      <c r="R1427" s="8">
        <f t="shared" si="182"/>
        <v>1.0973092865403049</v>
      </c>
      <c r="S1427" s="22">
        <f t="shared" si="183"/>
        <v>0.13397021969587647</v>
      </c>
      <c r="T1427" s="25"/>
      <c r="U1427" s="1" t="s">
        <v>4046</v>
      </c>
    </row>
    <row r="1428" spans="1:21">
      <c r="A1428" s="6" t="s">
        <v>4047</v>
      </c>
      <c r="B1428" s="6" t="s">
        <v>4048</v>
      </c>
      <c r="C1428" s="7">
        <v>1.0074719178885785</v>
      </c>
      <c r="D1428" s="7">
        <v>0.95966400425287635</v>
      </c>
      <c r="E1428" s="7">
        <v>0.96253563212795501</v>
      </c>
      <c r="F1428" s="8">
        <v>0.95833626818328232</v>
      </c>
      <c r="G1428" s="8">
        <f t="shared" si="176"/>
        <v>0.98356796107072741</v>
      </c>
      <c r="H1428" s="8">
        <f t="shared" si="177"/>
        <v>0.96043595015561867</v>
      </c>
      <c r="I1428" s="8">
        <f t="shared" si="178"/>
        <v>0.97648153271490579</v>
      </c>
      <c r="J1428" s="22">
        <f t="shared" si="179"/>
        <v>-3.4335334863934815E-2</v>
      </c>
      <c r="K1428" s="8"/>
      <c r="L1428" s="8">
        <v>1.0508646343089287</v>
      </c>
      <c r="M1428" s="8">
        <v>0.88046263279174897</v>
      </c>
      <c r="N1428" s="8">
        <v>1.0770614931923594</v>
      </c>
      <c r="O1428" s="8">
        <v>0.94123322697999112</v>
      </c>
      <c r="P1428" s="8">
        <f t="shared" si="180"/>
        <v>0.9656636335503388</v>
      </c>
      <c r="Q1428" s="8">
        <f t="shared" si="181"/>
        <v>1.0091473600861753</v>
      </c>
      <c r="R1428" s="8">
        <f t="shared" si="182"/>
        <v>1.045029889316599</v>
      </c>
      <c r="S1428" s="22">
        <f t="shared" si="183"/>
        <v>6.3544205992439595E-2</v>
      </c>
      <c r="T1428" s="25"/>
      <c r="U1428" s="1" t="s">
        <v>4049</v>
      </c>
    </row>
    <row r="1429" spans="1:21">
      <c r="A1429" s="6" t="s">
        <v>4050</v>
      </c>
      <c r="B1429" s="6" t="s">
        <v>4051</v>
      </c>
      <c r="C1429" s="7">
        <v>0.88774996407757134</v>
      </c>
      <c r="D1429" s="7">
        <v>0.8958877642075368</v>
      </c>
      <c r="E1429" s="7">
        <v>0.99824992251215261</v>
      </c>
      <c r="F1429" s="8">
        <v>0.90729223424719951</v>
      </c>
      <c r="G1429" s="8">
        <f t="shared" si="176"/>
        <v>0.89181886414255407</v>
      </c>
      <c r="H1429" s="8">
        <f t="shared" si="177"/>
        <v>0.95277107837967612</v>
      </c>
      <c r="I1429" s="8">
        <f t="shared" si="178"/>
        <v>1.0683459575568914</v>
      </c>
      <c r="J1429" s="22">
        <f t="shared" si="179"/>
        <v>9.5378903982873769E-2</v>
      </c>
      <c r="K1429" s="8"/>
      <c r="L1429" s="8">
        <v>0.98528785654721052</v>
      </c>
      <c r="M1429" s="8">
        <v>0.90865045356986862</v>
      </c>
      <c r="N1429" s="8">
        <v>0.9260066829584559</v>
      </c>
      <c r="O1429" s="8">
        <v>0.89286052991617793</v>
      </c>
      <c r="P1429" s="8">
        <f t="shared" si="180"/>
        <v>0.94696915505853951</v>
      </c>
      <c r="Q1429" s="8">
        <f t="shared" si="181"/>
        <v>0.90943360643731697</v>
      </c>
      <c r="R1429" s="8">
        <f t="shared" si="182"/>
        <v>0.96036243797306975</v>
      </c>
      <c r="S1429" s="22">
        <f t="shared" si="183"/>
        <v>-5.8349117401627654E-2</v>
      </c>
      <c r="T1429" s="25"/>
      <c r="U1429" s="1" t="s">
        <v>4052</v>
      </c>
    </row>
    <row r="1430" spans="1:21">
      <c r="A1430" s="6" t="s">
        <v>4053</v>
      </c>
      <c r="B1430" s="6" t="s">
        <v>4054</v>
      </c>
      <c r="C1430" s="7">
        <v>1.0818847344838178</v>
      </c>
      <c r="D1430" s="7">
        <v>1.0339891164777844</v>
      </c>
      <c r="E1430" s="7">
        <v>0.93919474019982108</v>
      </c>
      <c r="F1430" s="8">
        <v>1.0046649343473681</v>
      </c>
      <c r="G1430" s="8">
        <f t="shared" si="176"/>
        <v>1.0579369254808011</v>
      </c>
      <c r="H1430" s="8">
        <f t="shared" si="177"/>
        <v>0.97192983727359461</v>
      </c>
      <c r="I1430" s="8">
        <f t="shared" si="178"/>
        <v>0.91870300947467276</v>
      </c>
      <c r="J1430" s="22">
        <f t="shared" si="179"/>
        <v>-0.12232954023504466</v>
      </c>
      <c r="K1430" s="8"/>
      <c r="L1430" s="8">
        <v>1.0108210339685493</v>
      </c>
      <c r="M1430" s="8">
        <v>0.92755960011369298</v>
      </c>
      <c r="N1430" s="8">
        <v>1.0238212557977158</v>
      </c>
      <c r="O1430" s="8">
        <v>1.1593373294214002</v>
      </c>
      <c r="P1430" s="8">
        <f t="shared" si="180"/>
        <v>0.96919031704112113</v>
      </c>
      <c r="Q1430" s="8">
        <f t="shared" si="181"/>
        <v>1.091579292609558</v>
      </c>
      <c r="R1430" s="8">
        <f t="shared" si="182"/>
        <v>1.1262796103267756</v>
      </c>
      <c r="S1430" s="22">
        <f t="shared" si="183"/>
        <v>0.17156503554829061</v>
      </c>
      <c r="T1430" s="25"/>
      <c r="U1430" s="1" t="s">
        <v>4055</v>
      </c>
    </row>
    <row r="1431" spans="1:21">
      <c r="A1431" s="6" t="s">
        <v>4056</v>
      </c>
      <c r="B1431" s="6" t="s">
        <v>4057</v>
      </c>
      <c r="C1431" s="7">
        <v>1.072334246004701</v>
      </c>
      <c r="D1431" s="7">
        <v>0.96874453524994086</v>
      </c>
      <c r="E1431" s="7">
        <v>0.90643571947585433</v>
      </c>
      <c r="F1431" s="8">
        <v>1.0683615161965472</v>
      </c>
      <c r="G1431" s="8">
        <f t="shared" si="176"/>
        <v>1.020539390627321</v>
      </c>
      <c r="H1431" s="8">
        <f t="shared" si="177"/>
        <v>0.98739861783620075</v>
      </c>
      <c r="I1431" s="8">
        <f t="shared" si="178"/>
        <v>0.96752621888435997</v>
      </c>
      <c r="J1431" s="22">
        <f t="shared" si="179"/>
        <v>-4.7627337669673732E-2</v>
      </c>
      <c r="K1431" s="8"/>
      <c r="L1431" s="8">
        <v>1.1164844697054219</v>
      </c>
      <c r="M1431" s="8">
        <v>0.91485089464586689</v>
      </c>
      <c r="N1431" s="8">
        <v>0.92418732232806344</v>
      </c>
      <c r="O1431" s="8">
        <v>0.85563917111629673</v>
      </c>
      <c r="P1431" s="8">
        <f t="shared" si="180"/>
        <v>1.0156676821756445</v>
      </c>
      <c r="Q1431" s="8">
        <f t="shared" si="181"/>
        <v>0.88991324672218008</v>
      </c>
      <c r="R1431" s="8">
        <f t="shared" si="182"/>
        <v>0.87618545154051963</v>
      </c>
      <c r="S1431" s="22">
        <f t="shared" si="183"/>
        <v>-0.19069183499093365</v>
      </c>
      <c r="T1431" s="25"/>
      <c r="U1431" s="1" t="s">
        <v>4058</v>
      </c>
    </row>
    <row r="1432" spans="1:21">
      <c r="A1432" s="6" t="s">
        <v>4059</v>
      </c>
      <c r="B1432" s="6" t="s">
        <v>4060</v>
      </c>
      <c r="C1432" s="7">
        <v>1.068136080750983</v>
      </c>
      <c r="D1432" s="7">
        <v>1.0552607433453758</v>
      </c>
      <c r="E1432" s="7">
        <v>0.92813399792779205</v>
      </c>
      <c r="F1432" s="8">
        <v>0.95879144697273611</v>
      </c>
      <c r="G1432" s="8">
        <f t="shared" si="176"/>
        <v>1.0616984120481794</v>
      </c>
      <c r="H1432" s="8">
        <f t="shared" si="177"/>
        <v>0.94346272245026408</v>
      </c>
      <c r="I1432" s="8">
        <f t="shared" si="178"/>
        <v>0.88863533348437385</v>
      </c>
      <c r="J1432" s="22">
        <f t="shared" si="179"/>
        <v>-0.17033658866296597</v>
      </c>
      <c r="K1432" s="8"/>
      <c r="L1432" s="8">
        <v>1.0343735601902564</v>
      </c>
      <c r="M1432" s="8">
        <v>0.90179039110280679</v>
      </c>
      <c r="N1432" s="8">
        <v>0.72084983292603855</v>
      </c>
      <c r="O1432" s="8">
        <v>0.82971984434067103</v>
      </c>
      <c r="P1432" s="8">
        <f t="shared" si="180"/>
        <v>0.96808197564653153</v>
      </c>
      <c r="Q1432" s="8">
        <f t="shared" si="181"/>
        <v>0.77528483863335484</v>
      </c>
      <c r="R1432" s="8">
        <f t="shared" si="182"/>
        <v>0.80084626936224335</v>
      </c>
      <c r="S1432" s="22">
        <f t="shared" si="183"/>
        <v>-0.32040276575456261</v>
      </c>
      <c r="T1432" s="25"/>
      <c r="U1432" s="1" t="s">
        <v>4061</v>
      </c>
    </row>
    <row r="1433" spans="1:21">
      <c r="A1433" s="6" t="s">
        <v>4062</v>
      </c>
      <c r="B1433" s="6" t="s">
        <v>4063</v>
      </c>
      <c r="C1433" s="7">
        <v>1.045228407324748</v>
      </c>
      <c r="D1433" s="7">
        <v>1.0345880451180163</v>
      </c>
      <c r="E1433" s="7">
        <v>0.98797820854746676</v>
      </c>
      <c r="F1433" s="8">
        <v>0.97655053193001606</v>
      </c>
      <c r="G1433" s="8">
        <f t="shared" si="176"/>
        <v>1.0399082262213821</v>
      </c>
      <c r="H1433" s="8">
        <f t="shared" si="177"/>
        <v>0.98226437023874147</v>
      </c>
      <c r="I1433" s="8">
        <f t="shared" si="178"/>
        <v>0.9445683238874879</v>
      </c>
      <c r="J1433" s="22">
        <f t="shared" si="179"/>
        <v>-8.2272939386905664E-2</v>
      </c>
      <c r="K1433" s="8"/>
      <c r="L1433" s="8">
        <v>0.90459784897960693</v>
      </c>
      <c r="M1433" s="8">
        <v>0.93881713852117921</v>
      </c>
      <c r="N1433" s="8">
        <v>1.1037773677123335</v>
      </c>
      <c r="O1433" s="8">
        <v>1.2764766124461273</v>
      </c>
      <c r="P1433" s="8">
        <f t="shared" si="180"/>
        <v>0.92170749375039307</v>
      </c>
      <c r="Q1433" s="8">
        <f t="shared" si="181"/>
        <v>1.1901269900792304</v>
      </c>
      <c r="R1433" s="8">
        <f t="shared" si="182"/>
        <v>1.2912198264078862</v>
      </c>
      <c r="S1433" s="22">
        <f t="shared" si="183"/>
        <v>0.36873463617623592</v>
      </c>
      <c r="T1433" s="25"/>
      <c r="U1433" s="1" t="s">
        <v>4064</v>
      </c>
    </row>
    <row r="1434" spans="1:21">
      <c r="A1434" s="6" t="s">
        <v>4065</v>
      </c>
      <c r="B1434" s="6" t="s">
        <v>4066</v>
      </c>
      <c r="C1434" s="7">
        <v>1.1730969615557509</v>
      </c>
      <c r="D1434" s="7">
        <v>0.99183226831694504</v>
      </c>
      <c r="E1434" s="7">
        <v>0.99274824331458689</v>
      </c>
      <c r="F1434" s="8">
        <v>0.99656417432880906</v>
      </c>
      <c r="G1434" s="8">
        <f t="shared" si="176"/>
        <v>1.0824646149363479</v>
      </c>
      <c r="H1434" s="8">
        <f t="shared" si="177"/>
        <v>0.99465620882169792</v>
      </c>
      <c r="I1434" s="8">
        <f t="shared" si="178"/>
        <v>0.91888103786208897</v>
      </c>
      <c r="J1434" s="22">
        <f t="shared" si="179"/>
        <v>-0.12204999854786183</v>
      </c>
      <c r="K1434" s="8"/>
      <c r="L1434" s="8">
        <v>1.0112085526815207</v>
      </c>
      <c r="M1434" s="8">
        <v>0.88270534552136537</v>
      </c>
      <c r="N1434" s="8">
        <v>1.1964690040396988</v>
      </c>
      <c r="O1434" s="8">
        <v>0.9852860362478667</v>
      </c>
      <c r="P1434" s="8">
        <f t="shared" si="180"/>
        <v>0.94695694910144301</v>
      </c>
      <c r="Q1434" s="8">
        <f t="shared" si="181"/>
        <v>1.0908775201437828</v>
      </c>
      <c r="R1434" s="8">
        <f t="shared" si="182"/>
        <v>1.1519821689665031</v>
      </c>
      <c r="S1434" s="22">
        <f t="shared" si="183"/>
        <v>0.2041183861008069</v>
      </c>
      <c r="T1434" s="25"/>
      <c r="U1434" s="1" t="s">
        <v>4067</v>
      </c>
    </row>
    <row r="1435" spans="1:21">
      <c r="A1435" s="6" t="s">
        <v>4068</v>
      </c>
      <c r="B1435" s="13" t="s">
        <v>4069</v>
      </c>
      <c r="C1435" s="14">
        <v>1.042886344072272</v>
      </c>
      <c r="D1435" s="14">
        <v>1.0053500233260502</v>
      </c>
      <c r="E1435" s="14">
        <v>0.95354070942424274</v>
      </c>
      <c r="F1435" s="8">
        <v>0.9827381185991525</v>
      </c>
      <c r="G1435" s="8">
        <f t="shared" si="176"/>
        <v>1.0241181836991611</v>
      </c>
      <c r="H1435" s="8">
        <f t="shared" si="177"/>
        <v>0.96813941401169767</v>
      </c>
      <c r="I1435" s="8">
        <f t="shared" si="178"/>
        <v>0.94533954129662501</v>
      </c>
      <c r="J1435" s="22">
        <f t="shared" si="179"/>
        <v>-8.1095494058627426E-2</v>
      </c>
      <c r="K1435" s="8"/>
      <c r="L1435" s="8">
        <v>0.98580454816450569</v>
      </c>
      <c r="M1435" s="8">
        <v>1.0214457114417514</v>
      </c>
      <c r="N1435" s="8">
        <v>0.99145578774125975</v>
      </c>
      <c r="O1435" s="8">
        <v>0.98403025491183826</v>
      </c>
      <c r="P1435" s="8">
        <f t="shared" si="180"/>
        <v>1.0036251298031287</v>
      </c>
      <c r="Q1435" s="8">
        <f t="shared" si="181"/>
        <v>0.98774302132654901</v>
      </c>
      <c r="R1435" s="8">
        <f t="shared" si="182"/>
        <v>0.98417525826630592</v>
      </c>
      <c r="S1435" s="22">
        <f t="shared" si="183"/>
        <v>-2.3012846683052327E-2</v>
      </c>
      <c r="T1435" s="25"/>
      <c r="U1435" s="1" t="s">
        <v>4070</v>
      </c>
    </row>
    <row r="1436" spans="1:21">
      <c r="A1436" s="6" t="s">
        <v>4071</v>
      </c>
      <c r="B1436" s="6" t="s">
        <v>4072</v>
      </c>
      <c r="C1436" s="7">
        <v>1.0895588725762249</v>
      </c>
      <c r="D1436" s="7">
        <v>0.95379063952286025</v>
      </c>
      <c r="E1436" s="7">
        <v>1.0409650458778679</v>
      </c>
      <c r="F1436" s="8">
        <v>0.93306673320001599</v>
      </c>
      <c r="G1436" s="8">
        <f t="shared" si="176"/>
        <v>1.0216747560495425</v>
      </c>
      <c r="H1436" s="8">
        <f t="shared" si="177"/>
        <v>0.98701588953894193</v>
      </c>
      <c r="I1436" s="8">
        <f t="shared" si="178"/>
        <v>0.96607641883546758</v>
      </c>
      <c r="J1436" s="22">
        <f t="shared" si="179"/>
        <v>-4.979078086319931E-2</v>
      </c>
      <c r="K1436" s="8"/>
      <c r="L1436" s="8">
        <v>0.94093849272937069</v>
      </c>
      <c r="M1436" s="8">
        <v>0.95249328869589867</v>
      </c>
      <c r="N1436" s="8">
        <v>1.013862650241883</v>
      </c>
      <c r="O1436" s="8">
        <v>0.85001327073088961</v>
      </c>
      <c r="P1436" s="8">
        <f t="shared" si="180"/>
        <v>0.94671589071263473</v>
      </c>
      <c r="Q1436" s="8">
        <f t="shared" si="181"/>
        <v>0.93193796048638633</v>
      </c>
      <c r="R1436" s="8">
        <f t="shared" si="182"/>
        <v>0.98439032198442933</v>
      </c>
      <c r="S1436" s="22">
        <f t="shared" si="183"/>
        <v>-2.2697620851656188E-2</v>
      </c>
      <c r="T1436" s="25"/>
      <c r="U1436" s="1" t="s">
        <v>4073</v>
      </c>
    </row>
    <row r="1437" spans="1:21">
      <c r="A1437" s="6" t="s">
        <v>4074</v>
      </c>
      <c r="B1437" s="6" t="s">
        <v>4075</v>
      </c>
      <c r="C1437" s="7">
        <v>1.0477122092755007</v>
      </c>
      <c r="D1437" s="7">
        <v>1.0050280186807641</v>
      </c>
      <c r="E1437" s="7">
        <v>0.92613990820559744</v>
      </c>
      <c r="F1437" s="8">
        <v>0.95157970802732883</v>
      </c>
      <c r="G1437" s="8">
        <f t="shared" si="176"/>
        <v>1.0263701139781323</v>
      </c>
      <c r="H1437" s="8">
        <f t="shared" si="177"/>
        <v>0.93885980811646319</v>
      </c>
      <c r="I1437" s="8">
        <f t="shared" si="178"/>
        <v>0.91473806118293355</v>
      </c>
      <c r="J1437" s="22">
        <f t="shared" si="179"/>
        <v>-0.12856941371308067</v>
      </c>
      <c r="K1437" s="8"/>
      <c r="L1437" s="8">
        <v>1.0101321118121556</v>
      </c>
      <c r="M1437" s="8">
        <v>0.90055909783948795</v>
      </c>
      <c r="N1437" s="8">
        <v>1.0252097152261732</v>
      </c>
      <c r="O1437" s="8">
        <v>0.90692528087969582</v>
      </c>
      <c r="P1437" s="8">
        <f t="shared" si="180"/>
        <v>0.95534560482582176</v>
      </c>
      <c r="Q1437" s="8">
        <f t="shared" si="181"/>
        <v>0.96606749805293446</v>
      </c>
      <c r="R1437" s="8">
        <f t="shared" si="182"/>
        <v>1.0112230518180565</v>
      </c>
      <c r="S1437" s="22">
        <f t="shared" si="183"/>
        <v>1.6101256646374566E-2</v>
      </c>
      <c r="T1437" s="25"/>
      <c r="U1437" s="1" t="s">
        <v>4076</v>
      </c>
    </row>
    <row r="1438" spans="1:21">
      <c r="A1438" s="6" t="s">
        <v>4077</v>
      </c>
      <c r="B1438" s="13" t="s">
        <v>4078</v>
      </c>
      <c r="C1438" s="14">
        <v>1.1122978094568925</v>
      </c>
      <c r="D1438" s="14">
        <v>1.0101350123549997</v>
      </c>
      <c r="E1438" s="14">
        <v>0.91909603731640643</v>
      </c>
      <c r="F1438" s="8">
        <v>0.97565439868827908</v>
      </c>
      <c r="G1438" s="8">
        <f t="shared" si="176"/>
        <v>1.0612164109059461</v>
      </c>
      <c r="H1438" s="8">
        <f t="shared" si="177"/>
        <v>0.9473752180023427</v>
      </c>
      <c r="I1438" s="8">
        <f t="shared" si="178"/>
        <v>0.89272575156803435</v>
      </c>
      <c r="J1438" s="22">
        <f t="shared" si="179"/>
        <v>-0.16371105237414688</v>
      </c>
      <c r="K1438" s="8"/>
      <c r="L1438" s="8">
        <v>1.0405738595977991</v>
      </c>
      <c r="M1438" s="8">
        <v>0.90350540671957225</v>
      </c>
      <c r="N1438" s="8">
        <v>0.72482369956610637</v>
      </c>
      <c r="O1438" s="8">
        <v>0.76035048333846333</v>
      </c>
      <c r="P1438" s="8">
        <f t="shared" si="180"/>
        <v>0.97203963315868569</v>
      </c>
      <c r="Q1438" s="8">
        <f t="shared" si="181"/>
        <v>0.74258709145228485</v>
      </c>
      <c r="R1438" s="8">
        <f t="shared" si="182"/>
        <v>0.76394733930674752</v>
      </c>
      <c r="S1438" s="22">
        <f t="shared" si="183"/>
        <v>-0.38845490157326917</v>
      </c>
      <c r="T1438" s="25"/>
      <c r="U1438" s="1" t="s">
        <v>4079</v>
      </c>
    </row>
    <row r="1439" spans="1:21">
      <c r="A1439" s="6" t="s">
        <v>4080</v>
      </c>
      <c r="B1439" s="6" t="s">
        <v>4081</v>
      </c>
      <c r="C1439" s="7">
        <v>1.0233601510192083</v>
      </c>
      <c r="D1439" s="7">
        <v>0.90163876717234426</v>
      </c>
      <c r="E1439" s="7">
        <v>0.98366724479552803</v>
      </c>
      <c r="F1439" s="8">
        <v>0.998221309609164</v>
      </c>
      <c r="G1439" s="8">
        <f t="shared" si="176"/>
        <v>0.96249945909577628</v>
      </c>
      <c r="H1439" s="8">
        <f t="shared" si="177"/>
        <v>0.99094427720234601</v>
      </c>
      <c r="I1439" s="8">
        <f t="shared" si="178"/>
        <v>1.0295530743812493</v>
      </c>
      <c r="J1439" s="22">
        <f t="shared" si="179"/>
        <v>4.2018204106119526E-2</v>
      </c>
      <c r="K1439" s="8"/>
      <c r="L1439" s="8">
        <v>0.99338269188483563</v>
      </c>
      <c r="M1439" s="8">
        <v>0.96564174175776729</v>
      </c>
      <c r="N1439" s="8">
        <v>0.97321430352600868</v>
      </c>
      <c r="O1439" s="8">
        <v>0.82464648774311633</v>
      </c>
      <c r="P1439" s="8">
        <f t="shared" si="180"/>
        <v>0.97951221682130152</v>
      </c>
      <c r="Q1439" s="8">
        <f t="shared" si="181"/>
        <v>0.89893039563456245</v>
      </c>
      <c r="R1439" s="8">
        <f t="shared" si="182"/>
        <v>0.91773270429618325</v>
      </c>
      <c r="S1439" s="22">
        <f t="shared" si="183"/>
        <v>-0.1238540745151432</v>
      </c>
      <c r="T1439" s="25"/>
      <c r="U1439" s="1" t="s">
        <v>4082</v>
      </c>
    </row>
    <row r="1440" spans="1:21">
      <c r="A1440" s="6" t="s">
        <v>4083</v>
      </c>
      <c r="B1440" s="6" t="s">
        <v>4084</v>
      </c>
      <c r="C1440" s="7">
        <v>0.92481800840782569</v>
      </c>
      <c r="D1440" s="7">
        <v>0.91291536985025901</v>
      </c>
      <c r="E1440" s="7">
        <v>1.0127967353057161</v>
      </c>
      <c r="F1440" s="8">
        <v>1.0063291817963083</v>
      </c>
      <c r="G1440" s="8">
        <f t="shared" si="176"/>
        <v>0.91886668912904235</v>
      </c>
      <c r="H1440" s="8">
        <f t="shared" si="177"/>
        <v>1.0095629585510122</v>
      </c>
      <c r="I1440" s="8">
        <f t="shared" si="178"/>
        <v>1.098704491625371</v>
      </c>
      <c r="J1440" s="22">
        <f t="shared" si="179"/>
        <v>0.1358034101321948</v>
      </c>
      <c r="K1440" s="8"/>
      <c r="L1440" s="8">
        <v>1.0469463895444402</v>
      </c>
      <c r="M1440" s="8">
        <v>0.88758654381523638</v>
      </c>
      <c r="N1440" s="8">
        <v>0.8179462370954067</v>
      </c>
      <c r="O1440" s="8">
        <v>1.0215027699789252</v>
      </c>
      <c r="P1440" s="8">
        <f t="shared" si="180"/>
        <v>0.96726646667983829</v>
      </c>
      <c r="Q1440" s="8">
        <f t="shared" si="181"/>
        <v>0.91972450353716595</v>
      </c>
      <c r="R1440" s="8">
        <f t="shared" si="182"/>
        <v>0.95084915606982523</v>
      </c>
      <c r="S1440" s="22">
        <f t="shared" si="183"/>
        <v>-7.2711606641690379E-2</v>
      </c>
      <c r="T1440" s="25"/>
      <c r="U1440" s="1" t="s">
        <v>4085</v>
      </c>
    </row>
    <row r="1441" spans="1:21">
      <c r="A1441" s="6" t="s">
        <v>4086</v>
      </c>
      <c r="B1441" s="6" t="s">
        <v>4087</v>
      </c>
      <c r="C1441" s="7">
        <v>1.0420831581153709</v>
      </c>
      <c r="D1441" s="7">
        <v>0.91774543952954857</v>
      </c>
      <c r="E1441" s="7">
        <v>0.97153772781627956</v>
      </c>
      <c r="F1441" s="8">
        <v>0.90011605614471835</v>
      </c>
      <c r="G1441" s="8">
        <f t="shared" si="176"/>
        <v>0.97991429882245973</v>
      </c>
      <c r="H1441" s="8">
        <f t="shared" si="177"/>
        <v>0.93582689198049895</v>
      </c>
      <c r="I1441" s="8">
        <f t="shared" si="178"/>
        <v>0.95500891568279023</v>
      </c>
      <c r="J1441" s="22">
        <f t="shared" si="179"/>
        <v>-6.6413893098864349E-2</v>
      </c>
      <c r="K1441" s="8"/>
      <c r="L1441" s="8">
        <v>0.9748679089317569</v>
      </c>
      <c r="M1441" s="8">
        <v>0.92637228160977847</v>
      </c>
      <c r="N1441" s="8">
        <v>1.202262231310159</v>
      </c>
      <c r="O1441" s="8">
        <v>1.0141690069765195</v>
      </c>
      <c r="P1441" s="8">
        <f t="shared" si="180"/>
        <v>0.95062009527076774</v>
      </c>
      <c r="Q1441" s="8">
        <f t="shared" si="181"/>
        <v>1.1082156191433392</v>
      </c>
      <c r="R1441" s="8">
        <f t="shared" si="182"/>
        <v>1.1657818140565219</v>
      </c>
      <c r="S1441" s="22">
        <f t="shared" si="183"/>
        <v>0.22129780120282883</v>
      </c>
      <c r="T1441" s="25"/>
      <c r="U1441" s="1" t="s">
        <v>4088</v>
      </c>
    </row>
    <row r="1442" spans="1:21">
      <c r="A1442" s="6" t="s">
        <v>4089</v>
      </c>
      <c r="B1442" s="6" t="s">
        <v>4090</v>
      </c>
      <c r="C1442" s="7">
        <v>0.96108961624300171</v>
      </c>
      <c r="D1442" s="7">
        <v>1.042560880135297</v>
      </c>
      <c r="E1442" s="7">
        <v>1.0609633269767116</v>
      </c>
      <c r="F1442" s="8">
        <v>1.0438387589147282</v>
      </c>
      <c r="G1442" s="8">
        <f t="shared" si="176"/>
        <v>1.0018252481891494</v>
      </c>
      <c r="H1442" s="8">
        <f t="shared" si="177"/>
        <v>1.05240104294572</v>
      </c>
      <c r="I1442" s="8">
        <f t="shared" si="178"/>
        <v>1.0504836495666174</v>
      </c>
      <c r="J1442" s="22">
        <f t="shared" si="179"/>
        <v>7.1053707110690881E-2</v>
      </c>
      <c r="K1442" s="8"/>
      <c r="L1442" s="8">
        <v>1.0647722503411252</v>
      </c>
      <c r="M1442" s="8">
        <v>0.94743619136441082</v>
      </c>
      <c r="N1442" s="8">
        <v>0.75781158046980202</v>
      </c>
      <c r="O1442" s="8">
        <v>0.66837705828774485</v>
      </c>
      <c r="P1442" s="8">
        <f t="shared" si="180"/>
        <v>1.006104220852768</v>
      </c>
      <c r="Q1442" s="8">
        <f t="shared" si="181"/>
        <v>0.71309431937877343</v>
      </c>
      <c r="R1442" s="8">
        <f t="shared" si="182"/>
        <v>0.70876784392610825</v>
      </c>
      <c r="S1442" s="22">
        <f t="shared" si="183"/>
        <v>-0.49661494311165399</v>
      </c>
      <c r="T1442" s="25"/>
      <c r="U1442" s="1" t="s">
        <v>4091</v>
      </c>
    </row>
    <row r="1443" spans="1:21">
      <c r="A1443" s="6" t="s">
        <v>4092</v>
      </c>
      <c r="B1443" s="6" t="s">
        <v>80</v>
      </c>
      <c r="C1443" s="7">
        <v>0.99171867399440272</v>
      </c>
      <c r="D1443" s="7">
        <v>1.0104763372790029</v>
      </c>
      <c r="E1443" s="7">
        <v>1.0747354574321564</v>
      </c>
      <c r="F1443" s="8">
        <v>0.93163718731438794</v>
      </c>
      <c r="G1443" s="8">
        <f t="shared" si="176"/>
        <v>1.0010975056367029</v>
      </c>
      <c r="H1443" s="8">
        <f t="shared" si="177"/>
        <v>1.0031863223732722</v>
      </c>
      <c r="I1443" s="8">
        <f t="shared" si="178"/>
        <v>1.0020865267616872</v>
      </c>
      <c r="J1443" s="22">
        <f t="shared" si="179"/>
        <v>3.0070857191868438E-3</v>
      </c>
      <c r="K1443" s="8"/>
      <c r="L1443" s="8">
        <v>0.82911781521973016</v>
      </c>
      <c r="M1443" s="8">
        <v>0.88569562916085387</v>
      </c>
      <c r="N1443" s="8">
        <v>1.0383761408408558</v>
      </c>
      <c r="O1443" s="8">
        <v>0.92224581317924204</v>
      </c>
      <c r="P1443" s="8">
        <f t="shared" si="180"/>
        <v>0.85740672219029201</v>
      </c>
      <c r="Q1443" s="8">
        <f t="shared" si="181"/>
        <v>0.98031097701004888</v>
      </c>
      <c r="R1443" s="8">
        <f t="shared" si="182"/>
        <v>1.1433441698541753</v>
      </c>
      <c r="S1443" s="22">
        <f t="shared" si="183"/>
        <v>0.19325974948520352</v>
      </c>
      <c r="T1443" s="25"/>
      <c r="U1443" s="1">
        <v>0</v>
      </c>
    </row>
    <row r="1444" spans="1:21">
      <c r="A1444" s="6" t="s">
        <v>4093</v>
      </c>
      <c r="B1444" s="6" t="s">
        <v>80</v>
      </c>
      <c r="C1444" s="7">
        <v>1.0285032409281036</v>
      </c>
      <c r="D1444" s="7">
        <v>1.2652464126292637</v>
      </c>
      <c r="E1444" s="7">
        <v>1.0211173974558807</v>
      </c>
      <c r="F1444" s="8">
        <v>1.0814905794048526</v>
      </c>
      <c r="G1444" s="8">
        <f t="shared" si="176"/>
        <v>1.1468748267786837</v>
      </c>
      <c r="H1444" s="8">
        <f t="shared" si="177"/>
        <v>1.0513039884303668</v>
      </c>
      <c r="I1444" s="8">
        <f t="shared" si="178"/>
        <v>0.9166684662381559</v>
      </c>
      <c r="J1444" s="22">
        <f t="shared" si="179"/>
        <v>-0.1255280498326064</v>
      </c>
      <c r="K1444" s="8"/>
      <c r="L1444" s="8">
        <v>0.99992745237057501</v>
      </c>
      <c r="M1444" s="8">
        <v>1.0147615480123064</v>
      </c>
      <c r="N1444" s="8">
        <v>1.3885073063687596</v>
      </c>
      <c r="O1444" s="8">
        <v>1.2453834665660646</v>
      </c>
      <c r="P1444" s="8">
        <f t="shared" si="180"/>
        <v>1.0073445001914407</v>
      </c>
      <c r="Q1444" s="8">
        <f t="shared" si="181"/>
        <v>1.3169453864674121</v>
      </c>
      <c r="R1444" s="8">
        <f t="shared" si="182"/>
        <v>1.3073436011385711</v>
      </c>
      <c r="S1444" s="22">
        <f t="shared" si="183"/>
        <v>0.38663836570145471</v>
      </c>
      <c r="T1444" s="25"/>
      <c r="U1444" s="1">
        <v>0</v>
      </c>
    </row>
    <row r="1445" spans="1:21">
      <c r="A1445" s="6" t="s">
        <v>4094</v>
      </c>
      <c r="B1445" s="6" t="s">
        <v>4095</v>
      </c>
      <c r="C1445" s="7">
        <v>1.0821142161857895</v>
      </c>
      <c r="D1445" s="7">
        <v>1.0021686174306248</v>
      </c>
      <c r="E1445" s="7">
        <v>1.0897485142255137</v>
      </c>
      <c r="F1445" s="8">
        <v>1.0574443374182432</v>
      </c>
      <c r="G1445" s="8">
        <f t="shared" si="176"/>
        <v>1.042141416808207</v>
      </c>
      <c r="H1445" s="8">
        <f t="shared" si="177"/>
        <v>1.0735964258218784</v>
      </c>
      <c r="I1445" s="8">
        <f t="shared" si="178"/>
        <v>1.0301830524210518</v>
      </c>
      <c r="J1445" s="22">
        <f t="shared" si="179"/>
        <v>4.2900711540354214E-2</v>
      </c>
      <c r="K1445" s="8"/>
      <c r="L1445" s="8">
        <v>1.1034380063687175</v>
      </c>
      <c r="M1445" s="8">
        <v>1.0800200909682027</v>
      </c>
      <c r="N1445" s="8">
        <v>1.0280823899057403</v>
      </c>
      <c r="O1445" s="8">
        <v>1.2193134460301156</v>
      </c>
      <c r="P1445" s="8">
        <f t="shared" si="180"/>
        <v>1.0917290486684601</v>
      </c>
      <c r="Q1445" s="8">
        <f t="shared" si="181"/>
        <v>1.1236979179679278</v>
      </c>
      <c r="R1445" s="8">
        <f t="shared" si="182"/>
        <v>1.0292827870967243</v>
      </c>
      <c r="S1445" s="22">
        <f t="shared" si="183"/>
        <v>4.1639405451466299E-2</v>
      </c>
      <c r="T1445" s="25"/>
      <c r="U1445" s="1" t="s">
        <v>4096</v>
      </c>
    </row>
    <row r="1446" spans="1:21">
      <c r="A1446" s="6" t="s">
        <v>4097</v>
      </c>
      <c r="B1446" s="6" t="s">
        <v>4098</v>
      </c>
      <c r="C1446" s="7">
        <v>1.1096790182696858</v>
      </c>
      <c r="D1446" s="7">
        <v>0.96557600954032685</v>
      </c>
      <c r="E1446" s="7">
        <v>1.2294997734252167</v>
      </c>
      <c r="F1446" s="8">
        <v>1.5068693824865182</v>
      </c>
      <c r="G1446" s="8">
        <f t="shared" si="176"/>
        <v>1.0376275139050064</v>
      </c>
      <c r="H1446" s="8">
        <f t="shared" si="177"/>
        <v>1.3681845779558675</v>
      </c>
      <c r="I1446" s="8">
        <f t="shared" si="178"/>
        <v>1.3185700645184735</v>
      </c>
      <c r="J1446" s="22">
        <f t="shared" si="179"/>
        <v>0.39897423335470628</v>
      </c>
      <c r="K1446" s="8"/>
      <c r="L1446" s="8">
        <v>1.2117710154616153</v>
      </c>
      <c r="M1446" s="8">
        <v>1.2337998246048398</v>
      </c>
      <c r="N1446" s="8">
        <v>1.0527395142386913</v>
      </c>
      <c r="O1446" s="8">
        <v>0.93977652063019823</v>
      </c>
      <c r="P1446" s="8">
        <f t="shared" si="180"/>
        <v>1.2227854200332275</v>
      </c>
      <c r="Q1446" s="8">
        <f t="shared" si="181"/>
        <v>0.99625801743444475</v>
      </c>
      <c r="R1446" s="8">
        <f t="shared" si="182"/>
        <v>0.81474476315506994</v>
      </c>
      <c r="S1446" s="22">
        <f t="shared" si="183"/>
        <v>-0.29557992094529789</v>
      </c>
      <c r="T1446" s="25"/>
      <c r="U1446" s="1" t="s">
        <v>4099</v>
      </c>
    </row>
    <row r="1447" spans="1:21">
      <c r="A1447" s="6" t="s">
        <v>4100</v>
      </c>
      <c r="B1447" s="6" t="s">
        <v>4101</v>
      </c>
      <c r="C1447" s="7">
        <v>0.99609232525551061</v>
      </c>
      <c r="D1447" s="7">
        <v>0.99142654246388462</v>
      </c>
      <c r="E1447" s="7">
        <v>1.0600093200232876</v>
      </c>
      <c r="F1447" s="8">
        <v>0.93939656324085674</v>
      </c>
      <c r="G1447" s="8">
        <f t="shared" si="176"/>
        <v>0.99375943385969756</v>
      </c>
      <c r="H1447" s="8">
        <f t="shared" si="177"/>
        <v>0.99970294163207218</v>
      </c>
      <c r="I1447" s="8">
        <f t="shared" si="178"/>
        <v>1.005980831547219</v>
      </c>
      <c r="J1447" s="22">
        <f t="shared" si="179"/>
        <v>8.6028155855516712E-3</v>
      </c>
      <c r="K1447" s="8"/>
      <c r="L1447" s="8">
        <v>0.99962604892715279</v>
      </c>
      <c r="M1447" s="8">
        <v>1.0955871557973047</v>
      </c>
      <c r="N1447" s="8">
        <v>0.87602214353398833</v>
      </c>
      <c r="O1447" s="8">
        <v>0.98603950504948368</v>
      </c>
      <c r="P1447" s="8">
        <f t="shared" si="180"/>
        <v>1.0476066023622288</v>
      </c>
      <c r="Q1447" s="8">
        <f t="shared" si="181"/>
        <v>0.931030824291736</v>
      </c>
      <c r="R1447" s="8">
        <f t="shared" si="182"/>
        <v>0.88872179899627568</v>
      </c>
      <c r="S1447" s="22">
        <f t="shared" si="183"/>
        <v>-0.17019621916372751</v>
      </c>
      <c r="T1447" s="25"/>
      <c r="U1447" s="1" t="s">
        <v>4102</v>
      </c>
    </row>
    <row r="1448" spans="1:21">
      <c r="A1448" s="6" t="s">
        <v>4103</v>
      </c>
      <c r="B1448" s="6" t="s">
        <v>4104</v>
      </c>
      <c r="C1448" s="7">
        <v>1.0533885066683892</v>
      </c>
      <c r="D1448" s="7">
        <v>1.0551577018588842</v>
      </c>
      <c r="E1448" s="7">
        <v>1.1578846950569039</v>
      </c>
      <c r="F1448" s="8">
        <v>1.1454005263115881</v>
      </c>
      <c r="G1448" s="8">
        <f t="shared" si="176"/>
        <v>1.0542731042636366</v>
      </c>
      <c r="H1448" s="8">
        <f t="shared" si="177"/>
        <v>1.1516426106842461</v>
      </c>
      <c r="I1448" s="8">
        <f t="shared" si="178"/>
        <v>1.0923570050557421</v>
      </c>
      <c r="J1448" s="22">
        <f t="shared" si="179"/>
        <v>0.12744443615691672</v>
      </c>
      <c r="K1448" s="8"/>
      <c r="L1448" s="8">
        <v>1.0133183767854761</v>
      </c>
      <c r="M1448" s="8">
        <v>0.98103290754925221</v>
      </c>
      <c r="N1448" s="8">
        <v>1.2129868834472095</v>
      </c>
      <c r="O1448" s="8">
        <v>1.2536213921304109</v>
      </c>
      <c r="P1448" s="8">
        <f t="shared" si="180"/>
        <v>0.9971756421673641</v>
      </c>
      <c r="Q1448" s="8">
        <f t="shared" si="181"/>
        <v>1.2333041377888101</v>
      </c>
      <c r="R1448" s="8">
        <f t="shared" si="182"/>
        <v>1.2367972959189215</v>
      </c>
      <c r="S1448" s="22">
        <f t="shared" si="183"/>
        <v>0.30660907013168298</v>
      </c>
      <c r="T1448" s="25"/>
      <c r="U1448" s="1" t="s">
        <v>4105</v>
      </c>
    </row>
    <row r="1449" spans="1:21">
      <c r="A1449" s="6" t="s">
        <v>4106</v>
      </c>
      <c r="B1449" s="6" t="s">
        <v>4107</v>
      </c>
      <c r="C1449" s="7">
        <v>1.0829848967609175</v>
      </c>
      <c r="D1449" s="7">
        <v>1.086289110965132</v>
      </c>
      <c r="E1449" s="7">
        <v>1.1868205149825624</v>
      </c>
      <c r="F1449" s="8">
        <v>1.0275305563488319</v>
      </c>
      <c r="G1449" s="8">
        <f t="shared" si="176"/>
        <v>1.0846370038630249</v>
      </c>
      <c r="H1449" s="8">
        <f t="shared" si="177"/>
        <v>1.1071755356656972</v>
      </c>
      <c r="I1449" s="8">
        <f t="shared" si="178"/>
        <v>1.0207797924304625</v>
      </c>
      <c r="J1449" s="22">
        <f t="shared" si="179"/>
        <v>2.9671674606366969E-2</v>
      </c>
      <c r="K1449" s="8"/>
      <c r="L1449" s="8">
        <v>1.1087771530807682</v>
      </c>
      <c r="M1449" s="8">
        <v>1.1903087875540437</v>
      </c>
      <c r="N1449" s="8">
        <v>1.0929090818413045</v>
      </c>
      <c r="O1449" s="8">
        <v>1.0033692874866753</v>
      </c>
      <c r="P1449" s="8">
        <f t="shared" si="180"/>
        <v>1.1495429703174058</v>
      </c>
      <c r="Q1449" s="8">
        <f t="shared" si="181"/>
        <v>1.0481391846639898</v>
      </c>
      <c r="R1449" s="8">
        <f t="shared" si="182"/>
        <v>0.91178773802129642</v>
      </c>
      <c r="S1449" s="22">
        <f t="shared" si="183"/>
        <v>-0.13323008732409938</v>
      </c>
      <c r="T1449" s="25"/>
      <c r="U1449" s="1" t="s">
        <v>4108</v>
      </c>
    </row>
    <row r="1450" spans="1:21">
      <c r="A1450" s="6" t="s">
        <v>4109</v>
      </c>
      <c r="B1450" s="6" t="s">
        <v>4110</v>
      </c>
      <c r="C1450" s="7">
        <v>1.1644239031135848</v>
      </c>
      <c r="D1450" s="7">
        <v>1.0170387919499309</v>
      </c>
      <c r="E1450" s="7">
        <v>1.0318553554203602</v>
      </c>
      <c r="F1450" s="8">
        <v>0.94369231306632617</v>
      </c>
      <c r="G1450" s="8">
        <f t="shared" si="176"/>
        <v>1.0907313475317579</v>
      </c>
      <c r="H1450" s="8">
        <f t="shared" si="177"/>
        <v>0.9877738342433432</v>
      </c>
      <c r="I1450" s="8">
        <f t="shared" si="178"/>
        <v>0.9056068998829091</v>
      </c>
      <c r="J1450" s="22">
        <f t="shared" si="179"/>
        <v>-0.14304314468031681</v>
      </c>
      <c r="K1450" s="8"/>
      <c r="L1450" s="8">
        <v>1.1901560828047653</v>
      </c>
      <c r="M1450" s="8">
        <v>1.0749190188773106</v>
      </c>
      <c r="N1450" s="8">
        <v>0.79041643808288864</v>
      </c>
      <c r="O1450" s="8">
        <v>0.85252483340294638</v>
      </c>
      <c r="P1450" s="8">
        <f t="shared" si="180"/>
        <v>1.1325375508410378</v>
      </c>
      <c r="Q1450" s="8">
        <f t="shared" si="181"/>
        <v>0.82147063574291757</v>
      </c>
      <c r="R1450" s="8">
        <f t="shared" si="182"/>
        <v>0.72533633444019785</v>
      </c>
      <c r="S1450" s="22">
        <f t="shared" si="183"/>
        <v>-0.46327797491456718</v>
      </c>
      <c r="T1450" s="25"/>
      <c r="U1450" s="1" t="s">
        <v>4111</v>
      </c>
    </row>
    <row r="1451" spans="1:21">
      <c r="A1451" s="6" t="s">
        <v>4112</v>
      </c>
      <c r="B1451" s="6" t="s">
        <v>4113</v>
      </c>
      <c r="C1451" s="7">
        <v>1.1424409059570593</v>
      </c>
      <c r="D1451" s="7">
        <v>1.1481397632316614</v>
      </c>
      <c r="E1451" s="7">
        <v>1.2551145014754213</v>
      </c>
      <c r="F1451" s="8">
        <v>1.2060104269947842</v>
      </c>
      <c r="G1451" s="8">
        <f t="shared" si="176"/>
        <v>1.1452903345943604</v>
      </c>
      <c r="H1451" s="8">
        <f t="shared" si="177"/>
        <v>1.2305624642351027</v>
      </c>
      <c r="I1451" s="8">
        <f t="shared" si="178"/>
        <v>1.074454596415453</v>
      </c>
      <c r="J1451" s="22">
        <f t="shared" si="179"/>
        <v>0.10360451961051068</v>
      </c>
      <c r="K1451" s="8"/>
      <c r="L1451" s="8">
        <v>0.86472647917832579</v>
      </c>
      <c r="M1451" s="8">
        <v>1.0575929636720389</v>
      </c>
      <c r="N1451" s="8">
        <v>0.55619769587551737</v>
      </c>
      <c r="O1451" s="8">
        <v>0.55510558177798497</v>
      </c>
      <c r="P1451" s="8">
        <f t="shared" si="180"/>
        <v>0.96115972142518236</v>
      </c>
      <c r="Q1451" s="8">
        <f t="shared" si="181"/>
        <v>0.55565163882675117</v>
      </c>
      <c r="R1451" s="8">
        <f t="shared" si="182"/>
        <v>0.57810541415826866</v>
      </c>
      <c r="S1451" s="22">
        <f t="shared" si="183"/>
        <v>-0.79059551112847526</v>
      </c>
      <c r="T1451" s="25"/>
      <c r="U1451" s="1" t="s">
        <v>4114</v>
      </c>
    </row>
    <row r="1452" spans="1:21">
      <c r="A1452" s="6" t="s">
        <v>4115</v>
      </c>
      <c r="B1452" s="6" t="s">
        <v>4116</v>
      </c>
      <c r="C1452" s="7">
        <v>1.0986706460368663</v>
      </c>
      <c r="D1452" s="7">
        <v>0.83305177772643224</v>
      </c>
      <c r="E1452" s="7">
        <v>1.0582734577471327</v>
      </c>
      <c r="F1452" s="8">
        <v>1.0172179119002713</v>
      </c>
      <c r="G1452" s="8">
        <f t="shared" si="176"/>
        <v>0.9658612118816492</v>
      </c>
      <c r="H1452" s="8">
        <f t="shared" si="177"/>
        <v>1.0377456848237019</v>
      </c>
      <c r="I1452" s="8">
        <f t="shared" si="178"/>
        <v>1.0744252611635687</v>
      </c>
      <c r="J1452" s="22">
        <f t="shared" si="179"/>
        <v>0.10356512995150292</v>
      </c>
      <c r="K1452" s="8"/>
      <c r="L1452" s="8">
        <v>0.86442507573490357</v>
      </c>
      <c r="M1452" s="8">
        <v>1.0334068459997054</v>
      </c>
      <c r="N1452" s="8">
        <v>0.82804847638521761</v>
      </c>
      <c r="O1452" s="8">
        <v>0.96137595960988631</v>
      </c>
      <c r="P1452" s="8">
        <f t="shared" si="180"/>
        <v>0.94891596086730456</v>
      </c>
      <c r="Q1452" s="8">
        <f t="shared" si="181"/>
        <v>0.89471221799755196</v>
      </c>
      <c r="R1452" s="8">
        <f t="shared" si="182"/>
        <v>0.94287824727891534</v>
      </c>
      <c r="S1452" s="22">
        <f t="shared" si="183"/>
        <v>-8.485660541573177E-2</v>
      </c>
      <c r="T1452" s="25"/>
      <c r="U1452" s="1" t="s">
        <v>4117</v>
      </c>
    </row>
    <row r="1453" spans="1:21">
      <c r="A1453" s="6" t="s">
        <v>4118</v>
      </c>
      <c r="B1453" s="6" t="s">
        <v>4119</v>
      </c>
      <c r="C1453" s="7">
        <v>0.97989361688103682</v>
      </c>
      <c r="D1453" s="7">
        <v>0.97550019270804045</v>
      </c>
      <c r="E1453" s="7">
        <v>1.101777609420191</v>
      </c>
      <c r="F1453" s="8">
        <v>0.88535119416181352</v>
      </c>
      <c r="G1453" s="8">
        <f t="shared" si="176"/>
        <v>0.97769690479453863</v>
      </c>
      <c r="H1453" s="8">
        <f t="shared" si="177"/>
        <v>0.99356440179100225</v>
      </c>
      <c r="I1453" s="8">
        <f t="shared" si="178"/>
        <v>1.0162294642835124</v>
      </c>
      <c r="J1453" s="22">
        <f t="shared" si="179"/>
        <v>2.3226198966299464E-2</v>
      </c>
      <c r="K1453" s="8"/>
      <c r="L1453" s="8">
        <v>0.69439047601000148</v>
      </c>
      <c r="M1453" s="8">
        <v>0.8111144372112582</v>
      </c>
      <c r="N1453" s="8">
        <v>0.82575033664156394</v>
      </c>
      <c r="O1453" s="8">
        <v>0.96253127843903241</v>
      </c>
      <c r="P1453" s="8">
        <f t="shared" si="180"/>
        <v>0.75275245661062984</v>
      </c>
      <c r="Q1453" s="8">
        <f t="shared" si="181"/>
        <v>0.89414080754029812</v>
      </c>
      <c r="R1453" s="8">
        <f t="shared" si="182"/>
        <v>1.1878284815785105</v>
      </c>
      <c r="S1453" s="22">
        <f t="shared" si="183"/>
        <v>0.24832653088562492</v>
      </c>
      <c r="T1453" s="25"/>
      <c r="U1453" s="1" t="s">
        <v>4120</v>
      </c>
    </row>
    <row r="1454" spans="1:21">
      <c r="A1454" s="6" t="s">
        <v>4121</v>
      </c>
      <c r="B1454" s="6" t="s">
        <v>4122</v>
      </c>
      <c r="C1454" s="7">
        <v>9.2852346294848662E-2</v>
      </c>
      <c r="D1454" s="7">
        <v>9.1526600376084663E-2</v>
      </c>
      <c r="E1454" s="7">
        <v>0.51852788463210653</v>
      </c>
      <c r="F1454" s="8">
        <v>0.4577676188187314</v>
      </c>
      <c r="G1454" s="8">
        <f t="shared" si="176"/>
        <v>9.2189473335466662E-2</v>
      </c>
      <c r="H1454" s="8">
        <f t="shared" si="177"/>
        <v>0.48814775172541897</v>
      </c>
      <c r="I1454" s="8">
        <f t="shared" si="178"/>
        <v>5.2950487085342886</v>
      </c>
      <c r="J1454" s="22">
        <f t="shared" si="179"/>
        <v>2.4046439554617396</v>
      </c>
      <c r="K1454" s="8"/>
      <c r="L1454" s="8">
        <v>0.79923581668615662</v>
      </c>
      <c r="M1454" s="8">
        <v>0.76678787973178142</v>
      </c>
      <c r="N1454" s="8">
        <v>0.67048227021096196</v>
      </c>
      <c r="O1454" s="8">
        <v>0.64994218827484818</v>
      </c>
      <c r="P1454" s="8">
        <f t="shared" si="180"/>
        <v>0.78301184820896896</v>
      </c>
      <c r="Q1454" s="8">
        <f t="shared" si="181"/>
        <v>0.66021222924290512</v>
      </c>
      <c r="R1454" s="8">
        <f t="shared" si="182"/>
        <v>0.84317016498926434</v>
      </c>
      <c r="S1454" s="22">
        <f t="shared" si="183"/>
        <v>-0.2461042758054332</v>
      </c>
      <c r="T1454" s="25"/>
      <c r="U1454" s="1" t="s">
        <v>4123</v>
      </c>
    </row>
    <row r="1455" spans="1:21">
      <c r="A1455" s="6" t="s">
        <v>4124</v>
      </c>
      <c r="B1455" s="6" t="s">
        <v>4125</v>
      </c>
      <c r="C1455" s="7">
        <v>1.1525920965383962</v>
      </c>
      <c r="D1455" s="7">
        <v>1.0365329531755436</v>
      </c>
      <c r="E1455" s="7">
        <v>1.157066974811112</v>
      </c>
      <c r="F1455" s="8">
        <v>1.1803283862335754</v>
      </c>
      <c r="G1455" s="8">
        <f t="shared" si="176"/>
        <v>1.0945625248569699</v>
      </c>
      <c r="H1455" s="8">
        <f t="shared" si="177"/>
        <v>1.1686976805223437</v>
      </c>
      <c r="I1455" s="8">
        <f t="shared" si="178"/>
        <v>1.0677303982018398</v>
      </c>
      <c r="J1455" s="22">
        <f t="shared" si="179"/>
        <v>9.4547412682392556E-2</v>
      </c>
      <c r="K1455" s="8"/>
      <c r="L1455" s="8">
        <v>0.92052917384620958</v>
      </c>
      <c r="M1455" s="8">
        <v>0.53301805873882679</v>
      </c>
      <c r="N1455" s="8">
        <v>0.69178794075108474</v>
      </c>
      <c r="O1455" s="8">
        <v>0.54094036830758485</v>
      </c>
      <c r="P1455" s="8">
        <f t="shared" si="180"/>
        <v>0.72677361629251824</v>
      </c>
      <c r="Q1455" s="8">
        <f t="shared" si="181"/>
        <v>0.6163641545293348</v>
      </c>
      <c r="R1455" s="8">
        <f t="shared" si="182"/>
        <v>0.84808273265832912</v>
      </c>
      <c r="S1455" s="22">
        <f t="shared" si="183"/>
        <v>-0.23772308461084371</v>
      </c>
      <c r="T1455" s="25"/>
      <c r="U1455" s="1" t="s">
        <v>4126</v>
      </c>
    </row>
    <row r="1456" spans="1:21">
      <c r="A1456" s="6" t="s">
        <v>4127</v>
      </c>
      <c r="B1456" s="6" t="s">
        <v>4128</v>
      </c>
      <c r="C1456" s="7">
        <v>1.0244265659871945</v>
      </c>
      <c r="D1456" s="7">
        <v>1.0480607194767815</v>
      </c>
      <c r="E1456" s="7">
        <v>0.79993841693836065</v>
      </c>
      <c r="F1456" s="8">
        <v>1.0323881674925333</v>
      </c>
      <c r="G1456" s="8">
        <f t="shared" si="176"/>
        <v>1.0362436427319879</v>
      </c>
      <c r="H1456" s="8">
        <f t="shared" si="177"/>
        <v>0.91616329221544701</v>
      </c>
      <c r="I1456" s="8">
        <f t="shared" si="178"/>
        <v>0.88411957809462938</v>
      </c>
      <c r="J1456" s="22">
        <f t="shared" si="179"/>
        <v>-0.17768658606568194</v>
      </c>
      <c r="K1456" s="8"/>
      <c r="L1456" s="8">
        <v>0.78054880319397946</v>
      </c>
      <c r="M1456" s="8">
        <v>1.0335387702779182</v>
      </c>
      <c r="N1456" s="8">
        <v>0.80233803800309211</v>
      </c>
      <c r="O1456" s="8">
        <v>0.93997744564396279</v>
      </c>
      <c r="P1456" s="8">
        <f t="shared" si="180"/>
        <v>0.90704378673594888</v>
      </c>
      <c r="Q1456" s="8">
        <f t="shared" si="181"/>
        <v>0.87115774182352745</v>
      </c>
      <c r="R1456" s="8">
        <f t="shared" si="182"/>
        <v>0.96043625959716949</v>
      </c>
      <c r="S1456" s="22">
        <f t="shared" si="183"/>
        <v>-5.8238223853869384E-2</v>
      </c>
      <c r="T1456" s="25"/>
      <c r="U1456" s="1" t="s">
        <v>4129</v>
      </c>
    </row>
    <row r="1457" spans="1:21">
      <c r="A1457" s="6" t="s">
        <v>4130</v>
      </c>
      <c r="B1457" s="6" t="s">
        <v>4131</v>
      </c>
      <c r="C1457" s="7">
        <v>0.10737718813729355</v>
      </c>
      <c r="D1457" s="7">
        <v>9.3787072985992176E-2</v>
      </c>
      <c r="E1457" s="7">
        <v>0.13714746578547049</v>
      </c>
      <c r="F1457" s="8">
        <v>0.14754193730027007</v>
      </c>
      <c r="G1457" s="8">
        <f t="shared" si="176"/>
        <v>0.10058213056164286</v>
      </c>
      <c r="H1457" s="8">
        <f t="shared" si="177"/>
        <v>0.14234470154287027</v>
      </c>
      <c r="I1457" s="8">
        <f t="shared" si="178"/>
        <v>1.415208653346558</v>
      </c>
      <c r="J1457" s="22">
        <f t="shared" si="179"/>
        <v>0.50101477458108734</v>
      </c>
      <c r="K1457" s="8"/>
      <c r="L1457" s="8">
        <v>0.21589098075985289</v>
      </c>
      <c r="M1457" s="8">
        <v>0.22734950611993518</v>
      </c>
      <c r="N1457" s="8">
        <v>0.28946985187771185</v>
      </c>
      <c r="O1457" s="8">
        <v>0.27431287504203927</v>
      </c>
      <c r="P1457" s="8">
        <f t="shared" si="180"/>
        <v>0.22162024343989403</v>
      </c>
      <c r="Q1457" s="8">
        <f t="shared" si="181"/>
        <v>0.28189136345987553</v>
      </c>
      <c r="R1457" s="8">
        <f t="shared" si="182"/>
        <v>1.2719567449456743</v>
      </c>
      <c r="S1457" s="22">
        <f t="shared" si="183"/>
        <v>0.34704961015573405</v>
      </c>
      <c r="T1457" s="25"/>
      <c r="U1457" s="1" t="s">
        <v>4132</v>
      </c>
    </row>
    <row r="1458" spans="1:21">
      <c r="A1458" s="6" t="s">
        <v>4133</v>
      </c>
      <c r="B1458" s="13" t="s">
        <v>4134</v>
      </c>
      <c r="C1458" s="14">
        <v>0.95364495985256648</v>
      </c>
      <c r="D1458" s="14">
        <v>1.1562349600141508</v>
      </c>
      <c r="E1458" s="14">
        <v>1.1143159865223355</v>
      </c>
      <c r="F1458" s="8">
        <v>0.96045569442167622</v>
      </c>
      <c r="G1458" s="8">
        <f t="shared" si="176"/>
        <v>1.0549399599333587</v>
      </c>
      <c r="H1458" s="8">
        <f t="shared" si="177"/>
        <v>1.0373858404720058</v>
      </c>
      <c r="I1458" s="8">
        <f t="shared" si="178"/>
        <v>0.98336007722898111</v>
      </c>
      <c r="J1458" s="22">
        <f t="shared" si="179"/>
        <v>-2.4208309540620022E-2</v>
      </c>
      <c r="K1458" s="8"/>
      <c r="L1458" s="8">
        <v>0.973231718810322</v>
      </c>
      <c r="M1458" s="8">
        <v>0.91700565785667476</v>
      </c>
      <c r="N1458" s="8">
        <v>1.1181407411101689</v>
      </c>
      <c r="O1458" s="8">
        <v>1.1196546392029034</v>
      </c>
      <c r="P1458" s="8">
        <f t="shared" si="180"/>
        <v>0.94511868833349832</v>
      </c>
      <c r="Q1458" s="8">
        <f t="shared" si="181"/>
        <v>1.1188976901565362</v>
      </c>
      <c r="R1458" s="8">
        <f t="shared" si="182"/>
        <v>1.1838700302598582</v>
      </c>
      <c r="S1458" s="22">
        <f t="shared" si="183"/>
        <v>0.24351070512920242</v>
      </c>
      <c r="T1458" s="25"/>
      <c r="U1458" s="1" t="s">
        <v>4135</v>
      </c>
    </row>
    <row r="1459" spans="1:21">
      <c r="A1459" s="6" t="s">
        <v>4136</v>
      </c>
      <c r="B1459" s="6" t="s">
        <v>4137</v>
      </c>
      <c r="C1459" s="7">
        <v>1.008936551104104</v>
      </c>
      <c r="D1459" s="7">
        <v>1.1188180202319209</v>
      </c>
      <c r="E1459" s="7">
        <v>1.0708476997723382</v>
      </c>
      <c r="F1459" s="8">
        <v>0.92473838378673012</v>
      </c>
      <c r="G1459" s="8">
        <f t="shared" si="176"/>
        <v>1.0638772856680125</v>
      </c>
      <c r="H1459" s="8">
        <f t="shared" si="177"/>
        <v>0.99779304177953421</v>
      </c>
      <c r="I1459" s="8">
        <f t="shared" si="178"/>
        <v>0.93788358415135842</v>
      </c>
      <c r="J1459" s="22">
        <f t="shared" si="179"/>
        <v>-9.2519237168816007E-2</v>
      </c>
      <c r="K1459" s="8"/>
      <c r="L1459" s="8">
        <v>1.0624040804285222</v>
      </c>
      <c r="M1459" s="8">
        <v>0.94506155435658168</v>
      </c>
      <c r="N1459" s="8">
        <v>0.84538028028527257</v>
      </c>
      <c r="O1459" s="8">
        <v>0.8901480422303566</v>
      </c>
      <c r="P1459" s="8">
        <f t="shared" si="180"/>
        <v>1.0037328173925519</v>
      </c>
      <c r="Q1459" s="8">
        <f t="shared" si="181"/>
        <v>0.86776416125781464</v>
      </c>
      <c r="R1459" s="8">
        <f t="shared" si="182"/>
        <v>0.86453700249838394</v>
      </c>
      <c r="S1459" s="22">
        <f t="shared" si="183"/>
        <v>-0.21000038182548497</v>
      </c>
      <c r="T1459" s="25"/>
      <c r="U1459" s="1" t="s">
        <v>4138</v>
      </c>
    </row>
    <row r="1460" spans="1:21">
      <c r="A1460" s="6" t="s">
        <v>4139</v>
      </c>
      <c r="B1460" s="6" t="s">
        <v>4140</v>
      </c>
      <c r="C1460" s="7">
        <v>1.0684128086857136</v>
      </c>
      <c r="D1460" s="7">
        <v>1.1595709281393134</v>
      </c>
      <c r="E1460" s="7">
        <v>1.1242505702102474</v>
      </c>
      <c r="F1460" s="8">
        <v>1.0527147453090757</v>
      </c>
      <c r="G1460" s="8">
        <f t="shared" si="176"/>
        <v>1.1139918684125134</v>
      </c>
      <c r="H1460" s="8">
        <f t="shared" si="177"/>
        <v>1.0884826577596616</v>
      </c>
      <c r="I1460" s="8">
        <f t="shared" si="178"/>
        <v>0.97710108002026663</v>
      </c>
      <c r="J1460" s="22">
        <f t="shared" si="179"/>
        <v>-3.3420279775730768E-2</v>
      </c>
      <c r="K1460" s="8"/>
      <c r="L1460" s="8">
        <v>1.1239764981562026</v>
      </c>
      <c r="M1460" s="8">
        <v>1.0146296237340937</v>
      </c>
      <c r="N1460" s="8">
        <v>0.73411201436337337</v>
      </c>
      <c r="O1460" s="8">
        <v>0.87332057232757632</v>
      </c>
      <c r="P1460" s="8">
        <f t="shared" si="180"/>
        <v>1.0693030609451482</v>
      </c>
      <c r="Q1460" s="8">
        <f t="shared" si="181"/>
        <v>0.8037162933454749</v>
      </c>
      <c r="R1460" s="8">
        <f t="shared" si="182"/>
        <v>0.75162629071226705</v>
      </c>
      <c r="S1460" s="22">
        <f t="shared" si="183"/>
        <v>-0.41191256403034598</v>
      </c>
      <c r="T1460" s="25"/>
      <c r="U1460" s="1" t="s">
        <v>4141</v>
      </c>
    </row>
    <row r="1461" spans="1:21">
      <c r="A1461" s="6" t="s">
        <v>4142</v>
      </c>
      <c r="B1461" s="6" t="s">
        <v>4143</v>
      </c>
      <c r="C1461" s="7">
        <v>0.98849243124315334</v>
      </c>
      <c r="D1461" s="7">
        <v>1.1084752310253354</v>
      </c>
      <c r="E1461" s="7">
        <v>0.87959441105696157</v>
      </c>
      <c r="F1461" s="8">
        <v>0.83233708952762631</v>
      </c>
      <c r="G1461" s="8">
        <f t="shared" si="176"/>
        <v>1.0484838311342444</v>
      </c>
      <c r="H1461" s="8">
        <f t="shared" si="177"/>
        <v>0.85596575029229394</v>
      </c>
      <c r="I1461" s="8">
        <f t="shared" si="178"/>
        <v>0.81638431120708332</v>
      </c>
      <c r="J1461" s="22">
        <f t="shared" si="179"/>
        <v>-0.29267963711401324</v>
      </c>
      <c r="K1461" s="8"/>
      <c r="L1461" s="8">
        <v>1.0016928153963338</v>
      </c>
      <c r="M1461" s="8">
        <v>0.77918876188377784</v>
      </c>
      <c r="N1461" s="8">
        <v>0.70892823300583507</v>
      </c>
      <c r="O1461" s="8">
        <v>1.092429299837808</v>
      </c>
      <c r="P1461" s="8">
        <f t="shared" si="180"/>
        <v>0.89044078864005582</v>
      </c>
      <c r="Q1461" s="8">
        <f t="shared" si="181"/>
        <v>0.90067876642182154</v>
      </c>
      <c r="R1461" s="8">
        <f t="shared" si="182"/>
        <v>1.0114976514018432</v>
      </c>
      <c r="S1461" s="22">
        <f t="shared" si="183"/>
        <v>1.6492970103959122E-2</v>
      </c>
      <c r="T1461" s="25"/>
      <c r="U1461" s="1" t="s">
        <v>4144</v>
      </c>
    </row>
    <row r="1462" spans="1:21">
      <c r="A1462" s="6" t="s">
        <v>4145</v>
      </c>
      <c r="B1462" s="6" t="s">
        <v>4146</v>
      </c>
      <c r="C1462" s="7">
        <v>1.0613056253864133</v>
      </c>
      <c r="D1462" s="7">
        <v>1.0560979554231194</v>
      </c>
      <c r="E1462" s="7">
        <v>0.91309942218059825</v>
      </c>
      <c r="F1462" s="8">
        <v>0.96470165906704908</v>
      </c>
      <c r="G1462" s="8">
        <f t="shared" si="176"/>
        <v>1.0587017904047662</v>
      </c>
      <c r="H1462" s="8">
        <f t="shared" si="177"/>
        <v>0.93890054062382367</v>
      </c>
      <c r="I1462" s="8">
        <f t="shared" si="178"/>
        <v>0.8868413647103216</v>
      </c>
      <c r="J1462" s="22">
        <f t="shared" si="179"/>
        <v>-0.17325203186449947</v>
      </c>
      <c r="K1462" s="8"/>
      <c r="L1462" s="8">
        <v>0.96810786027214435</v>
      </c>
      <c r="M1462" s="8">
        <v>0.88288124455898231</v>
      </c>
      <c r="N1462" s="8">
        <v>0.81042940501720606</v>
      </c>
      <c r="O1462" s="8">
        <v>0.8136960744929489</v>
      </c>
      <c r="P1462" s="8">
        <f t="shared" si="180"/>
        <v>0.92549455241556333</v>
      </c>
      <c r="Q1462" s="8">
        <f t="shared" si="181"/>
        <v>0.81206273975507748</v>
      </c>
      <c r="R1462" s="8">
        <f t="shared" si="182"/>
        <v>0.87743654204724808</v>
      </c>
      <c r="S1462" s="22">
        <f t="shared" si="183"/>
        <v>-0.18863330426699176</v>
      </c>
      <c r="T1462" s="25"/>
      <c r="U1462" s="1" t="s">
        <v>4147</v>
      </c>
    </row>
    <row r="1463" spans="1:21">
      <c r="A1463" s="6" t="s">
        <v>4148</v>
      </c>
      <c r="B1463" s="6" t="s">
        <v>4149</v>
      </c>
      <c r="C1463" s="7">
        <v>1.0390459002951571</v>
      </c>
      <c r="D1463" s="7">
        <v>1.1279436318793252</v>
      </c>
      <c r="E1463" s="7">
        <v>1.0644637434674704</v>
      </c>
      <c r="F1463" s="8">
        <v>1.1184027343621148</v>
      </c>
      <c r="G1463" s="8">
        <f t="shared" si="176"/>
        <v>1.0834947660872412</v>
      </c>
      <c r="H1463" s="8">
        <f t="shared" si="177"/>
        <v>1.0914332389147927</v>
      </c>
      <c r="I1463" s="8">
        <f t="shared" si="178"/>
        <v>1.0073267292801231</v>
      </c>
      <c r="J1463" s="22">
        <f t="shared" si="179"/>
        <v>1.053170147644251E-2</v>
      </c>
      <c r="K1463" s="8"/>
      <c r="L1463" s="8">
        <v>1.0073333655518066</v>
      </c>
      <c r="M1463" s="8">
        <v>0.89471045483872369</v>
      </c>
      <c r="N1463" s="8">
        <v>0.86644656126876463</v>
      </c>
      <c r="O1463" s="8">
        <v>0.719713399304585</v>
      </c>
      <c r="P1463" s="8">
        <f t="shared" si="180"/>
        <v>0.95102191019526516</v>
      </c>
      <c r="Q1463" s="8">
        <f t="shared" si="181"/>
        <v>0.79307998028667481</v>
      </c>
      <c r="R1463" s="8">
        <f t="shared" si="182"/>
        <v>0.8339239840687146</v>
      </c>
      <c r="S1463" s="22">
        <f t="shared" si="183"/>
        <v>-0.26201221338205133</v>
      </c>
      <c r="T1463" s="25"/>
      <c r="U1463" s="1" t="s">
        <v>4150</v>
      </c>
    </row>
    <row r="1464" spans="1:21">
      <c r="A1464" s="6" t="s">
        <v>4151</v>
      </c>
      <c r="B1464" s="6" t="s">
        <v>4152</v>
      </c>
      <c r="C1464" s="7">
        <v>1.075519991985014</v>
      </c>
      <c r="D1464" s="7">
        <v>1.0670203529912194</v>
      </c>
      <c r="E1464" s="7">
        <v>1.0071731153697427</v>
      </c>
      <c r="F1464" s="8">
        <v>1.1696103481756575</v>
      </c>
      <c r="G1464" s="8">
        <f t="shared" si="176"/>
        <v>1.0712701724881168</v>
      </c>
      <c r="H1464" s="8">
        <f t="shared" si="177"/>
        <v>1.0883917317727001</v>
      </c>
      <c r="I1464" s="8">
        <f t="shared" si="178"/>
        <v>1.0159824848336969</v>
      </c>
      <c r="J1464" s="22">
        <f t="shared" si="179"/>
        <v>2.2875530789823795E-2</v>
      </c>
      <c r="K1464" s="8"/>
      <c r="L1464" s="8">
        <v>0.93921618733838663</v>
      </c>
      <c r="M1464" s="8">
        <v>0.88292521931838663</v>
      </c>
      <c r="N1464" s="8">
        <v>0.8655368809535684</v>
      </c>
      <c r="O1464" s="8">
        <v>1.0424994339173197</v>
      </c>
      <c r="P1464" s="8">
        <f t="shared" si="180"/>
        <v>0.91107070332838669</v>
      </c>
      <c r="Q1464" s="8">
        <f t="shared" si="181"/>
        <v>0.95401815743544405</v>
      </c>
      <c r="R1464" s="8">
        <f t="shared" si="182"/>
        <v>1.0471395402685639</v>
      </c>
      <c r="S1464" s="22">
        <f t="shared" si="183"/>
        <v>6.6453706489790057E-2</v>
      </c>
      <c r="T1464" s="25"/>
      <c r="U1464" s="1" t="s">
        <v>4153</v>
      </c>
    </row>
    <row r="1465" spans="1:21">
      <c r="A1465" s="6" t="s">
        <v>4154</v>
      </c>
      <c r="B1465" s="6" t="s">
        <v>4155</v>
      </c>
      <c r="C1465" s="7">
        <v>1.0605024394295124</v>
      </c>
      <c r="D1465" s="7">
        <v>1.2862346754090035</v>
      </c>
      <c r="E1465" s="7">
        <v>0.95219218831714703</v>
      </c>
      <c r="F1465" s="8">
        <v>0.97881220154011428</v>
      </c>
      <c r="G1465" s="8">
        <f t="shared" si="176"/>
        <v>1.1733685574192578</v>
      </c>
      <c r="H1465" s="8">
        <f t="shared" si="177"/>
        <v>0.96550219492863065</v>
      </c>
      <c r="I1465" s="8">
        <f t="shared" si="178"/>
        <v>0.82284648657382231</v>
      </c>
      <c r="J1465" s="22">
        <f t="shared" si="179"/>
        <v>-0.28130479390851415</v>
      </c>
      <c r="K1465" s="8"/>
      <c r="L1465" s="8">
        <v>1.0490131560136209</v>
      </c>
      <c r="M1465" s="8">
        <v>0.92786742342952278</v>
      </c>
      <c r="N1465" s="8">
        <v>0.81890379532192903</v>
      </c>
      <c r="O1465" s="8">
        <v>0.97021666021552611</v>
      </c>
      <c r="P1465" s="8">
        <f t="shared" si="180"/>
        <v>0.98844028972157183</v>
      </c>
      <c r="Q1465" s="8">
        <f t="shared" si="181"/>
        <v>0.89456022776872757</v>
      </c>
      <c r="R1465" s="8">
        <f t="shared" si="182"/>
        <v>0.90502202011687649</v>
      </c>
      <c r="S1465" s="22">
        <f t="shared" si="183"/>
        <v>-0.14397520000982156</v>
      </c>
      <c r="T1465" s="25"/>
      <c r="U1465" s="1" t="s">
        <v>4156</v>
      </c>
    </row>
    <row r="1466" spans="1:21">
      <c r="A1466" s="6" t="s">
        <v>4157</v>
      </c>
      <c r="B1466" s="6" t="s">
        <v>4158</v>
      </c>
      <c r="C1466" s="7">
        <v>1.0576136697693979</v>
      </c>
      <c r="D1466" s="7">
        <v>1.0365200729897321</v>
      </c>
      <c r="E1466" s="7">
        <v>0.99391743980637726</v>
      </c>
      <c r="F1466" s="8">
        <v>1.0266557596128507</v>
      </c>
      <c r="G1466" s="8">
        <f t="shared" si="176"/>
        <v>1.047066871379565</v>
      </c>
      <c r="H1466" s="8">
        <f t="shared" si="177"/>
        <v>1.010286599709614</v>
      </c>
      <c r="I1466" s="8">
        <f t="shared" si="178"/>
        <v>0.96487304423881626</v>
      </c>
      <c r="J1466" s="22">
        <f t="shared" si="179"/>
        <v>-5.1588966492474138E-2</v>
      </c>
      <c r="K1466" s="8"/>
      <c r="L1466" s="8">
        <v>1.032263736086301</v>
      </c>
      <c r="M1466" s="8">
        <v>0.96243158432125753</v>
      </c>
      <c r="N1466" s="8">
        <v>1.1557249015011719</v>
      </c>
      <c r="O1466" s="8">
        <v>1.2066049389095084</v>
      </c>
      <c r="P1466" s="8">
        <f t="shared" si="180"/>
        <v>0.99734766020377918</v>
      </c>
      <c r="Q1466" s="8">
        <f t="shared" si="181"/>
        <v>1.1811649202053403</v>
      </c>
      <c r="R1466" s="8">
        <f t="shared" si="182"/>
        <v>1.1843061024116739</v>
      </c>
      <c r="S1466" s="22">
        <f t="shared" si="183"/>
        <v>0.24404201623341085</v>
      </c>
      <c r="T1466" s="25"/>
      <c r="U1466" s="1" t="s">
        <v>4159</v>
      </c>
    </row>
    <row r="1467" spans="1:21">
      <c r="A1467" s="6" t="s">
        <v>4160</v>
      </c>
      <c r="B1467" s="6" t="s">
        <v>80</v>
      </c>
      <c r="C1467" s="7">
        <v>1.0100164649957355</v>
      </c>
      <c r="D1467" s="7">
        <v>1.366677875894345</v>
      </c>
      <c r="E1467" s="7">
        <v>0.97906218867448869</v>
      </c>
      <c r="F1467" s="8">
        <v>0.99805061756311886</v>
      </c>
      <c r="G1467" s="8">
        <f t="shared" si="176"/>
        <v>1.1883471704450401</v>
      </c>
      <c r="H1467" s="8">
        <f t="shared" si="177"/>
        <v>0.98855640311880377</v>
      </c>
      <c r="I1467" s="8">
        <f t="shared" si="178"/>
        <v>0.83187508474361582</v>
      </c>
      <c r="J1467" s="22">
        <f t="shared" si="179"/>
        <v>-0.26556118689461289</v>
      </c>
      <c r="K1467" s="8"/>
      <c r="L1467" s="8">
        <v>0.9085160937440957</v>
      </c>
      <c r="M1467" s="8">
        <v>0.96476224656968246</v>
      </c>
      <c r="N1467" s="8">
        <v>1.0622193406812628</v>
      </c>
      <c r="O1467" s="8">
        <v>1.1780735869549435</v>
      </c>
      <c r="P1467" s="8">
        <f t="shared" si="180"/>
        <v>0.93663917015688902</v>
      </c>
      <c r="Q1467" s="8">
        <f t="shared" si="181"/>
        <v>1.1201464638181031</v>
      </c>
      <c r="R1467" s="8">
        <f t="shared" si="182"/>
        <v>1.1959210115358256</v>
      </c>
      <c r="S1467" s="22">
        <f t="shared" si="183"/>
        <v>0.2581221052310233</v>
      </c>
      <c r="T1467" s="25"/>
      <c r="U1467" s="1">
        <v>0</v>
      </c>
    </row>
    <row r="1468" spans="1:21">
      <c r="A1468" s="6" t="s">
        <v>4161</v>
      </c>
      <c r="B1468" s="6" t="s">
        <v>80</v>
      </c>
      <c r="C1468" s="7">
        <v>1.1348477614065247</v>
      </c>
      <c r="D1468" s="7">
        <v>2.1832494558750413</v>
      </c>
      <c r="E1468" s="7">
        <v>1.2750553986973674</v>
      </c>
      <c r="F1468" s="8">
        <v>1.4069647503700133</v>
      </c>
      <c r="G1468" s="8">
        <f t="shared" si="176"/>
        <v>1.659048608640783</v>
      </c>
      <c r="H1468" s="8">
        <f t="shared" si="177"/>
        <v>1.3410100745336904</v>
      </c>
      <c r="I1468" s="8">
        <f t="shared" si="178"/>
        <v>0.8083006534885957</v>
      </c>
      <c r="J1468" s="22">
        <f t="shared" si="179"/>
        <v>-0.30703608084779749</v>
      </c>
      <c r="K1468" s="8"/>
      <c r="L1468" s="8">
        <v>1.069551647801106</v>
      </c>
      <c r="M1468" s="8">
        <v>1.0680589564102487</v>
      </c>
      <c r="N1468" s="8">
        <v>1.2481771482719066</v>
      </c>
      <c r="O1468" s="8">
        <v>1.4855390892681319</v>
      </c>
      <c r="P1468" s="8">
        <f t="shared" si="180"/>
        <v>1.0688053021056774</v>
      </c>
      <c r="Q1468" s="8">
        <f t="shared" si="181"/>
        <v>1.3668581187700193</v>
      </c>
      <c r="R1468" s="8">
        <f t="shared" si="182"/>
        <v>1.2788653986625453</v>
      </c>
      <c r="S1468" s="22">
        <f t="shared" si="183"/>
        <v>0.35486442770592913</v>
      </c>
      <c r="T1468" s="25"/>
      <c r="U1468" s="1">
        <v>0</v>
      </c>
    </row>
    <row r="1469" spans="1:21">
      <c r="A1469" s="6" t="s">
        <v>4162</v>
      </c>
      <c r="B1469" s="6" t="s">
        <v>4163</v>
      </c>
      <c r="C1469" s="7">
        <v>1.1522411245236159</v>
      </c>
      <c r="D1469" s="7">
        <v>1.1163965452993703</v>
      </c>
      <c r="E1469" s="7">
        <v>1.0876755216725846</v>
      </c>
      <c r="F1469" s="8">
        <v>0.98865544286205076</v>
      </c>
      <c r="G1469" s="8">
        <f t="shared" si="176"/>
        <v>1.1343188349114932</v>
      </c>
      <c r="H1469" s="8">
        <f t="shared" si="177"/>
        <v>1.0381654822673176</v>
      </c>
      <c r="I1469" s="8">
        <f t="shared" si="178"/>
        <v>0.91523251692133101</v>
      </c>
      <c r="J1469" s="22">
        <f t="shared" si="179"/>
        <v>-0.12778978493913176</v>
      </c>
      <c r="K1469" s="8"/>
      <c r="L1469" s="8">
        <v>0.99527722781491801</v>
      </c>
      <c r="M1469" s="8">
        <v>1.0088689302521379</v>
      </c>
      <c r="N1469" s="8">
        <v>0.59445214702508598</v>
      </c>
      <c r="O1469" s="8">
        <v>0.99035939284542129</v>
      </c>
      <c r="P1469" s="8">
        <f t="shared" si="180"/>
        <v>1.0020730790335279</v>
      </c>
      <c r="Q1469" s="8">
        <f t="shared" si="181"/>
        <v>0.79240576993525358</v>
      </c>
      <c r="R1469" s="8">
        <f t="shared" si="182"/>
        <v>0.79076644859026379</v>
      </c>
      <c r="S1469" s="22">
        <f t="shared" si="183"/>
        <v>-0.33867643459325919</v>
      </c>
      <c r="T1469" s="25"/>
      <c r="U1469" s="1" t="s">
        <v>4164</v>
      </c>
    </row>
    <row r="1470" spans="1:21">
      <c r="A1470" s="6" t="s">
        <v>4165</v>
      </c>
      <c r="B1470" s="6" t="s">
        <v>4166</v>
      </c>
      <c r="C1470" s="7">
        <v>1.1853607336875922</v>
      </c>
      <c r="D1470" s="7">
        <v>0.9857592607068516</v>
      </c>
      <c r="E1470" s="7">
        <v>0.8928931245280004</v>
      </c>
      <c r="F1470" s="8">
        <v>0.97809387251300761</v>
      </c>
      <c r="G1470" s="8">
        <f t="shared" si="176"/>
        <v>1.0855599971972218</v>
      </c>
      <c r="H1470" s="8">
        <f t="shared" si="177"/>
        <v>0.93549349852050401</v>
      </c>
      <c r="I1470" s="8">
        <f t="shared" si="178"/>
        <v>0.86176121166571129</v>
      </c>
      <c r="J1470" s="22">
        <f t="shared" si="179"/>
        <v>-0.21463993145518731</v>
      </c>
      <c r="K1470" s="8"/>
      <c r="L1470" s="8">
        <v>0.9293129313402283</v>
      </c>
      <c r="M1470" s="8">
        <v>1.018279528764646</v>
      </c>
      <c r="N1470" s="8">
        <v>0.89522118597576172</v>
      </c>
      <c r="O1470" s="8">
        <v>0.99231841172962565</v>
      </c>
      <c r="P1470" s="8">
        <f t="shared" si="180"/>
        <v>0.97379623005243721</v>
      </c>
      <c r="Q1470" s="8">
        <f t="shared" si="181"/>
        <v>0.94376979885269363</v>
      </c>
      <c r="R1470" s="8">
        <f t="shared" si="182"/>
        <v>0.96916559104143718</v>
      </c>
      <c r="S1470" s="22">
        <f t="shared" si="183"/>
        <v>-4.5184910192099026E-2</v>
      </c>
      <c r="T1470" s="25"/>
      <c r="U1470" s="1" t="s">
        <v>4167</v>
      </c>
    </row>
    <row r="1471" spans="1:21">
      <c r="A1471" s="6" t="s">
        <v>4168</v>
      </c>
      <c r="B1471" s="6" t="s">
        <v>4169</v>
      </c>
      <c r="C1471" s="7">
        <v>1.0390324013715118</v>
      </c>
      <c r="D1471" s="7">
        <v>1.043179129054246</v>
      </c>
      <c r="E1471" s="7">
        <v>1.0371346720949473</v>
      </c>
      <c r="F1471" s="8">
        <v>0.98147926475956959</v>
      </c>
      <c r="G1471" s="8">
        <f t="shared" si="176"/>
        <v>1.0411057652128788</v>
      </c>
      <c r="H1471" s="8">
        <f t="shared" si="177"/>
        <v>1.0093069684272584</v>
      </c>
      <c r="I1471" s="8">
        <f t="shared" si="178"/>
        <v>0.96945670858030608</v>
      </c>
      <c r="J1471" s="22">
        <f t="shared" si="179"/>
        <v>-4.4751619155592441E-2</v>
      </c>
      <c r="K1471" s="8"/>
      <c r="L1471" s="8">
        <v>1.1281961463641135</v>
      </c>
      <c r="M1471" s="8">
        <v>1.110494599235343</v>
      </c>
      <c r="N1471" s="8">
        <v>0.76116303426263021</v>
      </c>
      <c r="O1471" s="8">
        <v>1.0275807516453026</v>
      </c>
      <c r="P1471" s="8">
        <f t="shared" si="180"/>
        <v>1.1193453727997282</v>
      </c>
      <c r="Q1471" s="8">
        <f t="shared" si="181"/>
        <v>0.89437189295396635</v>
      </c>
      <c r="R1471" s="8">
        <f t="shared" si="182"/>
        <v>0.79901334716464334</v>
      </c>
      <c r="S1471" s="22">
        <f t="shared" si="183"/>
        <v>-0.32370849195011847</v>
      </c>
      <c r="T1471" s="25"/>
      <c r="U1471" s="1" t="s">
        <v>4170</v>
      </c>
    </row>
    <row r="1472" spans="1:21">
      <c r="A1472" s="6" t="s">
        <v>4171</v>
      </c>
      <c r="B1472" s="11" t="s">
        <v>4172</v>
      </c>
      <c r="C1472" s="12">
        <v>1.1260532126515499</v>
      </c>
      <c r="D1472" s="12">
        <v>1.1656310555635956</v>
      </c>
      <c r="E1472" s="12">
        <v>0.93188546887997825</v>
      </c>
      <c r="F1472" s="8">
        <v>1.0295148513841068</v>
      </c>
      <c r="G1472" s="8">
        <f t="shared" si="176"/>
        <v>1.1458421341075726</v>
      </c>
      <c r="H1472" s="8">
        <f t="shared" si="177"/>
        <v>0.98070016013204253</v>
      </c>
      <c r="I1472" s="8">
        <f t="shared" si="178"/>
        <v>0.85587720240000664</v>
      </c>
      <c r="J1472" s="22">
        <f t="shared" si="179"/>
        <v>-0.22452427512656922</v>
      </c>
      <c r="K1472" s="8"/>
      <c r="L1472" s="8">
        <v>1.0181408318802316</v>
      </c>
      <c r="M1472" s="8">
        <v>0.99681984617537545</v>
      </c>
      <c r="N1472" s="8">
        <v>1.1115814672584907</v>
      </c>
      <c r="O1472" s="8">
        <v>1.0925799935981315</v>
      </c>
      <c r="P1472" s="8">
        <f t="shared" si="180"/>
        <v>1.0074803390278035</v>
      </c>
      <c r="Q1472" s="8">
        <f t="shared" si="181"/>
        <v>1.1020807304283111</v>
      </c>
      <c r="R1472" s="8">
        <f t="shared" si="182"/>
        <v>1.0938980025077163</v>
      </c>
      <c r="S1472" s="22">
        <f t="shared" si="183"/>
        <v>0.12947822429459716</v>
      </c>
      <c r="T1472" s="25"/>
      <c r="U1472" s="1" t="s">
        <v>4173</v>
      </c>
    </row>
    <row r="1473" spans="1:21">
      <c r="A1473" s="6" t="s">
        <v>4174</v>
      </c>
      <c r="B1473" s="6" t="s">
        <v>4175</v>
      </c>
      <c r="C1473" s="7">
        <v>3.0494068514947025E-2</v>
      </c>
      <c r="D1473" s="7">
        <v>2.0833700550002384E-2</v>
      </c>
      <c r="E1473" s="7">
        <v>5.9743788835103756E-2</v>
      </c>
      <c r="F1473" s="8">
        <v>8.4499674960930776E-2</v>
      </c>
      <c r="G1473" s="8">
        <f t="shared" si="176"/>
        <v>2.5663884532474705E-2</v>
      </c>
      <c r="H1473" s="8">
        <f t="shared" si="177"/>
        <v>7.2121731898017266E-2</v>
      </c>
      <c r="I1473" s="8">
        <f t="shared" si="178"/>
        <v>2.8102422221684904</v>
      </c>
      <c r="J1473" s="22">
        <f t="shared" si="179"/>
        <v>1.4906944854856026</v>
      </c>
      <c r="K1473" s="8"/>
      <c r="L1473" s="8">
        <v>2.7944404968716495E-2</v>
      </c>
      <c r="M1473" s="8">
        <v>2.3658420559482616E-2</v>
      </c>
      <c r="N1473" s="8">
        <v>2.9732182933519525E-2</v>
      </c>
      <c r="O1473" s="8">
        <v>2.9485745769946354E-2</v>
      </c>
      <c r="P1473" s="8">
        <f t="shared" si="180"/>
        <v>2.5801412764099557E-2</v>
      </c>
      <c r="Q1473" s="8">
        <f t="shared" si="181"/>
        <v>2.9608964351732939E-2</v>
      </c>
      <c r="R1473" s="8">
        <f t="shared" si="182"/>
        <v>1.1475714381396689</v>
      </c>
      <c r="S1473" s="22">
        <f t="shared" si="183"/>
        <v>0.19858396648599619</v>
      </c>
      <c r="T1473" s="25"/>
      <c r="U1473" s="1" t="s">
        <v>4176</v>
      </c>
    </row>
    <row r="1474" spans="1:21">
      <c r="A1474" s="6" t="s">
        <v>4177</v>
      </c>
      <c r="B1474" s="6" t="s">
        <v>4178</v>
      </c>
      <c r="C1474" s="7">
        <v>1.0795359217695191</v>
      </c>
      <c r="D1474" s="7">
        <v>1.0758239599933379</v>
      </c>
      <c r="E1474" s="7">
        <v>0.98069762916607284</v>
      </c>
      <c r="F1474" s="8">
        <v>0.92524334775628037</v>
      </c>
      <c r="G1474" s="8">
        <f t="shared" si="176"/>
        <v>1.0776799408814286</v>
      </c>
      <c r="H1474" s="8">
        <f t="shared" si="177"/>
        <v>0.9529704884611766</v>
      </c>
      <c r="I1474" s="8">
        <f t="shared" si="178"/>
        <v>0.88427969410078022</v>
      </c>
      <c r="J1474" s="22">
        <f t="shared" si="179"/>
        <v>-0.17742533446678796</v>
      </c>
      <c r="K1474" s="8"/>
      <c r="L1474" s="8">
        <v>1.1045144472380826</v>
      </c>
      <c r="M1474" s="8">
        <v>0.95205354110185625</v>
      </c>
      <c r="N1474" s="8">
        <v>0.76274300533639217</v>
      </c>
      <c r="O1474" s="8">
        <v>1.0204981449101025</v>
      </c>
      <c r="P1474" s="8">
        <f t="shared" si="180"/>
        <v>1.0282839941699695</v>
      </c>
      <c r="Q1474" s="8">
        <f t="shared" si="181"/>
        <v>0.89162057512324733</v>
      </c>
      <c r="R1474" s="8">
        <f t="shared" si="182"/>
        <v>0.86709564690147989</v>
      </c>
      <c r="S1474" s="22">
        <f t="shared" si="183"/>
        <v>-0.2057369529978603</v>
      </c>
      <c r="T1474" s="25"/>
      <c r="U1474" s="1" t="s">
        <v>4179</v>
      </c>
    </row>
    <row r="1475" spans="1:21">
      <c r="A1475" s="6" t="s">
        <v>4180</v>
      </c>
      <c r="B1475" s="6" t="s">
        <v>4181</v>
      </c>
      <c r="C1475" s="7">
        <v>1.0242105832088682</v>
      </c>
      <c r="D1475" s="7">
        <v>1.0182559695091118</v>
      </c>
      <c r="E1475" s="7">
        <v>1.0558346429789809</v>
      </c>
      <c r="F1475" s="8">
        <v>1.0516977052013901</v>
      </c>
      <c r="G1475" s="8">
        <f t="shared" si="176"/>
        <v>1.02123327635899</v>
      </c>
      <c r="H1475" s="8">
        <f t="shared" si="177"/>
        <v>1.0537661740901854</v>
      </c>
      <c r="I1475" s="8">
        <f t="shared" si="178"/>
        <v>1.0318564802815524</v>
      </c>
      <c r="J1475" s="22">
        <f t="shared" si="179"/>
        <v>4.5242321938551641E-2</v>
      </c>
      <c r="K1475" s="8"/>
      <c r="L1475" s="8">
        <v>0.87135735493361444</v>
      </c>
      <c r="M1475" s="8">
        <v>0.96071656870449207</v>
      </c>
      <c r="N1475" s="8">
        <v>0.82780908682858712</v>
      </c>
      <c r="O1475" s="8">
        <v>0.94419687093301807</v>
      </c>
      <c r="P1475" s="8">
        <f t="shared" si="180"/>
        <v>0.91603696181905325</v>
      </c>
      <c r="Q1475" s="8">
        <f t="shared" si="181"/>
        <v>0.88600297888080259</v>
      </c>
      <c r="R1475" s="8">
        <f t="shared" si="182"/>
        <v>0.96721313201313452</v>
      </c>
      <c r="S1475" s="22">
        <f t="shared" si="183"/>
        <v>-4.8094262457467639E-2</v>
      </c>
      <c r="T1475" s="25"/>
      <c r="U1475" s="1" t="s">
        <v>4182</v>
      </c>
    </row>
    <row r="1476" spans="1:21">
      <c r="A1476" s="6" t="s">
        <v>4183</v>
      </c>
      <c r="B1476" s="6" t="s">
        <v>4184</v>
      </c>
      <c r="C1476" s="7">
        <v>1.0820669699530305</v>
      </c>
      <c r="D1476" s="7">
        <v>0.98808413424581631</v>
      </c>
      <c r="E1476" s="7">
        <v>0.94945928117989475</v>
      </c>
      <c r="F1476" s="8">
        <v>0.95396228450337561</v>
      </c>
      <c r="G1476" s="8">
        <f t="shared" si="176"/>
        <v>1.0350755520994235</v>
      </c>
      <c r="H1476" s="8">
        <f t="shared" si="177"/>
        <v>0.95171078284163513</v>
      </c>
      <c r="I1476" s="8">
        <f t="shared" si="178"/>
        <v>0.91946020839860321</v>
      </c>
      <c r="J1476" s="22">
        <f t="shared" si="179"/>
        <v>-0.12114095460381395</v>
      </c>
      <c r="K1476" s="8"/>
      <c r="L1476" s="8">
        <v>1.402171876434904</v>
      </c>
      <c r="M1476" s="8">
        <v>1.4016075064914302</v>
      </c>
      <c r="N1476" s="8">
        <v>1.0267896862999351</v>
      </c>
      <c r="O1476" s="8">
        <v>0.97513932305275741</v>
      </c>
      <c r="P1476" s="8">
        <f t="shared" si="180"/>
        <v>1.4018896914631671</v>
      </c>
      <c r="Q1476" s="8">
        <f t="shared" si="181"/>
        <v>1.0009645046763462</v>
      </c>
      <c r="R1476" s="8">
        <f t="shared" si="182"/>
        <v>0.71401088885362229</v>
      </c>
      <c r="S1476" s="22">
        <f t="shared" si="183"/>
        <v>-0.48598201898685883</v>
      </c>
      <c r="T1476" s="25"/>
      <c r="U1476" s="1" t="s">
        <v>4185</v>
      </c>
    </row>
    <row r="1477" spans="1:21">
      <c r="A1477" s="6" t="s">
        <v>4186</v>
      </c>
      <c r="B1477" s="6" t="s">
        <v>4187</v>
      </c>
      <c r="C1477" s="7">
        <v>1.0909695100971686</v>
      </c>
      <c r="D1477" s="7">
        <v>1.0507719985900894</v>
      </c>
      <c r="E1477" s="7">
        <v>1.0531304277801774</v>
      </c>
      <c r="F1477" s="8">
        <v>1.0123105155764736</v>
      </c>
      <c r="G1477" s="8">
        <f t="shared" si="176"/>
        <v>1.0708707543436291</v>
      </c>
      <c r="H1477" s="8">
        <f t="shared" si="177"/>
        <v>1.0327204716783256</v>
      </c>
      <c r="I1477" s="8">
        <f t="shared" si="178"/>
        <v>0.96437452184536776</v>
      </c>
      <c r="J1477" s="22">
        <f t="shared" si="179"/>
        <v>-5.2334558518559032E-2</v>
      </c>
      <c r="K1477" s="8"/>
      <c r="L1477" s="8">
        <v>1.0695947054358805</v>
      </c>
      <c r="M1477" s="8">
        <v>1.1184980054469151</v>
      </c>
      <c r="N1477" s="8">
        <v>0.89277941249812975</v>
      </c>
      <c r="O1477" s="8">
        <v>0.84202650143374913</v>
      </c>
      <c r="P1477" s="8">
        <f t="shared" si="180"/>
        <v>1.0940463554413977</v>
      </c>
      <c r="Q1477" s="8">
        <f t="shared" si="181"/>
        <v>0.86740295696593939</v>
      </c>
      <c r="R1477" s="8">
        <f t="shared" si="182"/>
        <v>0.79283930946050452</v>
      </c>
      <c r="S1477" s="22">
        <f t="shared" si="183"/>
        <v>-0.33489960088237403</v>
      </c>
      <c r="T1477" s="25"/>
      <c r="U1477" s="1" t="s">
        <v>4188</v>
      </c>
    </row>
    <row r="1478" spans="1:21">
      <c r="A1478" s="6" t="s">
        <v>4189</v>
      </c>
      <c r="B1478" s="6" t="s">
        <v>4190</v>
      </c>
      <c r="C1478" s="7">
        <v>1.1106914375430905</v>
      </c>
      <c r="D1478" s="7">
        <v>1.0550675405582042</v>
      </c>
      <c r="E1478" s="7">
        <v>1.061587376637974</v>
      </c>
      <c r="F1478" s="8">
        <v>1.0144583904892082</v>
      </c>
      <c r="G1478" s="8">
        <f t="shared" ref="G1478:G1541" si="184">AVERAGE(C1478:D1478)</f>
        <v>1.0828794890506472</v>
      </c>
      <c r="H1478" s="8">
        <f t="shared" ref="H1478:H1541" si="185">AVERAGE(E1478:F1478)</f>
        <v>1.038022883563591</v>
      </c>
      <c r="I1478" s="8">
        <f t="shared" ref="I1478:I1541" si="186">H1478/G1478</f>
        <v>0.95857654896909927</v>
      </c>
      <c r="J1478" s="22">
        <f t="shared" ref="J1478:J1541" si="187">LOG(I1478,2)</f>
        <v>-6.1034449213638757E-2</v>
      </c>
      <c r="K1478" s="8"/>
      <c r="L1478" s="8">
        <v>1.0903484853972385</v>
      </c>
      <c r="M1478" s="8">
        <v>1.1174865859806176</v>
      </c>
      <c r="N1478" s="8">
        <v>0.79506059548152208</v>
      </c>
      <c r="O1478" s="8">
        <v>0.83112631943702275</v>
      </c>
      <c r="P1478" s="8">
        <f t="shared" ref="P1478:P1541" si="188">AVERAGE(L1478:M1478)</f>
        <v>1.1039175356889279</v>
      </c>
      <c r="Q1478" s="8">
        <f t="shared" ref="Q1478:Q1541" si="189">AVERAGE(N1478:O1478)</f>
        <v>0.81309345745927242</v>
      </c>
      <c r="R1478" s="8">
        <f t="shared" ref="R1478:R1541" si="190">Q1478/P1478</f>
        <v>0.73655271446688331</v>
      </c>
      <c r="S1478" s="22">
        <f t="shared" ref="S1478:S1541" si="191">LOG(R1478,2)</f>
        <v>-0.44113931344369767</v>
      </c>
      <c r="T1478" s="25"/>
      <c r="U1478" s="1" t="s">
        <v>4191</v>
      </c>
    </row>
    <row r="1479" spans="1:21">
      <c r="A1479" s="6" t="s">
        <v>4192</v>
      </c>
      <c r="B1479" s="6" t="s">
        <v>4193</v>
      </c>
      <c r="C1479" s="7">
        <v>0.99457369634540371</v>
      </c>
      <c r="D1479" s="7">
        <v>1.1284845996834059</v>
      </c>
      <c r="E1479" s="7">
        <v>1.2200027417986494</v>
      </c>
      <c r="F1479" s="8">
        <v>1.0351192402292557</v>
      </c>
      <c r="G1479" s="8">
        <f t="shared" si="184"/>
        <v>1.0615291480144049</v>
      </c>
      <c r="H1479" s="8">
        <f t="shared" si="185"/>
        <v>1.1275609910139526</v>
      </c>
      <c r="I1479" s="8">
        <f t="shared" si="186"/>
        <v>1.0622044558296497</v>
      </c>
      <c r="J1479" s="22">
        <f t="shared" si="187"/>
        <v>8.7061486501439592E-2</v>
      </c>
      <c r="K1479" s="8"/>
      <c r="L1479" s="8">
        <v>1.0930611163880386</v>
      </c>
      <c r="M1479" s="8">
        <v>1.0968184490606234</v>
      </c>
      <c r="N1479" s="8">
        <v>0.87779362625305468</v>
      </c>
      <c r="O1479" s="8">
        <v>0.93133767005208745</v>
      </c>
      <c r="P1479" s="8">
        <f t="shared" si="188"/>
        <v>1.094939782724331</v>
      </c>
      <c r="Q1479" s="8">
        <f t="shared" si="189"/>
        <v>0.90456564815257101</v>
      </c>
      <c r="R1479" s="8">
        <f t="shared" si="190"/>
        <v>0.82613278138630775</v>
      </c>
      <c r="S1479" s="22">
        <f t="shared" si="191"/>
        <v>-0.2755544153587437</v>
      </c>
      <c r="T1479" s="25"/>
      <c r="U1479" s="1" t="s">
        <v>4194</v>
      </c>
    </row>
    <row r="1480" spans="1:21">
      <c r="A1480" s="6" t="s">
        <v>4195</v>
      </c>
      <c r="B1480" s="6" t="s">
        <v>4196</v>
      </c>
      <c r="C1480" s="7">
        <v>1.0523288411622256</v>
      </c>
      <c r="D1480" s="7">
        <v>1.0142695520004714</v>
      </c>
      <c r="E1480" s="7">
        <v>1.0975527214835989</v>
      </c>
      <c r="F1480" s="8">
        <v>1.0083419255059238</v>
      </c>
      <c r="G1480" s="8">
        <f t="shared" si="184"/>
        <v>1.0332991965813485</v>
      </c>
      <c r="H1480" s="8">
        <f t="shared" si="185"/>
        <v>1.0529473234947613</v>
      </c>
      <c r="I1480" s="8">
        <f t="shared" si="186"/>
        <v>1.0190149445372825</v>
      </c>
      <c r="J1480" s="22">
        <f t="shared" si="187"/>
        <v>2.7175209748796558E-2</v>
      </c>
      <c r="K1480" s="8"/>
      <c r="L1480" s="8">
        <v>0.95949633331722406</v>
      </c>
      <c r="M1480" s="8">
        <v>0.94259896782994412</v>
      </c>
      <c r="N1480" s="8">
        <v>0.85615281033364921</v>
      </c>
      <c r="O1480" s="8">
        <v>0.75371995788423352</v>
      </c>
      <c r="P1480" s="8">
        <f t="shared" si="188"/>
        <v>0.95104765057358409</v>
      </c>
      <c r="Q1480" s="8">
        <f t="shared" si="189"/>
        <v>0.80493638410894142</v>
      </c>
      <c r="R1480" s="8">
        <f t="shared" si="190"/>
        <v>0.84636809062456353</v>
      </c>
      <c r="S1480" s="22">
        <f t="shared" si="191"/>
        <v>-0.24064285822641326</v>
      </c>
      <c r="T1480" s="25"/>
      <c r="U1480" s="1" t="s">
        <v>4197</v>
      </c>
    </row>
    <row r="1481" spans="1:21">
      <c r="A1481" s="6" t="s">
        <v>4198</v>
      </c>
      <c r="B1481" s="6" t="s">
        <v>4199</v>
      </c>
      <c r="C1481" s="7">
        <v>1.055825062386383</v>
      </c>
      <c r="D1481" s="7">
        <v>1.052201699215159</v>
      </c>
      <c r="E1481" s="7">
        <v>1.0098773305685462</v>
      </c>
      <c r="F1481" s="8">
        <v>1.1534088281385395</v>
      </c>
      <c r="G1481" s="8">
        <f t="shared" si="184"/>
        <v>1.054013380800771</v>
      </c>
      <c r="H1481" s="8">
        <f t="shared" si="185"/>
        <v>1.081643079353543</v>
      </c>
      <c r="I1481" s="8">
        <f t="shared" si="186"/>
        <v>1.0262138024583527</v>
      </c>
      <c r="J1481" s="22">
        <f t="shared" si="187"/>
        <v>3.7331334855867281E-2</v>
      </c>
      <c r="K1481" s="8"/>
      <c r="L1481" s="8">
        <v>1.0933194621966862</v>
      </c>
      <c r="M1481" s="8">
        <v>0.91168471196876144</v>
      </c>
      <c r="N1481" s="8">
        <v>0.98733828736721352</v>
      </c>
      <c r="O1481" s="8">
        <v>1.207207713950802</v>
      </c>
      <c r="P1481" s="8">
        <f t="shared" si="188"/>
        <v>1.0025020870827239</v>
      </c>
      <c r="Q1481" s="8">
        <f t="shared" si="189"/>
        <v>1.0972730006590077</v>
      </c>
      <c r="R1481" s="8">
        <f t="shared" si="190"/>
        <v>1.0945343803244008</v>
      </c>
      <c r="S1481" s="22">
        <f t="shared" si="191"/>
        <v>0.13031727159927317</v>
      </c>
      <c r="T1481" s="25"/>
      <c r="U1481" s="1" t="s">
        <v>4200</v>
      </c>
    </row>
    <row r="1482" spans="1:21">
      <c r="A1482" s="6" t="s">
        <v>4201</v>
      </c>
      <c r="B1482" s="6" t="s">
        <v>4202</v>
      </c>
      <c r="C1482" s="7">
        <v>1.0277540506657843</v>
      </c>
      <c r="D1482" s="7">
        <v>1.0196019489264072</v>
      </c>
      <c r="E1482" s="7">
        <v>1.10453203551128</v>
      </c>
      <c r="F1482" s="8">
        <v>1.0936097146740578</v>
      </c>
      <c r="G1482" s="8">
        <f t="shared" si="184"/>
        <v>1.0236779997960959</v>
      </c>
      <c r="H1482" s="8">
        <f t="shared" si="185"/>
        <v>1.0990708750926688</v>
      </c>
      <c r="I1482" s="8">
        <f t="shared" si="186"/>
        <v>1.0736490139590675</v>
      </c>
      <c r="J1482" s="22">
        <f t="shared" si="187"/>
        <v>0.10252243971108127</v>
      </c>
      <c r="K1482" s="8"/>
      <c r="L1482" s="8">
        <v>0.9584629500826336</v>
      </c>
      <c r="M1482" s="8">
        <v>1.1073284165582375</v>
      </c>
      <c r="N1482" s="8">
        <v>0.91513839708742706</v>
      </c>
      <c r="O1482" s="8">
        <v>1.0013600373490299</v>
      </c>
      <c r="P1482" s="8">
        <f t="shared" si="188"/>
        <v>1.0328956833204357</v>
      </c>
      <c r="Q1482" s="8">
        <f t="shared" si="189"/>
        <v>0.95824921721822842</v>
      </c>
      <c r="R1482" s="8">
        <f t="shared" si="190"/>
        <v>0.92773087611108773</v>
      </c>
      <c r="S1482" s="22">
        <f t="shared" si="191"/>
        <v>-0.10822173782099716</v>
      </c>
      <c r="T1482" s="25"/>
      <c r="U1482" s="1" t="s">
        <v>4203</v>
      </c>
    </row>
    <row r="1483" spans="1:21">
      <c r="A1483" s="6" t="s">
        <v>4204</v>
      </c>
      <c r="B1483" s="6" t="s">
        <v>4205</v>
      </c>
      <c r="C1483" s="7">
        <v>1.038492444425696</v>
      </c>
      <c r="D1483" s="7">
        <v>1.1213876173013029</v>
      </c>
      <c r="E1483" s="7">
        <v>1.1113105059698192</v>
      </c>
      <c r="F1483" s="8">
        <v>1.0887378791931861</v>
      </c>
      <c r="G1483" s="8">
        <f t="shared" si="184"/>
        <v>1.0799400308634994</v>
      </c>
      <c r="H1483" s="8">
        <f t="shared" si="185"/>
        <v>1.1000241925815026</v>
      </c>
      <c r="I1483" s="8">
        <f t="shared" si="186"/>
        <v>1.0185974786969831</v>
      </c>
      <c r="J1483" s="22">
        <f t="shared" si="187"/>
        <v>2.6584051293832477E-2</v>
      </c>
      <c r="K1483" s="8"/>
      <c r="L1483" s="8">
        <v>0.61344212263375031</v>
      </c>
      <c r="M1483" s="8">
        <v>0.95042647500389932</v>
      </c>
      <c r="N1483" s="8">
        <v>0.60503316542815821</v>
      </c>
      <c r="O1483" s="8">
        <v>0.61734210479155149</v>
      </c>
      <c r="P1483" s="8">
        <f t="shared" si="188"/>
        <v>0.78193429881882481</v>
      </c>
      <c r="Q1483" s="8">
        <f t="shared" si="189"/>
        <v>0.61118763510985485</v>
      </c>
      <c r="R1483" s="8">
        <f t="shared" si="190"/>
        <v>0.78163553642947159</v>
      </c>
      <c r="S1483" s="22">
        <f t="shared" si="191"/>
        <v>-0.35543203512313493</v>
      </c>
      <c r="T1483" s="25"/>
      <c r="U1483" s="1" t="s">
        <v>4206</v>
      </c>
    </row>
    <row r="1484" spans="1:21">
      <c r="A1484" s="6" t="s">
        <v>4207</v>
      </c>
      <c r="B1484" s="6" t="s">
        <v>4208</v>
      </c>
      <c r="C1484" s="7">
        <v>1.0164419526509434</v>
      </c>
      <c r="D1484" s="7">
        <v>1.1877398945089304</v>
      </c>
      <c r="E1484" s="7">
        <v>0.99630604368224351</v>
      </c>
      <c r="F1484" s="8">
        <v>1.0296784312615668</v>
      </c>
      <c r="G1484" s="8">
        <f t="shared" si="184"/>
        <v>1.102090923579937</v>
      </c>
      <c r="H1484" s="8">
        <f t="shared" si="185"/>
        <v>1.0129922374719051</v>
      </c>
      <c r="I1484" s="8">
        <f t="shared" si="186"/>
        <v>0.91915486807693569</v>
      </c>
      <c r="J1484" s="22">
        <f t="shared" si="187"/>
        <v>-0.12162013371807132</v>
      </c>
      <c r="K1484" s="8"/>
      <c r="L1484" s="8">
        <v>1.0756658319390995</v>
      </c>
      <c r="M1484" s="8">
        <v>0.90979379731437893</v>
      </c>
      <c r="N1484" s="8">
        <v>1.0709331205426162</v>
      </c>
      <c r="O1484" s="8">
        <v>0.87322010982069409</v>
      </c>
      <c r="P1484" s="8">
        <f t="shared" si="188"/>
        <v>0.99272981462673915</v>
      </c>
      <c r="Q1484" s="8">
        <f t="shared" si="189"/>
        <v>0.97207661518165511</v>
      </c>
      <c r="R1484" s="8">
        <f t="shared" si="190"/>
        <v>0.97919554833472033</v>
      </c>
      <c r="S1484" s="22">
        <f t="shared" si="191"/>
        <v>-3.0331095690561458E-2</v>
      </c>
      <c r="T1484" s="25"/>
      <c r="U1484" s="1" t="s">
        <v>4209</v>
      </c>
    </row>
    <row r="1485" spans="1:21">
      <c r="A1485" s="6" t="s">
        <v>4210</v>
      </c>
      <c r="B1485" s="6" t="s">
        <v>4211</v>
      </c>
      <c r="C1485" s="7">
        <v>0.97061310687482782</v>
      </c>
      <c r="D1485" s="7">
        <v>1.0832622672994439</v>
      </c>
      <c r="E1485" s="7">
        <v>0.95836812806826055</v>
      </c>
      <c r="F1485" s="8">
        <v>1.0897478071322864</v>
      </c>
      <c r="G1485" s="8">
        <f t="shared" si="184"/>
        <v>1.0269376870871358</v>
      </c>
      <c r="H1485" s="8">
        <f t="shared" si="185"/>
        <v>1.0240579676002735</v>
      </c>
      <c r="I1485" s="8">
        <f t="shared" si="186"/>
        <v>0.99719581867227935</v>
      </c>
      <c r="J1485" s="22">
        <f t="shared" si="187"/>
        <v>-4.051261389491051E-3</v>
      </c>
      <c r="K1485" s="8"/>
      <c r="L1485" s="8">
        <v>1.0250300534441679</v>
      </c>
      <c r="M1485" s="8">
        <v>0.96762060593095822</v>
      </c>
      <c r="N1485" s="8">
        <v>0.66942895616178744</v>
      </c>
      <c r="O1485" s="8">
        <v>1.0618384664921567</v>
      </c>
      <c r="P1485" s="8">
        <f t="shared" si="188"/>
        <v>0.99632532968756304</v>
      </c>
      <c r="Q1485" s="8">
        <f t="shared" si="189"/>
        <v>0.86563371132697209</v>
      </c>
      <c r="R1485" s="8">
        <f t="shared" si="190"/>
        <v>0.86882636176521333</v>
      </c>
      <c r="S1485" s="22">
        <f t="shared" si="191"/>
        <v>-0.20286021710080054</v>
      </c>
      <c r="T1485" s="25"/>
      <c r="U1485" s="1" t="s">
        <v>4212</v>
      </c>
    </row>
    <row r="1486" spans="1:21">
      <c r="A1486" s="6" t="s">
        <v>4213</v>
      </c>
      <c r="B1486" s="13" t="s">
        <v>4214</v>
      </c>
      <c r="C1486" s="14">
        <v>1.0510869401868494</v>
      </c>
      <c r="D1486" s="14">
        <v>0.99749955007397806</v>
      </c>
      <c r="E1486" s="14">
        <v>0.92797619226632344</v>
      </c>
      <c r="F1486" s="8">
        <v>1.0926709084208095</v>
      </c>
      <c r="G1486" s="8">
        <f t="shared" si="184"/>
        <v>1.0242932451304139</v>
      </c>
      <c r="H1486" s="8">
        <f t="shared" si="185"/>
        <v>1.0103235503435664</v>
      </c>
      <c r="I1486" s="8">
        <f t="shared" si="186"/>
        <v>0.98636162558597285</v>
      </c>
      <c r="J1486" s="22">
        <f t="shared" si="187"/>
        <v>-1.9811422127288512E-2</v>
      </c>
      <c r="K1486" s="8"/>
      <c r="L1486" s="8">
        <v>1.0238674973052535</v>
      </c>
      <c r="M1486" s="8">
        <v>0.96784047972797937</v>
      </c>
      <c r="N1486" s="8">
        <v>0.83116054062141531</v>
      </c>
      <c r="O1486" s="8">
        <v>0.84463852661268812</v>
      </c>
      <c r="P1486" s="8">
        <f t="shared" si="188"/>
        <v>0.99585398851661644</v>
      </c>
      <c r="Q1486" s="8">
        <f t="shared" si="189"/>
        <v>0.83789953361705172</v>
      </c>
      <c r="R1486" s="8">
        <f t="shared" si="190"/>
        <v>0.8413879376686062</v>
      </c>
      <c r="S1486" s="22">
        <f t="shared" si="191"/>
        <v>-0.24915695944101671</v>
      </c>
      <c r="T1486" s="25"/>
      <c r="U1486" s="1" t="s">
        <v>4215</v>
      </c>
    </row>
    <row r="1487" spans="1:21">
      <c r="A1487" s="6" t="s">
        <v>4216</v>
      </c>
      <c r="B1487" s="6" t="s">
        <v>4217</v>
      </c>
      <c r="C1487" s="7">
        <v>1.0337138254552261</v>
      </c>
      <c r="D1487" s="7">
        <v>1.2167718333279136</v>
      </c>
      <c r="E1487" s="7">
        <v>0.9914212411613279</v>
      </c>
      <c r="F1487" s="8">
        <v>1.0150629248189513</v>
      </c>
      <c r="G1487" s="8">
        <f t="shared" si="184"/>
        <v>1.1252428293915697</v>
      </c>
      <c r="H1487" s="8">
        <f t="shared" si="185"/>
        <v>1.0032420829901396</v>
      </c>
      <c r="I1487" s="8">
        <f t="shared" si="186"/>
        <v>0.89157829473359351</v>
      </c>
      <c r="J1487" s="22">
        <f t="shared" si="187"/>
        <v>-0.16556659993771147</v>
      </c>
      <c r="K1487" s="8"/>
      <c r="L1487" s="8">
        <v>0.87850492230619825</v>
      </c>
      <c r="M1487" s="8">
        <v>0.9970397199723966</v>
      </c>
      <c r="N1487" s="8">
        <v>0.89411999401526099</v>
      </c>
      <c r="O1487" s="8">
        <v>0.93389946397758539</v>
      </c>
      <c r="P1487" s="8">
        <f t="shared" si="188"/>
        <v>0.93777232113929743</v>
      </c>
      <c r="Q1487" s="8">
        <f t="shared" si="189"/>
        <v>0.91400972899642319</v>
      </c>
      <c r="R1487" s="8">
        <f t="shared" si="190"/>
        <v>0.97466059553346052</v>
      </c>
      <c r="S1487" s="22">
        <f t="shared" si="191"/>
        <v>-3.7028175909309478E-2</v>
      </c>
      <c r="T1487" s="25"/>
      <c r="U1487" s="1" t="s">
        <v>4218</v>
      </c>
    </row>
    <row r="1488" spans="1:21">
      <c r="A1488" s="6" t="s">
        <v>4219</v>
      </c>
      <c r="B1488" s="6" t="s">
        <v>4220</v>
      </c>
      <c r="C1488" s="7">
        <v>1.0842537955835845</v>
      </c>
      <c r="D1488" s="7">
        <v>1.1427365252837629</v>
      </c>
      <c r="E1488" s="7">
        <v>1.0032638387560879</v>
      </c>
      <c r="F1488" s="8">
        <v>1.0187328038089218</v>
      </c>
      <c r="G1488" s="8">
        <f t="shared" si="184"/>
        <v>1.1134951604336738</v>
      </c>
      <c r="H1488" s="8">
        <f t="shared" si="185"/>
        <v>1.0109983212825049</v>
      </c>
      <c r="I1488" s="8">
        <f t="shared" si="186"/>
        <v>0.90795035057786022</v>
      </c>
      <c r="J1488" s="22">
        <f t="shared" si="187"/>
        <v>-0.13931468606446604</v>
      </c>
      <c r="K1488" s="8"/>
      <c r="L1488" s="8">
        <v>0.92655724271465378</v>
      </c>
      <c r="M1488" s="8">
        <v>0.79277696253968888</v>
      </c>
      <c r="N1488" s="8">
        <v>0.72348311804897503</v>
      </c>
      <c r="O1488" s="8">
        <v>0.98669251134421843</v>
      </c>
      <c r="P1488" s="8">
        <f t="shared" si="188"/>
        <v>0.85966710262717139</v>
      </c>
      <c r="Q1488" s="8">
        <f t="shared" si="189"/>
        <v>0.85508781469659678</v>
      </c>
      <c r="R1488" s="8">
        <f t="shared" si="190"/>
        <v>0.99467318463556398</v>
      </c>
      <c r="S1488" s="22">
        <f t="shared" si="191"/>
        <v>-7.7055112969783377E-3</v>
      </c>
      <c r="T1488" s="25"/>
      <c r="U1488" s="1" t="s">
        <v>4221</v>
      </c>
    </row>
    <row r="1489" spans="1:21">
      <c r="A1489" s="6" t="s">
        <v>4222</v>
      </c>
      <c r="B1489" s="11" t="s">
        <v>4223</v>
      </c>
      <c r="C1489" s="12">
        <v>1.0727527126377081</v>
      </c>
      <c r="D1489" s="12">
        <v>1.0314452797800253</v>
      </c>
      <c r="E1489" s="12">
        <v>0.91805595454763589</v>
      </c>
      <c r="F1489" s="8">
        <v>1.0208593422159009</v>
      </c>
      <c r="G1489" s="8">
        <f t="shared" si="184"/>
        <v>1.0520989962088667</v>
      </c>
      <c r="H1489" s="8">
        <f t="shared" si="185"/>
        <v>0.9694576483817684</v>
      </c>
      <c r="I1489" s="8">
        <f t="shared" si="186"/>
        <v>0.92145097740337356</v>
      </c>
      <c r="J1489" s="22">
        <f t="shared" si="187"/>
        <v>-0.11802068056511331</v>
      </c>
      <c r="K1489" s="8"/>
      <c r="L1489" s="8">
        <v>1.0357083468682691</v>
      </c>
      <c r="M1489" s="8">
        <v>0.96915972251010674</v>
      </c>
      <c r="N1489" s="8">
        <v>0.8020986484464615</v>
      </c>
      <c r="O1489" s="8">
        <v>0.86995507834702035</v>
      </c>
      <c r="P1489" s="8">
        <f t="shared" si="188"/>
        <v>1.002434034689188</v>
      </c>
      <c r="Q1489" s="8">
        <f t="shared" si="189"/>
        <v>0.83602686339674093</v>
      </c>
      <c r="R1489" s="8">
        <f t="shared" si="190"/>
        <v>0.83399688604543154</v>
      </c>
      <c r="S1489" s="22">
        <f t="shared" si="191"/>
        <v>-0.26188609790231604</v>
      </c>
      <c r="T1489" s="25"/>
      <c r="U1489" s="1" t="s">
        <v>4224</v>
      </c>
    </row>
    <row r="1490" spans="1:21">
      <c r="A1490" s="6" t="s">
        <v>4225</v>
      </c>
      <c r="B1490" s="6" t="s">
        <v>4226</v>
      </c>
      <c r="C1490" s="7">
        <v>0.91813604120335524</v>
      </c>
      <c r="D1490" s="7">
        <v>1.0775756652636936</v>
      </c>
      <c r="E1490" s="7">
        <v>0.90748297522923715</v>
      </c>
      <c r="F1490" s="8">
        <v>0.97559750133959733</v>
      </c>
      <c r="G1490" s="8">
        <f t="shared" si="184"/>
        <v>0.99785585323352444</v>
      </c>
      <c r="H1490" s="8">
        <f t="shared" si="185"/>
        <v>0.94154023828441724</v>
      </c>
      <c r="I1490" s="8">
        <f t="shared" si="186"/>
        <v>0.94356337664742063</v>
      </c>
      <c r="J1490" s="22">
        <f t="shared" si="187"/>
        <v>-8.380867181075527E-2</v>
      </c>
      <c r="K1490" s="8"/>
      <c r="L1490" s="8">
        <v>0.93650355634758675</v>
      </c>
      <c r="M1490" s="8">
        <v>1.0738196498922046</v>
      </c>
      <c r="N1490" s="8">
        <v>0.81210513191362022</v>
      </c>
      <c r="O1490" s="8">
        <v>0.92018633178815545</v>
      </c>
      <c r="P1490" s="8">
        <f t="shared" si="188"/>
        <v>1.0051616031198956</v>
      </c>
      <c r="Q1490" s="8">
        <f t="shared" si="189"/>
        <v>0.86614573185088783</v>
      </c>
      <c r="R1490" s="8">
        <f t="shared" si="190"/>
        <v>0.86169798882336945</v>
      </c>
      <c r="S1490" s="22">
        <f t="shared" si="191"/>
        <v>-0.21474577820935764</v>
      </c>
      <c r="T1490" s="25"/>
      <c r="U1490" s="1" t="s">
        <v>4227</v>
      </c>
    </row>
    <row r="1491" spans="1:21">
      <c r="A1491" s="6" t="s">
        <v>4228</v>
      </c>
      <c r="B1491" s="6" t="s">
        <v>80</v>
      </c>
      <c r="C1491" s="7">
        <v>0.8984748589138376</v>
      </c>
      <c r="D1491" s="7">
        <v>1.1363093125638548</v>
      </c>
      <c r="E1491" s="7">
        <v>0.94514114444334385</v>
      </c>
      <c r="F1491" s="8">
        <v>0.93478076582905267</v>
      </c>
      <c r="G1491" s="8">
        <f t="shared" si="184"/>
        <v>1.0173920857388463</v>
      </c>
      <c r="H1491" s="8">
        <f t="shared" si="185"/>
        <v>0.93996095513619826</v>
      </c>
      <c r="I1491" s="8">
        <f t="shared" si="186"/>
        <v>0.92389253692059503</v>
      </c>
      <c r="J1491" s="22">
        <f t="shared" si="187"/>
        <v>-0.11420304137153019</v>
      </c>
      <c r="K1491" s="8"/>
      <c r="L1491" s="8">
        <v>1.0302830848866693</v>
      </c>
      <c r="M1491" s="8">
        <v>0.85926679875890399</v>
      </c>
      <c r="N1491" s="8">
        <v>0.92255947334297539</v>
      </c>
      <c r="O1491" s="8">
        <v>1.1010188441762421</v>
      </c>
      <c r="P1491" s="8">
        <f t="shared" si="188"/>
        <v>0.94477494182278665</v>
      </c>
      <c r="Q1491" s="8">
        <f t="shared" si="189"/>
        <v>1.0117891587596088</v>
      </c>
      <c r="R1491" s="8">
        <f t="shared" si="190"/>
        <v>1.070931408074318</v>
      </c>
      <c r="S1491" s="22">
        <f t="shared" si="191"/>
        <v>9.8866080088162042E-2</v>
      </c>
      <c r="T1491" s="25"/>
      <c r="U1491" s="1">
        <v>0</v>
      </c>
    </row>
    <row r="1492" spans="1:21">
      <c r="A1492" s="6" t="s">
        <v>4229</v>
      </c>
      <c r="B1492" s="6" t="s">
        <v>80</v>
      </c>
      <c r="C1492" s="7">
        <v>1.2069320136729331</v>
      </c>
      <c r="D1492" s="7">
        <v>1.171588141501386</v>
      </c>
      <c r="E1492" s="7">
        <v>1.041581922554518</v>
      </c>
      <c r="F1492" s="8">
        <v>1.9371911427349078</v>
      </c>
      <c r="G1492" s="8">
        <f t="shared" si="184"/>
        <v>1.1892600775871596</v>
      </c>
      <c r="H1492" s="8">
        <f t="shared" si="185"/>
        <v>1.4893865326447129</v>
      </c>
      <c r="I1492" s="8">
        <f t="shared" si="186"/>
        <v>1.2523640208847062</v>
      </c>
      <c r="J1492" s="22">
        <f t="shared" si="187"/>
        <v>0.32465396705710764</v>
      </c>
      <c r="K1492" s="8"/>
      <c r="L1492" s="8">
        <v>1.1184220632702788</v>
      </c>
      <c r="M1492" s="8">
        <v>1.0615946667778251</v>
      </c>
      <c r="N1492" s="8">
        <v>1.190484265123934</v>
      </c>
      <c r="O1492" s="8">
        <v>1.384423576091127</v>
      </c>
      <c r="P1492" s="8">
        <f t="shared" si="188"/>
        <v>1.090008365024052</v>
      </c>
      <c r="Q1492" s="8">
        <f t="shared" si="189"/>
        <v>1.2874539206075304</v>
      </c>
      <c r="R1492" s="8">
        <f t="shared" si="190"/>
        <v>1.1811413214054753</v>
      </c>
      <c r="S1492" s="22">
        <f t="shared" si="191"/>
        <v>0.24018159089358701</v>
      </c>
      <c r="T1492" s="25"/>
      <c r="U1492" s="1">
        <v>0</v>
      </c>
    </row>
    <row r="1493" spans="1:21">
      <c r="A1493" s="6" t="s">
        <v>4230</v>
      </c>
      <c r="B1493" s="9" t="s">
        <v>4231</v>
      </c>
      <c r="C1493" s="10">
        <v>1.0535842410612475</v>
      </c>
      <c r="D1493" s="10">
        <v>1.0132842177858965</v>
      </c>
      <c r="E1493" s="10">
        <v>0.996255832789958</v>
      </c>
      <c r="F1493" s="8">
        <v>1.074300176965201</v>
      </c>
      <c r="G1493" s="8">
        <f t="shared" si="184"/>
        <v>1.0334342294235719</v>
      </c>
      <c r="H1493" s="8">
        <f t="shared" si="185"/>
        <v>1.0352780048775796</v>
      </c>
      <c r="I1493" s="8">
        <f t="shared" si="186"/>
        <v>1.0017841246220731</v>
      </c>
      <c r="J1493" s="22">
        <f t="shared" si="187"/>
        <v>2.5716543502149903E-3</v>
      </c>
      <c r="K1493" s="8"/>
      <c r="L1493" s="8">
        <v>1.1338366965195863</v>
      </c>
      <c r="M1493" s="8">
        <v>0.97157833427734008</v>
      </c>
      <c r="N1493" s="8">
        <v>1.1726258041992919</v>
      </c>
      <c r="O1493" s="8">
        <v>1.3670435624004942</v>
      </c>
      <c r="P1493" s="8">
        <f t="shared" si="188"/>
        <v>1.0527075153984633</v>
      </c>
      <c r="Q1493" s="8">
        <f t="shared" si="189"/>
        <v>1.269834683299893</v>
      </c>
      <c r="R1493" s="8">
        <f t="shared" si="190"/>
        <v>1.2062559302801636</v>
      </c>
      <c r="S1493" s="22">
        <f t="shared" si="191"/>
        <v>0.27053603507688584</v>
      </c>
      <c r="T1493" s="25"/>
      <c r="U1493" s="1" t="s">
        <v>4232</v>
      </c>
    </row>
    <row r="1494" spans="1:21">
      <c r="A1494" s="6" t="s">
        <v>4233</v>
      </c>
      <c r="B1494" s="6" t="s">
        <v>4234</v>
      </c>
      <c r="C1494" s="7">
        <v>1.0560342957028865</v>
      </c>
      <c r="D1494" s="7">
        <v>1.0160598978282616</v>
      </c>
      <c r="E1494" s="7">
        <v>0.99462039229837396</v>
      </c>
      <c r="F1494" s="8">
        <v>1.0273598643027868</v>
      </c>
      <c r="G1494" s="8">
        <f t="shared" si="184"/>
        <v>1.0360470967655742</v>
      </c>
      <c r="H1494" s="8">
        <f t="shared" si="185"/>
        <v>1.0109901283005804</v>
      </c>
      <c r="I1494" s="8">
        <f t="shared" si="186"/>
        <v>0.97581483646523515</v>
      </c>
      <c r="J1494" s="22">
        <f t="shared" si="187"/>
        <v>-3.5320676460377155E-2</v>
      </c>
      <c r="K1494" s="8"/>
      <c r="L1494" s="8">
        <v>0.93374786772201224</v>
      </c>
      <c r="M1494" s="8">
        <v>0.94607297382287925</v>
      </c>
      <c r="N1494" s="8">
        <v>1.0870679766595182</v>
      </c>
      <c r="O1494" s="8">
        <v>1.1262851646571332</v>
      </c>
      <c r="P1494" s="8">
        <f t="shared" si="188"/>
        <v>0.9399104207724458</v>
      </c>
      <c r="Q1494" s="8">
        <f t="shared" si="189"/>
        <v>1.1066765706583257</v>
      </c>
      <c r="R1494" s="8">
        <f t="shared" si="190"/>
        <v>1.1774277060880192</v>
      </c>
      <c r="S1494" s="22">
        <f t="shared" si="191"/>
        <v>0.23563848126465742</v>
      </c>
      <c r="T1494" s="25"/>
      <c r="U1494" s="1" t="s">
        <v>4235</v>
      </c>
    </row>
    <row r="1495" spans="1:21">
      <c r="A1495" s="6" t="s">
        <v>4236</v>
      </c>
      <c r="B1495" s="6" t="s">
        <v>4237</v>
      </c>
      <c r="C1495" s="7">
        <v>1.0954849000565532</v>
      </c>
      <c r="D1495" s="7">
        <v>0.99428594371402412</v>
      </c>
      <c r="E1495" s="7">
        <v>1.0033212226329857</v>
      </c>
      <c r="F1495" s="8">
        <v>1.0042026433893292</v>
      </c>
      <c r="G1495" s="8">
        <f t="shared" si="184"/>
        <v>1.0448854218852888</v>
      </c>
      <c r="H1495" s="8">
        <f t="shared" si="185"/>
        <v>1.0037619330111576</v>
      </c>
      <c r="I1495" s="8">
        <f t="shared" si="186"/>
        <v>0.96064306381083198</v>
      </c>
      <c r="J1495" s="22">
        <f t="shared" si="187"/>
        <v>-5.7927611573571638E-2</v>
      </c>
      <c r="K1495" s="8"/>
      <c r="L1495" s="8">
        <v>1.0561607233862049</v>
      </c>
      <c r="M1495" s="8">
        <v>0.97962571524831654</v>
      </c>
      <c r="N1495" s="8">
        <v>1.1823450201984937</v>
      </c>
      <c r="O1495" s="8">
        <v>1.0909725934880152</v>
      </c>
      <c r="P1495" s="8">
        <f t="shared" si="188"/>
        <v>1.0178932193172607</v>
      </c>
      <c r="Q1495" s="8">
        <f t="shared" si="189"/>
        <v>1.1366588068432546</v>
      </c>
      <c r="R1495" s="8">
        <f t="shared" si="190"/>
        <v>1.1166778452514443</v>
      </c>
      <c r="S1495" s="22">
        <f t="shared" si="191"/>
        <v>0.15921303712516516</v>
      </c>
      <c r="T1495" s="25"/>
      <c r="U1495" s="1" t="s">
        <v>4238</v>
      </c>
    </row>
    <row r="1496" spans="1:21">
      <c r="A1496" s="6" t="s">
        <v>4239</v>
      </c>
      <c r="B1496" s="6" t="s">
        <v>4240</v>
      </c>
      <c r="C1496" s="7">
        <v>1.1107656816231402</v>
      </c>
      <c r="D1496" s="7">
        <v>1.1502585537976431</v>
      </c>
      <c r="E1496" s="7">
        <v>1.0001579364190007</v>
      </c>
      <c r="F1496" s="8">
        <v>1.0394292143918955</v>
      </c>
      <c r="G1496" s="8">
        <f t="shared" si="184"/>
        <v>1.1305121177103916</v>
      </c>
      <c r="H1496" s="8">
        <f t="shared" si="185"/>
        <v>1.0197935754054481</v>
      </c>
      <c r="I1496" s="8">
        <f t="shared" si="186"/>
        <v>0.90206337413774917</v>
      </c>
      <c r="J1496" s="22">
        <f t="shared" si="187"/>
        <v>-0.14869930182521948</v>
      </c>
      <c r="K1496" s="8"/>
      <c r="L1496" s="8">
        <v>1.0911235228231815</v>
      </c>
      <c r="M1496" s="8">
        <v>0.90478067474229529</v>
      </c>
      <c r="N1496" s="8">
        <v>0.94817415590244869</v>
      </c>
      <c r="O1496" s="8">
        <v>0.93600917662211303</v>
      </c>
      <c r="P1496" s="8">
        <f t="shared" si="188"/>
        <v>0.99795209878273838</v>
      </c>
      <c r="Q1496" s="8">
        <f t="shared" si="189"/>
        <v>0.94209166626228091</v>
      </c>
      <c r="R1496" s="8">
        <f t="shared" si="190"/>
        <v>0.94402493607800042</v>
      </c>
      <c r="S1496" s="22">
        <f t="shared" si="191"/>
        <v>-8.3103126528073265E-2</v>
      </c>
      <c r="T1496" s="25"/>
      <c r="U1496" s="1" t="s">
        <v>4241</v>
      </c>
    </row>
    <row r="1497" spans="1:21">
      <c r="A1497" s="6" t="s">
        <v>4242</v>
      </c>
      <c r="B1497" s="6" t="s">
        <v>4243</v>
      </c>
      <c r="C1497" s="7">
        <v>0.13195872809555761</v>
      </c>
      <c r="D1497" s="7">
        <v>0.1197342073031358</v>
      </c>
      <c r="E1497" s="7">
        <v>0.44275964817332386</v>
      </c>
      <c r="F1497" s="8">
        <v>0.51906739985469319</v>
      </c>
      <c r="G1497" s="8">
        <f t="shared" si="184"/>
        <v>0.12584646769934671</v>
      </c>
      <c r="H1497" s="8">
        <f t="shared" si="185"/>
        <v>0.48091352401400855</v>
      </c>
      <c r="I1497" s="8">
        <f t="shared" si="186"/>
        <v>3.8214304525649001</v>
      </c>
      <c r="J1497" s="22">
        <f t="shared" si="187"/>
        <v>1.9341127745243911</v>
      </c>
      <c r="K1497" s="8"/>
      <c r="L1497" s="8">
        <v>0.94524425620683095</v>
      </c>
      <c r="M1497" s="8">
        <v>1.0190270996745181</v>
      </c>
      <c r="N1497" s="8">
        <v>1.1398294349409006</v>
      </c>
      <c r="O1497" s="8">
        <v>1.1441674908821773</v>
      </c>
      <c r="P1497" s="8">
        <f t="shared" si="188"/>
        <v>0.98213567794067447</v>
      </c>
      <c r="Q1497" s="8">
        <f t="shared" si="189"/>
        <v>1.1419984629115389</v>
      </c>
      <c r="R1497" s="8">
        <f t="shared" si="190"/>
        <v>1.1627705708706786</v>
      </c>
      <c r="S1497" s="22">
        <f t="shared" si="191"/>
        <v>0.21756646317415376</v>
      </c>
      <c r="T1497" s="25"/>
      <c r="U1497" s="1" t="s">
        <v>4244</v>
      </c>
    </row>
    <row r="1498" spans="1:21">
      <c r="A1498" s="6" t="s">
        <v>4245</v>
      </c>
      <c r="B1498" s="6" t="s">
        <v>4246</v>
      </c>
      <c r="C1498" s="7">
        <v>1.0742645920859923</v>
      </c>
      <c r="D1498" s="7">
        <v>1.0233758433691589</v>
      </c>
      <c r="E1498" s="7">
        <v>1.1310003487303379</v>
      </c>
      <c r="F1498" s="8">
        <v>1.0359869247966518</v>
      </c>
      <c r="G1498" s="8">
        <f t="shared" si="184"/>
        <v>1.0488202177275756</v>
      </c>
      <c r="H1498" s="8">
        <f t="shared" si="185"/>
        <v>1.0834936367634949</v>
      </c>
      <c r="I1498" s="8">
        <f t="shared" si="186"/>
        <v>1.033059449512753</v>
      </c>
      <c r="J1498" s="22">
        <f t="shared" si="187"/>
        <v>4.6923279420156679E-2</v>
      </c>
      <c r="K1498" s="8"/>
      <c r="L1498" s="8">
        <v>1.1718565880255596</v>
      </c>
      <c r="M1498" s="8">
        <v>1.1737303032586441</v>
      </c>
      <c r="N1498" s="8">
        <v>1.0421584958356191</v>
      </c>
      <c r="O1498" s="8">
        <v>1.3083734583812483</v>
      </c>
      <c r="P1498" s="8">
        <f t="shared" si="188"/>
        <v>1.1727934456421019</v>
      </c>
      <c r="Q1498" s="8">
        <f t="shared" si="189"/>
        <v>1.1752659771084337</v>
      </c>
      <c r="R1498" s="8">
        <f t="shared" si="190"/>
        <v>1.002108241204382</v>
      </c>
      <c r="S1498" s="22">
        <f t="shared" si="191"/>
        <v>3.0383474700839568E-3</v>
      </c>
      <c r="T1498" s="25"/>
      <c r="U1498" s="1" t="s">
        <v>4247</v>
      </c>
    </row>
    <row r="1499" spans="1:21">
      <c r="A1499" s="6" t="s">
        <v>4248</v>
      </c>
      <c r="B1499" s="6" t="s">
        <v>4249</v>
      </c>
      <c r="C1499" s="7">
        <v>1.1236234063953787</v>
      </c>
      <c r="D1499" s="7">
        <v>1.0286116389015088</v>
      </c>
      <c r="E1499" s="7">
        <v>1.2923494645974076</v>
      </c>
      <c r="F1499" s="8">
        <v>1.3232545261220414</v>
      </c>
      <c r="G1499" s="8">
        <f t="shared" si="184"/>
        <v>1.0761175226484436</v>
      </c>
      <c r="H1499" s="8">
        <f t="shared" si="185"/>
        <v>1.3078019953597244</v>
      </c>
      <c r="I1499" s="8">
        <f t="shared" si="186"/>
        <v>1.2152966268415366</v>
      </c>
      <c r="J1499" s="22">
        <f t="shared" si="187"/>
        <v>0.28130848654172702</v>
      </c>
      <c r="K1499" s="8"/>
      <c r="L1499" s="8">
        <v>0.73757728368892694</v>
      </c>
      <c r="M1499" s="8">
        <v>0.71450189080013671</v>
      </c>
      <c r="N1499" s="8">
        <v>0.66559872325569791</v>
      </c>
      <c r="O1499" s="8">
        <v>0.80882364290915876</v>
      </c>
      <c r="P1499" s="8">
        <f t="shared" si="188"/>
        <v>0.72603958724453177</v>
      </c>
      <c r="Q1499" s="8">
        <f t="shared" si="189"/>
        <v>0.73721118308242839</v>
      </c>
      <c r="R1499" s="8">
        <f t="shared" si="190"/>
        <v>1.0153870340325313</v>
      </c>
      <c r="S1499" s="22">
        <f t="shared" si="191"/>
        <v>2.2029742827997037E-2</v>
      </c>
      <c r="T1499" s="25"/>
      <c r="U1499" s="1" t="s">
        <v>4250</v>
      </c>
    </row>
    <row r="1500" spans="1:21">
      <c r="A1500" s="6" t="s">
        <v>4251</v>
      </c>
      <c r="B1500" s="6" t="s">
        <v>4252</v>
      </c>
      <c r="C1500" s="7">
        <v>1.0232589090918678</v>
      </c>
      <c r="D1500" s="7">
        <v>0.94691262029955192</v>
      </c>
      <c r="E1500" s="7">
        <v>1.0073237480465993</v>
      </c>
      <c r="F1500" s="8">
        <v>0.96856356660882048</v>
      </c>
      <c r="G1500" s="8">
        <f t="shared" si="184"/>
        <v>0.98508576469570985</v>
      </c>
      <c r="H1500" s="8">
        <f t="shared" si="185"/>
        <v>0.98794365732770983</v>
      </c>
      <c r="I1500" s="8">
        <f t="shared" si="186"/>
        <v>1.002901161233289</v>
      </c>
      <c r="J1500" s="22">
        <f t="shared" si="187"/>
        <v>4.1794312493129582E-3</v>
      </c>
      <c r="K1500" s="8"/>
      <c r="L1500" s="8">
        <v>0.72754485478644471</v>
      </c>
      <c r="M1500" s="8">
        <v>0.95645101704228053</v>
      </c>
      <c r="N1500" s="8">
        <v>0.7765797217096404</v>
      </c>
      <c r="O1500" s="8">
        <v>0.93249298888123366</v>
      </c>
      <c r="P1500" s="8">
        <f t="shared" si="188"/>
        <v>0.84199793591436256</v>
      </c>
      <c r="Q1500" s="8">
        <f t="shared" si="189"/>
        <v>0.85453635529543703</v>
      </c>
      <c r="R1500" s="8">
        <f t="shared" si="190"/>
        <v>1.0148912709239108</v>
      </c>
      <c r="S1500" s="22">
        <f t="shared" si="191"/>
        <v>2.1325174404316503E-2</v>
      </c>
      <c r="T1500" s="25"/>
      <c r="U1500" s="1" t="s">
        <v>4253</v>
      </c>
    </row>
    <row r="1501" spans="1:21">
      <c r="A1501" s="6" t="s">
        <v>4254</v>
      </c>
      <c r="B1501" s="6" t="s">
        <v>4255</v>
      </c>
      <c r="C1501" s="7">
        <v>1.0844360310527974</v>
      </c>
      <c r="D1501" s="7">
        <v>0.98801329322385334</v>
      </c>
      <c r="E1501" s="7">
        <v>1.1089505940324018</v>
      </c>
      <c r="F1501" s="8">
        <v>1.1016962503554464</v>
      </c>
      <c r="G1501" s="8">
        <f t="shared" si="184"/>
        <v>1.0362246621383253</v>
      </c>
      <c r="H1501" s="8">
        <f t="shared" si="185"/>
        <v>1.1053234221939241</v>
      </c>
      <c r="I1501" s="8">
        <f t="shared" si="186"/>
        <v>1.06668318423633</v>
      </c>
      <c r="J1501" s="22">
        <f t="shared" si="187"/>
        <v>9.3131744670860633E-2</v>
      </c>
      <c r="K1501" s="8"/>
      <c r="L1501" s="8">
        <v>0.90330611993636889</v>
      </c>
      <c r="M1501" s="8">
        <v>0.66678927684653333</v>
      </c>
      <c r="N1501" s="8">
        <v>0.54365368310807438</v>
      </c>
      <c r="O1501" s="8">
        <v>0.33212904775278584</v>
      </c>
      <c r="P1501" s="8">
        <f t="shared" si="188"/>
        <v>0.78504769839145117</v>
      </c>
      <c r="Q1501" s="8">
        <f t="shared" si="189"/>
        <v>0.43789136543043011</v>
      </c>
      <c r="R1501" s="8">
        <f t="shared" si="190"/>
        <v>0.55778950288964835</v>
      </c>
      <c r="S1501" s="22">
        <f t="shared" si="191"/>
        <v>-0.84220731052391018</v>
      </c>
      <c r="T1501" s="25"/>
      <c r="U1501" s="1" t="s">
        <v>4256</v>
      </c>
    </row>
    <row r="1502" spans="1:21">
      <c r="A1502" s="6" t="s">
        <v>4257</v>
      </c>
      <c r="B1502" s="6" t="s">
        <v>4258</v>
      </c>
      <c r="C1502" s="7">
        <v>1.0390931465279161</v>
      </c>
      <c r="D1502" s="7">
        <v>1.0184491722962834</v>
      </c>
      <c r="E1502" s="7">
        <v>0.96179681471289735</v>
      </c>
      <c r="F1502" s="8">
        <v>0.93177231851750708</v>
      </c>
      <c r="G1502" s="8">
        <f t="shared" si="184"/>
        <v>1.0287711594120998</v>
      </c>
      <c r="H1502" s="8">
        <f t="shared" si="185"/>
        <v>0.94678456661520216</v>
      </c>
      <c r="I1502" s="8">
        <f t="shared" si="186"/>
        <v>0.92030628770372058</v>
      </c>
      <c r="J1502" s="22">
        <f t="shared" si="187"/>
        <v>-0.1198140095742902</v>
      </c>
      <c r="K1502" s="8"/>
      <c r="L1502" s="8">
        <v>1.0476353117008337</v>
      </c>
      <c r="M1502" s="8">
        <v>1.0468631223774036</v>
      </c>
      <c r="N1502" s="8">
        <v>1.005292504114508</v>
      </c>
      <c r="O1502" s="8">
        <v>1.1903802440480216</v>
      </c>
      <c r="P1502" s="8">
        <f t="shared" si="188"/>
        <v>1.0472492170391186</v>
      </c>
      <c r="Q1502" s="8">
        <f t="shared" si="189"/>
        <v>1.0978363740812647</v>
      </c>
      <c r="R1502" s="8">
        <f t="shared" si="190"/>
        <v>1.0483047933758984</v>
      </c>
      <c r="S1502" s="22">
        <f t="shared" si="191"/>
        <v>6.8058239739016008E-2</v>
      </c>
      <c r="T1502" s="25"/>
      <c r="U1502" s="1" t="s">
        <v>4259</v>
      </c>
    </row>
    <row r="1503" spans="1:21">
      <c r="A1503" s="6" t="s">
        <v>4260</v>
      </c>
      <c r="B1503" s="6" t="s">
        <v>4261</v>
      </c>
      <c r="C1503" s="7">
        <v>1.1895926462504234</v>
      </c>
      <c r="D1503" s="7">
        <v>1.0533866763098114</v>
      </c>
      <c r="E1503" s="7">
        <v>0.93504875509396324</v>
      </c>
      <c r="F1503" s="8">
        <v>1.0050205427766288</v>
      </c>
      <c r="G1503" s="8">
        <f t="shared" si="184"/>
        <v>1.1214896612801173</v>
      </c>
      <c r="H1503" s="8">
        <f t="shared" si="185"/>
        <v>0.97003464893529601</v>
      </c>
      <c r="I1503" s="8">
        <f t="shared" si="186"/>
        <v>0.86495193172628637</v>
      </c>
      <c r="J1503" s="22">
        <f t="shared" si="187"/>
        <v>-0.20930813530218664</v>
      </c>
      <c r="K1503" s="8"/>
      <c r="L1503" s="8">
        <v>0.78928950305322354</v>
      </c>
      <c r="M1503" s="8">
        <v>0.83930225798937774</v>
      </c>
      <c r="N1503" s="8">
        <v>0.91758017056505903</v>
      </c>
      <c r="O1503" s="8">
        <v>1.2265969777790802</v>
      </c>
      <c r="P1503" s="8">
        <f t="shared" si="188"/>
        <v>0.81429588052130064</v>
      </c>
      <c r="Q1503" s="8">
        <f t="shared" si="189"/>
        <v>1.0720885741720696</v>
      </c>
      <c r="R1503" s="8">
        <f t="shared" si="190"/>
        <v>1.3165835660199261</v>
      </c>
      <c r="S1503" s="22">
        <f t="shared" si="191"/>
        <v>0.39679909484114251</v>
      </c>
      <c r="T1503" s="25"/>
      <c r="U1503" s="1" t="s">
        <v>4262</v>
      </c>
    </row>
    <row r="1504" spans="1:21">
      <c r="A1504" s="6" t="s">
        <v>4263</v>
      </c>
      <c r="B1504" s="6" t="s">
        <v>4264</v>
      </c>
      <c r="C1504" s="7">
        <v>1.0819387301783994</v>
      </c>
      <c r="D1504" s="7">
        <v>1.0323662130655431</v>
      </c>
      <c r="E1504" s="7">
        <v>1.0078115110002297</v>
      </c>
      <c r="F1504" s="8">
        <v>1.0325232986956525</v>
      </c>
      <c r="G1504" s="8">
        <f t="shared" si="184"/>
        <v>1.0571524716219711</v>
      </c>
      <c r="H1504" s="8">
        <f t="shared" si="185"/>
        <v>1.0201674048479412</v>
      </c>
      <c r="I1504" s="8">
        <f t="shared" si="186"/>
        <v>0.96501444421041338</v>
      </c>
      <c r="J1504" s="22">
        <f t="shared" si="187"/>
        <v>-5.1377558273714222E-2</v>
      </c>
      <c r="K1504" s="8"/>
      <c r="L1504" s="8">
        <v>1.0518980175435193</v>
      </c>
      <c r="M1504" s="8">
        <v>0.8055296427669193</v>
      </c>
      <c r="N1504" s="8">
        <v>1.1591242332053264</v>
      </c>
      <c r="O1504" s="8">
        <v>1.1646618422861605</v>
      </c>
      <c r="P1504" s="8">
        <f t="shared" si="188"/>
        <v>0.92871383015521936</v>
      </c>
      <c r="Q1504" s="8">
        <f t="shared" si="189"/>
        <v>1.1618930377457435</v>
      </c>
      <c r="R1504" s="8">
        <f t="shared" si="190"/>
        <v>1.2510775655742652</v>
      </c>
      <c r="S1504" s="22">
        <f t="shared" si="191"/>
        <v>0.32317123794522923</v>
      </c>
      <c r="T1504" s="25"/>
      <c r="U1504" s="1" t="s">
        <v>4265</v>
      </c>
    </row>
    <row r="1505" spans="1:21">
      <c r="A1505" s="6" t="s">
        <v>4266</v>
      </c>
      <c r="B1505" s="6" t="s">
        <v>4267</v>
      </c>
      <c r="C1505" s="7">
        <v>1.0762489338618655</v>
      </c>
      <c r="D1505" s="7">
        <v>1.0797910572232612</v>
      </c>
      <c r="E1505" s="7">
        <v>1.0247684466234959</v>
      </c>
      <c r="F1505" s="8">
        <v>1.0293441593380617</v>
      </c>
      <c r="G1505" s="8">
        <f t="shared" si="184"/>
        <v>1.0780199955425633</v>
      </c>
      <c r="H1505" s="8">
        <f t="shared" si="185"/>
        <v>1.0270563029807787</v>
      </c>
      <c r="I1505" s="8">
        <f t="shared" si="186"/>
        <v>0.95272472424211863</v>
      </c>
      <c r="J1505" s="22">
        <f t="shared" si="187"/>
        <v>-6.9868665997655802E-2</v>
      </c>
      <c r="K1505" s="8"/>
      <c r="L1505" s="8">
        <v>1.0692502443576837</v>
      </c>
      <c r="M1505" s="8">
        <v>0.91682975881905782</v>
      </c>
      <c r="N1505" s="8">
        <v>1.3064924442671189</v>
      </c>
      <c r="O1505" s="8">
        <v>0.94354386463828332</v>
      </c>
      <c r="P1505" s="8">
        <f t="shared" si="188"/>
        <v>0.99304000158837069</v>
      </c>
      <c r="Q1505" s="8">
        <f t="shared" si="189"/>
        <v>1.1250181544527011</v>
      </c>
      <c r="R1505" s="8">
        <f t="shared" si="190"/>
        <v>1.1329031586373468</v>
      </c>
      <c r="S1505" s="22">
        <f t="shared" si="191"/>
        <v>0.18002454383729316</v>
      </c>
      <c r="T1505" s="25"/>
      <c r="U1505" s="1" t="s">
        <v>4268</v>
      </c>
    </row>
    <row r="1506" spans="1:21">
      <c r="A1506" s="6" t="s">
        <v>4269</v>
      </c>
      <c r="B1506" s="6" t="s">
        <v>4270</v>
      </c>
      <c r="C1506" s="7">
        <v>0.94242060484142065</v>
      </c>
      <c r="D1506" s="7">
        <v>1.0866561962607579</v>
      </c>
      <c r="E1506" s="7">
        <v>1.0149414577047671</v>
      </c>
      <c r="F1506" s="8">
        <v>0.95628796363074065</v>
      </c>
      <c r="G1506" s="8">
        <f t="shared" si="184"/>
        <v>1.0145384005510893</v>
      </c>
      <c r="H1506" s="8">
        <f t="shared" si="185"/>
        <v>0.98561471066775386</v>
      </c>
      <c r="I1506" s="8">
        <f t="shared" si="186"/>
        <v>0.97149078845352288</v>
      </c>
      <c r="J1506" s="22">
        <f t="shared" si="187"/>
        <v>-4.1727778454432325E-2</v>
      </c>
      <c r="K1506" s="8"/>
      <c r="L1506" s="8">
        <v>0.74481096633106003</v>
      </c>
      <c r="M1506" s="8">
        <v>0.66335924561300241</v>
      </c>
      <c r="N1506" s="8">
        <v>0.84403969876814122</v>
      </c>
      <c r="O1506" s="8">
        <v>0.76351505230525485</v>
      </c>
      <c r="P1506" s="8">
        <f t="shared" si="188"/>
        <v>0.70408510597203122</v>
      </c>
      <c r="Q1506" s="8">
        <f t="shared" si="189"/>
        <v>0.80377737553669804</v>
      </c>
      <c r="R1506" s="8">
        <f t="shared" si="190"/>
        <v>1.1415912206054064</v>
      </c>
      <c r="S1506" s="22">
        <f t="shared" si="191"/>
        <v>0.19104614493880018</v>
      </c>
      <c r="T1506" s="25"/>
      <c r="U1506" s="1" t="s">
        <v>4271</v>
      </c>
    </row>
    <row r="1507" spans="1:21">
      <c r="A1507" s="6" t="s">
        <v>4272</v>
      </c>
      <c r="B1507" s="6" t="s">
        <v>4273</v>
      </c>
      <c r="C1507" s="7">
        <v>1.1151798296551843</v>
      </c>
      <c r="D1507" s="7">
        <v>1.1676596848288971</v>
      </c>
      <c r="E1507" s="7">
        <v>0.9815153494118648</v>
      </c>
      <c r="F1507" s="8">
        <v>0.91307442730697874</v>
      </c>
      <c r="G1507" s="8">
        <f t="shared" si="184"/>
        <v>1.1414197572420406</v>
      </c>
      <c r="H1507" s="8">
        <f t="shared" si="185"/>
        <v>0.94729488835942177</v>
      </c>
      <c r="I1507" s="8">
        <f t="shared" si="186"/>
        <v>0.8299268365989444</v>
      </c>
      <c r="J1507" s="22">
        <f t="shared" si="187"/>
        <v>-0.2689439356908197</v>
      </c>
      <c r="K1507" s="8"/>
      <c r="L1507" s="8">
        <v>1.1290572990596055</v>
      </c>
      <c r="M1507" s="8">
        <v>0.71067608673196758</v>
      </c>
      <c r="N1507" s="8">
        <v>0.85122138546705894</v>
      </c>
      <c r="O1507" s="8">
        <v>0.84152418889933778</v>
      </c>
      <c r="P1507" s="8">
        <f t="shared" si="188"/>
        <v>0.9198666928957866</v>
      </c>
      <c r="Q1507" s="8">
        <f t="shared" si="189"/>
        <v>0.84637278718319831</v>
      </c>
      <c r="R1507" s="8">
        <f t="shared" si="190"/>
        <v>0.92010374298777386</v>
      </c>
      <c r="S1507" s="22">
        <f t="shared" si="191"/>
        <v>-0.12013155865689822</v>
      </c>
      <c r="T1507" s="25"/>
      <c r="U1507" s="1" t="s">
        <v>4274</v>
      </c>
    </row>
    <row r="1508" spans="1:21">
      <c r="A1508" s="6" t="s">
        <v>4275</v>
      </c>
      <c r="B1508" s="6" t="s">
        <v>4276</v>
      </c>
      <c r="C1508" s="7">
        <v>1.2354214920265392</v>
      </c>
      <c r="D1508" s="7">
        <v>1.3185575017028093</v>
      </c>
      <c r="E1508" s="7">
        <v>1.1920424477802518</v>
      </c>
      <c r="F1508" s="8">
        <v>1.0873083333075579</v>
      </c>
      <c r="G1508" s="8">
        <f t="shared" si="184"/>
        <v>1.2769894968646742</v>
      </c>
      <c r="H1508" s="8">
        <f t="shared" si="185"/>
        <v>1.1396753905439048</v>
      </c>
      <c r="I1508" s="8">
        <f t="shared" si="186"/>
        <v>0.89247044971167766</v>
      </c>
      <c r="J1508" s="22">
        <f t="shared" si="187"/>
        <v>-0.16412369354416784</v>
      </c>
      <c r="K1508" s="8"/>
      <c r="L1508" s="8">
        <v>1.2134933208525995</v>
      </c>
      <c r="M1508" s="8">
        <v>1.2034572406159123</v>
      </c>
      <c r="N1508" s="8">
        <v>1.2448735723904043</v>
      </c>
      <c r="O1508" s="8">
        <v>1.2175051209062346</v>
      </c>
      <c r="P1508" s="8">
        <f t="shared" si="188"/>
        <v>1.2084752807342558</v>
      </c>
      <c r="Q1508" s="8">
        <f t="shared" si="189"/>
        <v>1.2311893466483195</v>
      </c>
      <c r="R1508" s="8">
        <f t="shared" si="190"/>
        <v>1.0187956396594748</v>
      </c>
      <c r="S1508" s="22">
        <f t="shared" si="191"/>
        <v>2.6864690151606436E-2</v>
      </c>
      <c r="T1508" s="25"/>
      <c r="U1508" s="1" t="s">
        <v>4277</v>
      </c>
    </row>
    <row r="1509" spans="1:21">
      <c r="A1509" s="6" t="s">
        <v>4278</v>
      </c>
      <c r="B1509" s="6" t="s">
        <v>4279</v>
      </c>
      <c r="C1509" s="7">
        <v>1.0351447113616381</v>
      </c>
      <c r="D1509" s="7">
        <v>1.1036516014389517</v>
      </c>
      <c r="E1509" s="7">
        <v>0.96445081901941532</v>
      </c>
      <c r="F1509" s="8">
        <v>1.0255889343250686</v>
      </c>
      <c r="G1509" s="8">
        <f t="shared" si="184"/>
        <v>1.069398156400295</v>
      </c>
      <c r="H1509" s="8">
        <f t="shared" si="185"/>
        <v>0.99501987667224201</v>
      </c>
      <c r="I1509" s="8">
        <f t="shared" si="186"/>
        <v>0.93044846834371031</v>
      </c>
      <c r="J1509" s="22">
        <f t="shared" si="187"/>
        <v>-0.10400184414476768</v>
      </c>
      <c r="K1509" s="8"/>
      <c r="L1509" s="8">
        <v>0.91902215662909847</v>
      </c>
      <c r="M1509" s="8">
        <v>0.80416642522538784</v>
      </c>
      <c r="N1509" s="8">
        <v>0.72602064734925931</v>
      </c>
      <c r="O1509" s="8">
        <v>0.89155451732670843</v>
      </c>
      <c r="P1509" s="8">
        <f t="shared" si="188"/>
        <v>0.86159429092724316</v>
      </c>
      <c r="Q1509" s="8">
        <f t="shared" si="189"/>
        <v>0.80878758233798387</v>
      </c>
      <c r="R1509" s="8">
        <f t="shared" si="190"/>
        <v>0.93871047064108448</v>
      </c>
      <c r="S1509" s="22">
        <f t="shared" si="191"/>
        <v>-9.1247843270636245E-2</v>
      </c>
      <c r="T1509" s="25"/>
      <c r="U1509" s="1" t="s">
        <v>4280</v>
      </c>
    </row>
    <row r="1510" spans="1:21">
      <c r="A1510" s="6" t="s">
        <v>4281</v>
      </c>
      <c r="B1510" s="6" t="s">
        <v>4282</v>
      </c>
      <c r="C1510" s="7">
        <v>1.0376892584687949</v>
      </c>
      <c r="D1510" s="7">
        <v>1.3504102012144976</v>
      </c>
      <c r="E1510" s="7">
        <v>1.0217773120402041</v>
      </c>
      <c r="F1510" s="8">
        <v>1.2248150007340908</v>
      </c>
      <c r="G1510" s="8">
        <f t="shared" si="184"/>
        <v>1.1940497298416464</v>
      </c>
      <c r="H1510" s="8">
        <f t="shared" si="185"/>
        <v>1.1232961563871475</v>
      </c>
      <c r="I1510" s="8">
        <f t="shared" si="186"/>
        <v>0.94074486875527197</v>
      </c>
      <c r="J1510" s="22">
        <f t="shared" si="187"/>
        <v>-8.8124579678991177E-2</v>
      </c>
      <c r="K1510" s="8"/>
      <c r="L1510" s="8">
        <v>0.84767565580758342</v>
      </c>
      <c r="M1510" s="8">
        <v>1.3137459372017533</v>
      </c>
      <c r="N1510" s="8">
        <v>0.69552241783452196</v>
      </c>
      <c r="O1510" s="8">
        <v>0.75095723894497102</v>
      </c>
      <c r="P1510" s="8">
        <f t="shared" si="188"/>
        <v>1.0807107965046683</v>
      </c>
      <c r="Q1510" s="8">
        <f t="shared" si="189"/>
        <v>0.72323982838974654</v>
      </c>
      <c r="R1510" s="8">
        <f t="shared" si="190"/>
        <v>0.66922606004207008</v>
      </c>
      <c r="S1510" s="22">
        <f t="shared" si="191"/>
        <v>-0.57943446905468299</v>
      </c>
      <c r="T1510" s="25"/>
      <c r="U1510" s="1" t="s">
        <v>4283</v>
      </c>
    </row>
    <row r="1511" spans="1:21">
      <c r="A1511" s="6" t="s">
        <v>4284</v>
      </c>
      <c r="B1511" s="6" t="s">
        <v>4285</v>
      </c>
      <c r="C1511" s="7">
        <v>0.99516089952397835</v>
      </c>
      <c r="D1511" s="7">
        <v>0.86652094055745621</v>
      </c>
      <c r="E1511" s="7">
        <v>0.93677744438550603</v>
      </c>
      <c r="F1511" s="8">
        <v>0.93117489635634898</v>
      </c>
      <c r="G1511" s="8">
        <f t="shared" si="184"/>
        <v>0.93084092004071728</v>
      </c>
      <c r="H1511" s="8">
        <f t="shared" si="185"/>
        <v>0.93397617037092751</v>
      </c>
      <c r="I1511" s="8">
        <f t="shared" si="186"/>
        <v>1.0033681913447392</v>
      </c>
      <c r="J1511" s="22">
        <f t="shared" si="187"/>
        <v>4.8511077986653946E-3</v>
      </c>
      <c r="K1511" s="8"/>
      <c r="L1511" s="8">
        <v>1.3320309893870779</v>
      </c>
      <c r="M1511" s="8">
        <v>0.83085910418376319</v>
      </c>
      <c r="N1511" s="8">
        <v>1.3004598274400279</v>
      </c>
      <c r="O1511" s="8">
        <v>0.95901509069815294</v>
      </c>
      <c r="P1511" s="8">
        <f t="shared" si="188"/>
        <v>1.0814450467854204</v>
      </c>
      <c r="Q1511" s="8">
        <f t="shared" si="189"/>
        <v>1.1297374590690903</v>
      </c>
      <c r="R1511" s="8">
        <f t="shared" si="190"/>
        <v>1.0446554472899185</v>
      </c>
      <c r="S1511" s="22">
        <f t="shared" si="191"/>
        <v>6.3027184935430941E-2</v>
      </c>
      <c r="T1511" s="25"/>
      <c r="U1511" s="1" t="s">
        <v>4286</v>
      </c>
    </row>
    <row r="1512" spans="1:21">
      <c r="A1512" s="6" t="s">
        <v>4287</v>
      </c>
      <c r="B1512" s="6" t="s">
        <v>4288</v>
      </c>
      <c r="C1512" s="7">
        <v>1.0431563225451799</v>
      </c>
      <c r="D1512" s="7">
        <v>1.1417511910691878</v>
      </c>
      <c r="E1512" s="7">
        <v>0.98038919082774767</v>
      </c>
      <c r="F1512" s="8">
        <v>0.95128810911533501</v>
      </c>
      <c r="G1512" s="8">
        <f t="shared" si="184"/>
        <v>1.0924537568071839</v>
      </c>
      <c r="H1512" s="8">
        <f t="shared" si="185"/>
        <v>0.96583864997154134</v>
      </c>
      <c r="I1512" s="8">
        <f t="shared" si="186"/>
        <v>0.88410025957923455</v>
      </c>
      <c r="J1512" s="22">
        <f t="shared" si="187"/>
        <v>-0.17771811011689406</v>
      </c>
      <c r="K1512" s="8"/>
      <c r="L1512" s="8">
        <v>1.1287989532509579</v>
      </c>
      <c r="M1512" s="8">
        <v>1.055262301423614</v>
      </c>
      <c r="N1512" s="8">
        <v>0.89929080843848186</v>
      </c>
      <c r="O1512" s="8">
        <v>1.0249184952129224</v>
      </c>
      <c r="P1512" s="8">
        <f t="shared" si="188"/>
        <v>1.092030627337286</v>
      </c>
      <c r="Q1512" s="8">
        <f t="shared" si="189"/>
        <v>0.96210465182570215</v>
      </c>
      <c r="R1512" s="8">
        <f t="shared" si="190"/>
        <v>0.88102350588061418</v>
      </c>
      <c r="S1512" s="22">
        <f t="shared" si="191"/>
        <v>-0.18274758384042167</v>
      </c>
      <c r="T1512" s="25"/>
      <c r="U1512" s="1" t="s">
        <v>4289</v>
      </c>
    </row>
    <row r="1513" spans="1:21">
      <c r="A1513" s="6" t="s">
        <v>4290</v>
      </c>
      <c r="B1513" s="6" t="s">
        <v>4291</v>
      </c>
      <c r="C1513" s="7">
        <v>1.0453566470993791</v>
      </c>
      <c r="D1513" s="7">
        <v>0.94864500529119045</v>
      </c>
      <c r="E1513" s="7">
        <v>1.1397370439880106</v>
      </c>
      <c r="F1513" s="8">
        <v>0.96178566994711123</v>
      </c>
      <c r="G1513" s="8">
        <f t="shared" si="184"/>
        <v>0.99700082619528474</v>
      </c>
      <c r="H1513" s="8">
        <f t="shared" si="185"/>
        <v>1.0507613569675609</v>
      </c>
      <c r="I1513" s="8">
        <f t="shared" si="186"/>
        <v>1.0539222529809078</v>
      </c>
      <c r="J1513" s="22">
        <f t="shared" si="187"/>
        <v>7.5768444417293232E-2</v>
      </c>
      <c r="K1513" s="8"/>
      <c r="L1513" s="8">
        <v>0.8190423286824734</v>
      </c>
      <c r="M1513" s="8">
        <v>0.72760636910260112</v>
      </c>
      <c r="N1513" s="8">
        <v>0.92820906687945737</v>
      </c>
      <c r="O1513" s="8">
        <v>1.0696745420289737</v>
      </c>
      <c r="P1513" s="8">
        <f t="shared" si="188"/>
        <v>0.77332434889253721</v>
      </c>
      <c r="Q1513" s="8">
        <f t="shared" si="189"/>
        <v>0.99894180445421554</v>
      </c>
      <c r="R1513" s="8">
        <f t="shared" si="190"/>
        <v>1.2917500992756541</v>
      </c>
      <c r="S1513" s="22">
        <f t="shared" si="191"/>
        <v>0.3693269946390948</v>
      </c>
      <c r="T1513" s="25"/>
      <c r="U1513" s="1" t="s">
        <v>4292</v>
      </c>
    </row>
    <row r="1514" spans="1:21">
      <c r="A1514" s="6" t="s">
        <v>4293</v>
      </c>
      <c r="B1514" s="6" t="s">
        <v>4294</v>
      </c>
      <c r="C1514" s="7">
        <v>0.93002859293494811</v>
      </c>
      <c r="D1514" s="7">
        <v>1.0189257391713067</v>
      </c>
      <c r="E1514" s="7">
        <v>0.86422270503299381</v>
      </c>
      <c r="F1514" s="8">
        <v>0.94515030762629504</v>
      </c>
      <c r="G1514" s="8">
        <f t="shared" si="184"/>
        <v>0.9744771660531274</v>
      </c>
      <c r="H1514" s="8">
        <f t="shared" si="185"/>
        <v>0.90468650632964442</v>
      </c>
      <c r="I1514" s="8">
        <f t="shared" si="186"/>
        <v>0.92838143144374297</v>
      </c>
      <c r="J1514" s="22">
        <f t="shared" si="187"/>
        <v>-0.10721042725874526</v>
      </c>
      <c r="K1514" s="8"/>
      <c r="L1514" s="8">
        <v>0.73352986602011438</v>
      </c>
      <c r="M1514" s="8">
        <v>0.78974270414079617</v>
      </c>
      <c r="N1514" s="8">
        <v>1.0358386115405716</v>
      </c>
      <c r="O1514" s="8">
        <v>1.0876573307609001</v>
      </c>
      <c r="P1514" s="8">
        <f t="shared" si="188"/>
        <v>0.76163628508045522</v>
      </c>
      <c r="Q1514" s="8">
        <f t="shared" si="189"/>
        <v>1.0617479711507358</v>
      </c>
      <c r="R1514" s="8">
        <f t="shared" si="190"/>
        <v>1.3940354365319902</v>
      </c>
      <c r="S1514" s="22">
        <f t="shared" si="191"/>
        <v>0.47926723513687625</v>
      </c>
      <c r="T1514" s="25"/>
      <c r="U1514" s="1" t="s">
        <v>4295</v>
      </c>
    </row>
    <row r="1515" spans="1:21">
      <c r="A1515" s="6" t="s">
        <v>4296</v>
      </c>
      <c r="B1515" s="6" t="s">
        <v>80</v>
      </c>
      <c r="C1515" s="7">
        <v>0.98996381392050137</v>
      </c>
      <c r="D1515" s="7">
        <v>1.0432628502620205</v>
      </c>
      <c r="E1515" s="7">
        <v>1.1016771876356202</v>
      </c>
      <c r="F1515" s="8">
        <v>0.93677928520149789</v>
      </c>
      <c r="G1515" s="8">
        <f t="shared" si="184"/>
        <v>1.0166133320912609</v>
      </c>
      <c r="H1515" s="8">
        <f t="shared" si="185"/>
        <v>1.019228236418559</v>
      </c>
      <c r="I1515" s="8">
        <f t="shared" si="186"/>
        <v>1.0025721719799985</v>
      </c>
      <c r="J1515" s="22">
        <f t="shared" si="187"/>
        <v>3.7060954431219228E-3</v>
      </c>
      <c r="K1515" s="8"/>
      <c r="L1515" s="8">
        <v>1.0967640729786543</v>
      </c>
      <c r="M1515" s="8">
        <v>1.0897385127965404</v>
      </c>
      <c r="N1515" s="8">
        <v>1.1167522816817115</v>
      </c>
      <c r="O1515" s="8">
        <v>1.3002359953237843</v>
      </c>
      <c r="P1515" s="8">
        <f t="shared" si="188"/>
        <v>1.0932512928875973</v>
      </c>
      <c r="Q1515" s="8">
        <f t="shared" si="189"/>
        <v>1.2084941385027479</v>
      </c>
      <c r="R1515" s="8">
        <f t="shared" si="190"/>
        <v>1.1054129515920905</v>
      </c>
      <c r="S1515" s="22">
        <f t="shared" si="191"/>
        <v>0.14458542112790818</v>
      </c>
      <c r="T1515" s="25"/>
      <c r="U1515" s="1">
        <v>0</v>
      </c>
    </row>
    <row r="1516" spans="1:21">
      <c r="A1516" s="6" t="s">
        <v>4297</v>
      </c>
      <c r="B1516" s="6" t="s">
        <v>80</v>
      </c>
      <c r="C1516" s="7">
        <v>1.0522680960058215</v>
      </c>
      <c r="D1516" s="7">
        <v>1.7384708794344339</v>
      </c>
      <c r="E1516" s="7">
        <v>1.352150637309409</v>
      </c>
      <c r="F1516" s="8">
        <v>1.2495368987362956</v>
      </c>
      <c r="G1516" s="8">
        <f t="shared" si="184"/>
        <v>1.3953694877201277</v>
      </c>
      <c r="H1516" s="8">
        <f t="shared" si="185"/>
        <v>1.3008437680228524</v>
      </c>
      <c r="I1516" s="8">
        <f t="shared" si="186"/>
        <v>0.93225757010659638</v>
      </c>
      <c r="J1516" s="22">
        <f t="shared" si="187"/>
        <v>-0.10119948788613564</v>
      </c>
      <c r="K1516" s="8"/>
      <c r="L1516" s="8">
        <v>1.2966806712371299</v>
      </c>
      <c r="M1516" s="8">
        <v>1.2851623435889954</v>
      </c>
      <c r="N1516" s="8">
        <v>1.3739524213256196</v>
      </c>
      <c r="O1516" s="8">
        <v>1.469565550673851</v>
      </c>
      <c r="P1516" s="8">
        <f t="shared" si="188"/>
        <v>1.2909215074130627</v>
      </c>
      <c r="Q1516" s="8">
        <f t="shared" si="189"/>
        <v>1.4217589859997353</v>
      </c>
      <c r="R1516" s="8">
        <f t="shared" si="190"/>
        <v>1.1013520015239842</v>
      </c>
      <c r="S1516" s="22">
        <f t="shared" si="191"/>
        <v>0.13927564028361439</v>
      </c>
      <c r="T1516" s="25"/>
      <c r="U1516" s="1">
        <v>0</v>
      </c>
    </row>
    <row r="1517" spans="1:21">
      <c r="A1517" s="6" t="s">
        <v>4298</v>
      </c>
      <c r="B1517" s="6" t="s">
        <v>4299</v>
      </c>
      <c r="C1517" s="7">
        <v>1.066819935695557</v>
      </c>
      <c r="D1517" s="7">
        <v>1.0914476253826133</v>
      </c>
      <c r="E1517" s="7">
        <v>1.1268902285475411</v>
      </c>
      <c r="F1517" s="8">
        <v>1.0574798982611693</v>
      </c>
      <c r="G1517" s="8">
        <f t="shared" si="184"/>
        <v>1.079133780539085</v>
      </c>
      <c r="H1517" s="8">
        <f t="shared" si="185"/>
        <v>1.0921850634043553</v>
      </c>
      <c r="I1517" s="8">
        <f t="shared" si="186"/>
        <v>1.012094221402976</v>
      </c>
      <c r="J1517" s="22">
        <f t="shared" si="187"/>
        <v>1.7343604679713204E-2</v>
      </c>
      <c r="K1517" s="8"/>
      <c r="L1517" s="8">
        <v>1.1736650086860929</v>
      </c>
      <c r="M1517" s="8">
        <v>1.0594838783264213</v>
      </c>
      <c r="N1517" s="8">
        <v>1.4251817864445664</v>
      </c>
      <c r="O1517" s="8">
        <v>1.2199162210714092</v>
      </c>
      <c r="P1517" s="8">
        <f t="shared" si="188"/>
        <v>1.116574443506257</v>
      </c>
      <c r="Q1517" s="8">
        <f t="shared" si="189"/>
        <v>1.3225490037579877</v>
      </c>
      <c r="R1517" s="8">
        <f t="shared" si="190"/>
        <v>1.1844700650723576</v>
      </c>
      <c r="S1517" s="22">
        <f t="shared" si="191"/>
        <v>0.24424173803159865</v>
      </c>
      <c r="T1517" s="25"/>
      <c r="U1517" s="1" t="s">
        <v>4300</v>
      </c>
    </row>
    <row r="1518" spans="1:21">
      <c r="A1518" s="6" t="s">
        <v>4301</v>
      </c>
      <c r="B1518" s="6" t="s">
        <v>4302</v>
      </c>
      <c r="C1518" s="7">
        <v>1.1160505102303122</v>
      </c>
      <c r="D1518" s="7">
        <v>0.95000386489429722</v>
      </c>
      <c r="E1518" s="7">
        <v>0.9509871269022957</v>
      </c>
      <c r="F1518" s="8">
        <v>1.1074997799209814</v>
      </c>
      <c r="G1518" s="8">
        <f t="shared" si="184"/>
        <v>1.0330271875623047</v>
      </c>
      <c r="H1518" s="8">
        <f t="shared" si="185"/>
        <v>1.0292434534116386</v>
      </c>
      <c r="I1518" s="8">
        <f t="shared" si="186"/>
        <v>0.99633723662240214</v>
      </c>
      <c r="J1518" s="22">
        <f t="shared" si="187"/>
        <v>-5.2939517365116276E-3</v>
      </c>
      <c r="K1518" s="8"/>
      <c r="L1518" s="8">
        <v>1.243375319386173</v>
      </c>
      <c r="M1518" s="8">
        <v>1.1100108768818964</v>
      </c>
      <c r="N1518" s="8">
        <v>1.169896763253703</v>
      </c>
      <c r="O1518" s="8">
        <v>1.2064040138957437</v>
      </c>
      <c r="P1518" s="8">
        <f t="shared" si="188"/>
        <v>1.1766930981340347</v>
      </c>
      <c r="Q1518" s="8">
        <f t="shared" si="189"/>
        <v>1.1881503885747233</v>
      </c>
      <c r="R1518" s="8">
        <f t="shared" si="190"/>
        <v>1.0097368553098998</v>
      </c>
      <c r="S1518" s="22">
        <f t="shared" si="191"/>
        <v>1.3979365251045858E-2</v>
      </c>
      <c r="T1518" s="25"/>
      <c r="U1518" s="1" t="s">
        <v>4303</v>
      </c>
    </row>
    <row r="1519" spans="1:21">
      <c r="A1519" s="6" t="s">
        <v>4304</v>
      </c>
      <c r="B1519" s="6" t="s">
        <v>4305</v>
      </c>
      <c r="C1519" s="7">
        <v>1.1172451649729296</v>
      </c>
      <c r="D1519" s="7">
        <v>1.0909195377643444</v>
      </c>
      <c r="E1519" s="7">
        <v>0.98099889451978561</v>
      </c>
      <c r="F1519" s="8">
        <v>0.95517135316286195</v>
      </c>
      <c r="G1519" s="8">
        <f t="shared" si="184"/>
        <v>1.1040823513686369</v>
      </c>
      <c r="H1519" s="8">
        <f t="shared" si="185"/>
        <v>0.96808512384132372</v>
      </c>
      <c r="I1519" s="8">
        <f t="shared" si="186"/>
        <v>0.87682329369840128</v>
      </c>
      <c r="J1519" s="22">
        <f t="shared" si="187"/>
        <v>-0.18964196942562572</v>
      </c>
      <c r="K1519" s="8"/>
      <c r="L1519" s="8">
        <v>1.0965487848047812</v>
      </c>
      <c r="M1519" s="8">
        <v>1.0853850116155204</v>
      </c>
      <c r="N1519" s="8">
        <v>1.018650441374495</v>
      </c>
      <c r="O1519" s="8">
        <v>1.1978647008107508</v>
      </c>
      <c r="P1519" s="8">
        <f t="shared" si="188"/>
        <v>1.0909668982101508</v>
      </c>
      <c r="Q1519" s="8">
        <f t="shared" si="189"/>
        <v>1.108257571092623</v>
      </c>
      <c r="R1519" s="8">
        <f t="shared" si="190"/>
        <v>1.0158489436396645</v>
      </c>
      <c r="S1519" s="22">
        <f t="shared" si="191"/>
        <v>2.268588984228995E-2</v>
      </c>
      <c r="T1519" s="25"/>
      <c r="U1519" s="1" t="s">
        <v>4306</v>
      </c>
    </row>
    <row r="1520" spans="1:21">
      <c r="A1520" s="6" t="s">
        <v>4307</v>
      </c>
      <c r="B1520" s="11" t="s">
        <v>4308</v>
      </c>
      <c r="C1520" s="12">
        <v>1.1292592070173311</v>
      </c>
      <c r="D1520" s="12">
        <v>1.0448277928381102</v>
      </c>
      <c r="E1520" s="12">
        <v>1.0777050730616116</v>
      </c>
      <c r="F1520" s="8">
        <v>1.0841363061185525</v>
      </c>
      <c r="G1520" s="8">
        <f t="shared" si="184"/>
        <v>1.0870434999277205</v>
      </c>
      <c r="H1520" s="8">
        <f t="shared" si="185"/>
        <v>1.080920689590082</v>
      </c>
      <c r="I1520" s="8">
        <f t="shared" si="186"/>
        <v>0.99436746520443242</v>
      </c>
      <c r="J1520" s="22">
        <f t="shared" si="187"/>
        <v>-8.1490013892553514E-3</v>
      </c>
      <c r="K1520" s="8"/>
      <c r="L1520" s="8">
        <v>1.0233508056879583</v>
      </c>
      <c r="M1520" s="8">
        <v>1.124434597966488</v>
      </c>
      <c r="N1520" s="8">
        <v>1.0103675627150766</v>
      </c>
      <c r="O1520" s="8">
        <v>1.2705493245400734</v>
      </c>
      <c r="P1520" s="8">
        <f t="shared" si="188"/>
        <v>1.0738927018272233</v>
      </c>
      <c r="Q1520" s="8">
        <f t="shared" si="189"/>
        <v>1.1404584436275749</v>
      </c>
      <c r="R1520" s="8">
        <f t="shared" si="190"/>
        <v>1.0619854680892145</v>
      </c>
      <c r="S1520" s="22">
        <f t="shared" si="191"/>
        <v>8.6764024843512283E-2</v>
      </c>
      <c r="T1520" s="25"/>
      <c r="U1520" s="1" t="s">
        <v>4309</v>
      </c>
    </row>
    <row r="1521" spans="1:21">
      <c r="A1521" s="6" t="s">
        <v>4310</v>
      </c>
      <c r="B1521" s="6" t="s">
        <v>4311</v>
      </c>
      <c r="C1521" s="7">
        <v>1.0498045424405369</v>
      </c>
      <c r="D1521" s="7">
        <v>1.0275168231075364</v>
      </c>
      <c r="E1521" s="7">
        <v>1.0576709270397069</v>
      </c>
      <c r="F1521" s="8">
        <v>1.0167200600993063</v>
      </c>
      <c r="G1521" s="8">
        <f t="shared" si="184"/>
        <v>1.0386606827740366</v>
      </c>
      <c r="H1521" s="8">
        <f t="shared" si="185"/>
        <v>1.0371954935695067</v>
      </c>
      <c r="I1521" s="8">
        <f t="shared" si="186"/>
        <v>0.99858934758114015</v>
      </c>
      <c r="J1521" s="22">
        <f t="shared" si="187"/>
        <v>-2.0365780389363362E-3</v>
      </c>
      <c r="K1521" s="8"/>
      <c r="L1521" s="8">
        <v>0.9377952853908248</v>
      </c>
      <c r="M1521" s="8">
        <v>1.0702576943804609</v>
      </c>
      <c r="N1521" s="8">
        <v>1.2668016557777666</v>
      </c>
      <c r="O1521" s="8">
        <v>0.918528700424598</v>
      </c>
      <c r="P1521" s="8">
        <f t="shared" si="188"/>
        <v>1.0040264898856428</v>
      </c>
      <c r="Q1521" s="8">
        <f t="shared" si="189"/>
        <v>1.0926651781011822</v>
      </c>
      <c r="R1521" s="8">
        <f t="shared" si="190"/>
        <v>1.0882832167362788</v>
      </c>
      <c r="S1521" s="22">
        <f t="shared" si="191"/>
        <v>0.12205405494259396</v>
      </c>
      <c r="T1521" s="25"/>
      <c r="U1521" s="1" t="s">
        <v>4312</v>
      </c>
    </row>
    <row r="1522" spans="1:21">
      <c r="A1522" s="6" t="s">
        <v>4313</v>
      </c>
      <c r="B1522" s="13" t="s">
        <v>4314</v>
      </c>
      <c r="C1522" s="14">
        <v>1.0864946169087202</v>
      </c>
      <c r="D1522" s="14">
        <v>1.0450081154394704</v>
      </c>
      <c r="E1522" s="14">
        <v>1.0159815404735377</v>
      </c>
      <c r="F1522" s="8">
        <v>1.1587216180716944</v>
      </c>
      <c r="G1522" s="8">
        <f t="shared" si="184"/>
        <v>1.0657513661740952</v>
      </c>
      <c r="H1522" s="8">
        <f t="shared" si="185"/>
        <v>1.0873515792726161</v>
      </c>
      <c r="I1522" s="8">
        <f t="shared" si="186"/>
        <v>1.0202675912826298</v>
      </c>
      <c r="J1522" s="22">
        <f t="shared" si="187"/>
        <v>2.8947585516300306E-2</v>
      </c>
      <c r="K1522" s="8"/>
      <c r="L1522" s="8">
        <v>1.1327602556502212</v>
      </c>
      <c r="M1522" s="8">
        <v>1.0789207219830967</v>
      </c>
      <c r="N1522" s="8">
        <v>1.1926866490449353</v>
      </c>
      <c r="O1522" s="8">
        <v>0.88783740457206439</v>
      </c>
      <c r="P1522" s="8">
        <f t="shared" si="188"/>
        <v>1.1058404888166589</v>
      </c>
      <c r="Q1522" s="8">
        <f t="shared" si="189"/>
        <v>1.0402620268084999</v>
      </c>
      <c r="R1522" s="8">
        <f t="shared" si="190"/>
        <v>0.9406980819825711</v>
      </c>
      <c r="S1522" s="22">
        <f t="shared" si="191"/>
        <v>-8.8196332101717761E-2</v>
      </c>
      <c r="T1522" s="25"/>
      <c r="U1522" s="1" t="s">
        <v>4315</v>
      </c>
    </row>
    <row r="1523" spans="1:21">
      <c r="A1523" s="6" t="s">
        <v>4316</v>
      </c>
      <c r="B1523" s="6" t="s">
        <v>4317</v>
      </c>
      <c r="C1523" s="7">
        <v>0.24407403843238476</v>
      </c>
      <c r="D1523" s="7">
        <v>0.24525805812851337</v>
      </c>
      <c r="E1523" s="7">
        <v>0.80135866789157839</v>
      </c>
      <c r="F1523" s="8">
        <v>0.68188627527600354</v>
      </c>
      <c r="G1523" s="8">
        <f t="shared" si="184"/>
        <v>0.24466604828044908</v>
      </c>
      <c r="H1523" s="8">
        <f t="shared" si="185"/>
        <v>0.74162247158379091</v>
      </c>
      <c r="I1523" s="8">
        <f t="shared" si="186"/>
        <v>3.0311621771636426</v>
      </c>
      <c r="J1523" s="22">
        <f t="shared" si="187"/>
        <v>1.5998710431253695</v>
      </c>
      <c r="K1523" s="8"/>
      <c r="L1523" s="8">
        <v>1.1496388484818651</v>
      </c>
      <c r="M1523" s="8">
        <v>1.0918053264885399</v>
      </c>
      <c r="N1523" s="8">
        <v>0.94501421375492489</v>
      </c>
      <c r="O1523" s="8">
        <v>0.90556903703678515</v>
      </c>
      <c r="P1523" s="8">
        <f t="shared" si="188"/>
        <v>1.1207220874852024</v>
      </c>
      <c r="Q1523" s="8">
        <f t="shared" si="189"/>
        <v>0.92529162539585497</v>
      </c>
      <c r="R1523" s="8">
        <f t="shared" si="190"/>
        <v>0.82562094182700063</v>
      </c>
      <c r="S1523" s="22">
        <f t="shared" si="191"/>
        <v>-0.27644852978657997</v>
      </c>
      <c r="T1523" s="25"/>
      <c r="U1523" s="1" t="s">
        <v>4318</v>
      </c>
    </row>
    <row r="1524" spans="1:21">
      <c r="A1524" s="6" t="s">
        <v>4319</v>
      </c>
      <c r="B1524" s="6" t="s">
        <v>4320</v>
      </c>
      <c r="C1524" s="7">
        <v>1.0998653007794836</v>
      </c>
      <c r="D1524" s="7">
        <v>1.0440356614107067</v>
      </c>
      <c r="E1524" s="7">
        <v>1.0111828137679686</v>
      </c>
      <c r="F1524" s="8">
        <v>1.0138467439908798</v>
      </c>
      <c r="G1524" s="8">
        <f t="shared" si="184"/>
        <v>1.0719504810950951</v>
      </c>
      <c r="H1524" s="8">
        <f t="shared" si="185"/>
        <v>1.0125147788794242</v>
      </c>
      <c r="I1524" s="8">
        <f t="shared" si="186"/>
        <v>0.94455368670113204</v>
      </c>
      <c r="J1524" s="22">
        <f t="shared" si="187"/>
        <v>-8.2295295800149729E-2</v>
      </c>
      <c r="K1524" s="8"/>
      <c r="L1524" s="8">
        <v>1.0319623326428786</v>
      </c>
      <c r="M1524" s="8">
        <v>1.0766780092534802</v>
      </c>
      <c r="N1524" s="8">
        <v>1.2895436636576729</v>
      </c>
      <c r="O1524" s="8">
        <v>1.1931931942407252</v>
      </c>
      <c r="P1524" s="8">
        <f t="shared" si="188"/>
        <v>1.0543201709481793</v>
      </c>
      <c r="Q1524" s="8">
        <f t="shared" si="189"/>
        <v>1.2413684289491991</v>
      </c>
      <c r="R1524" s="8">
        <f t="shared" si="190"/>
        <v>1.1774112486464166</v>
      </c>
      <c r="S1524" s="22">
        <f t="shared" si="191"/>
        <v>0.23561831592015395</v>
      </c>
      <c r="T1524" s="25"/>
      <c r="U1524" s="1" t="s">
        <v>4321</v>
      </c>
    </row>
    <row r="1525" spans="1:21">
      <c r="A1525" s="6" t="s">
        <v>4322</v>
      </c>
      <c r="B1525" s="6" t="s">
        <v>4323</v>
      </c>
      <c r="C1525" s="7">
        <v>1.0324044298616228</v>
      </c>
      <c r="D1525" s="7">
        <v>1.1659337399301644</v>
      </c>
      <c r="E1525" s="7">
        <v>0.99827861445060151</v>
      </c>
      <c r="F1525" s="8">
        <v>1.0300340396908274</v>
      </c>
      <c r="G1525" s="8">
        <f t="shared" si="184"/>
        <v>1.0991690848958937</v>
      </c>
      <c r="H1525" s="8">
        <f t="shared" si="185"/>
        <v>1.0141563270707143</v>
      </c>
      <c r="I1525" s="8">
        <f t="shared" si="186"/>
        <v>0.92265725174281876</v>
      </c>
      <c r="J1525" s="22">
        <f t="shared" si="187"/>
        <v>-0.11613327913370741</v>
      </c>
      <c r="K1525" s="8"/>
      <c r="L1525" s="8">
        <v>1.0320053902776534</v>
      </c>
      <c r="M1525" s="8">
        <v>1.0803718890434366</v>
      </c>
      <c r="N1525" s="8">
        <v>1.2175831629345168</v>
      </c>
      <c r="O1525" s="8">
        <v>0.94962184630466073</v>
      </c>
      <c r="P1525" s="8">
        <f t="shared" si="188"/>
        <v>1.0561886396605451</v>
      </c>
      <c r="Q1525" s="8">
        <f t="shared" si="189"/>
        <v>1.0836025046195887</v>
      </c>
      <c r="R1525" s="8">
        <f t="shared" si="190"/>
        <v>1.0259554628118841</v>
      </c>
      <c r="S1525" s="22">
        <f t="shared" si="191"/>
        <v>3.6968104263633485E-2</v>
      </c>
      <c r="T1525" s="25"/>
      <c r="U1525" s="1" t="s">
        <v>4324</v>
      </c>
    </row>
    <row r="1526" spans="1:21">
      <c r="A1526" s="6" t="s">
        <v>4325</v>
      </c>
      <c r="B1526" s="6" t="s">
        <v>4326</v>
      </c>
      <c r="C1526" s="7">
        <v>1.182579955416641</v>
      </c>
      <c r="D1526" s="7">
        <v>1.4379632642677533</v>
      </c>
      <c r="E1526" s="7">
        <v>0.97547569636838327</v>
      </c>
      <c r="F1526" s="8">
        <v>1.0743499621452977</v>
      </c>
      <c r="G1526" s="8">
        <f t="shared" si="184"/>
        <v>1.3102716098421971</v>
      </c>
      <c r="H1526" s="8">
        <f t="shared" si="185"/>
        <v>1.0249128292568406</v>
      </c>
      <c r="I1526" s="8">
        <f t="shared" si="186"/>
        <v>0.78221402460233125</v>
      </c>
      <c r="J1526" s="22">
        <f t="shared" si="187"/>
        <v>-0.35436469197573683</v>
      </c>
      <c r="K1526" s="8"/>
      <c r="L1526" s="8">
        <v>0.91717067833379062</v>
      </c>
      <c r="M1526" s="8">
        <v>1.1538537120079264</v>
      </c>
      <c r="N1526" s="8">
        <v>1.22284973318039</v>
      </c>
      <c r="O1526" s="8">
        <v>1.2736636622534239</v>
      </c>
      <c r="P1526" s="8">
        <f t="shared" si="188"/>
        <v>1.0355121951708586</v>
      </c>
      <c r="Q1526" s="8">
        <f t="shared" si="189"/>
        <v>1.2482566977169069</v>
      </c>
      <c r="R1526" s="8">
        <f t="shared" si="190"/>
        <v>1.2054485727335598</v>
      </c>
      <c r="S1526" s="22">
        <f t="shared" si="191"/>
        <v>0.26957010349549554</v>
      </c>
      <c r="T1526" s="25"/>
      <c r="U1526" s="1" t="s">
        <v>4327</v>
      </c>
    </row>
    <row r="1527" spans="1:21">
      <c r="A1527" s="6" t="s">
        <v>4328</v>
      </c>
      <c r="B1527" s="6" t="s">
        <v>4329</v>
      </c>
      <c r="C1527" s="7">
        <v>1.1920292019684173</v>
      </c>
      <c r="D1527" s="7">
        <v>1.8945207706329215</v>
      </c>
      <c r="E1527" s="7">
        <v>0.94005549835328639</v>
      </c>
      <c r="F1527" s="8">
        <v>0.88131148240541179</v>
      </c>
      <c r="G1527" s="8">
        <f t="shared" si="184"/>
        <v>1.5432749863006694</v>
      </c>
      <c r="H1527" s="8">
        <f t="shared" si="185"/>
        <v>0.91068349037934904</v>
      </c>
      <c r="I1527" s="8">
        <f t="shared" si="186"/>
        <v>0.5900980048684108</v>
      </c>
      <c r="J1527" s="22">
        <f t="shared" si="187"/>
        <v>-0.76097351431847271</v>
      </c>
      <c r="K1527" s="8"/>
      <c r="L1527" s="8">
        <v>1.1867975872923464</v>
      </c>
      <c r="M1527" s="8">
        <v>1.2405279627936889</v>
      </c>
      <c r="N1527" s="8">
        <v>1.2915066580220438</v>
      </c>
      <c r="O1527" s="8">
        <v>1.3634771434061734</v>
      </c>
      <c r="P1527" s="8">
        <f t="shared" si="188"/>
        <v>1.2136627750430176</v>
      </c>
      <c r="Q1527" s="8">
        <f t="shared" si="189"/>
        <v>1.3274919007141086</v>
      </c>
      <c r="R1527" s="8">
        <f t="shared" si="190"/>
        <v>1.0937897478704959</v>
      </c>
      <c r="S1527" s="22">
        <f t="shared" si="191"/>
        <v>0.12933544484321374</v>
      </c>
      <c r="T1527" s="25"/>
      <c r="U1527" s="1" t="s">
        <v>4330</v>
      </c>
    </row>
    <row r="1528" spans="1:21">
      <c r="A1528" s="6" t="s">
        <v>4331</v>
      </c>
      <c r="B1528" s="6" t="s">
        <v>4332</v>
      </c>
      <c r="C1528" s="7">
        <v>1.2727392664442332</v>
      </c>
      <c r="D1528" s="7">
        <v>1.8157133537456327</v>
      </c>
      <c r="E1528" s="7">
        <v>1.0111182569064587</v>
      </c>
      <c r="F1528" s="8">
        <v>1.0567900179084035</v>
      </c>
      <c r="G1528" s="8">
        <f t="shared" si="184"/>
        <v>1.5442263100949329</v>
      </c>
      <c r="H1528" s="8">
        <f t="shared" si="185"/>
        <v>1.0339541374074313</v>
      </c>
      <c r="I1528" s="8">
        <f t="shared" si="186"/>
        <v>0.66956127521481479</v>
      </c>
      <c r="J1528" s="22">
        <f t="shared" si="187"/>
        <v>-0.57871200438128767</v>
      </c>
      <c r="K1528" s="8"/>
      <c r="L1528" s="8">
        <v>1.1562266666023793</v>
      </c>
      <c r="M1528" s="8">
        <v>1.1500279079397573</v>
      </c>
      <c r="N1528" s="8">
        <v>1.1483517031569497</v>
      </c>
      <c r="O1528" s="8">
        <v>1.2299624717596362</v>
      </c>
      <c r="P1528" s="8">
        <f t="shared" si="188"/>
        <v>1.1531272872710683</v>
      </c>
      <c r="Q1528" s="8">
        <f t="shared" si="189"/>
        <v>1.1891570874582928</v>
      </c>
      <c r="R1528" s="8">
        <f t="shared" si="190"/>
        <v>1.0312452931995832</v>
      </c>
      <c r="S1528" s="22">
        <f t="shared" si="191"/>
        <v>4.4387534637855913E-2</v>
      </c>
      <c r="T1528" s="25"/>
      <c r="U1528" s="1" t="s">
        <v>4333</v>
      </c>
    </row>
    <row r="1529" spans="1:21">
      <c r="A1529" s="6" t="s">
        <v>4334</v>
      </c>
      <c r="B1529" s="6" t="s">
        <v>4335</v>
      </c>
      <c r="C1529" s="7">
        <v>1.2154700828786456</v>
      </c>
      <c r="D1529" s="7">
        <v>2.234802399585325</v>
      </c>
      <c r="E1529" s="7">
        <v>1.2409191649278561</v>
      </c>
      <c r="F1529" s="8">
        <v>1.2883480027058098</v>
      </c>
      <c r="G1529" s="8">
        <f t="shared" si="184"/>
        <v>1.7251362412319853</v>
      </c>
      <c r="H1529" s="8">
        <f t="shared" si="185"/>
        <v>1.264633583816833</v>
      </c>
      <c r="I1529" s="8">
        <f t="shared" si="186"/>
        <v>0.73306302052625716</v>
      </c>
      <c r="J1529" s="22">
        <f t="shared" si="187"/>
        <v>-0.44799086447850867</v>
      </c>
      <c r="K1529" s="8"/>
      <c r="L1529" s="8">
        <v>1.2241716142767007</v>
      </c>
      <c r="M1529" s="8">
        <v>1.3133941391265191</v>
      </c>
      <c r="N1529" s="8">
        <v>1.1392549000049872</v>
      </c>
      <c r="O1529" s="8">
        <v>1.342128860693691</v>
      </c>
      <c r="P1529" s="8">
        <f t="shared" si="188"/>
        <v>1.2687828767016098</v>
      </c>
      <c r="Q1529" s="8">
        <f t="shared" si="189"/>
        <v>1.2406918803493392</v>
      </c>
      <c r="R1529" s="8">
        <f t="shared" si="190"/>
        <v>0.97785988692935599</v>
      </c>
      <c r="S1529" s="22">
        <f t="shared" si="191"/>
        <v>-3.2300332075271707E-2</v>
      </c>
      <c r="T1529" s="25"/>
      <c r="U1529" s="1" t="s">
        <v>4336</v>
      </c>
    </row>
    <row r="1530" spans="1:21">
      <c r="A1530" s="6" t="s">
        <v>4337</v>
      </c>
      <c r="B1530" s="6" t="s">
        <v>4338</v>
      </c>
      <c r="C1530" s="7">
        <v>1.5102258301376652</v>
      </c>
      <c r="D1530" s="7">
        <v>2.2493763298309681</v>
      </c>
      <c r="E1530" s="7">
        <v>1.9872180029361044</v>
      </c>
      <c r="F1530" s="8">
        <v>1.7912423311977257</v>
      </c>
      <c r="G1530" s="8">
        <f t="shared" si="184"/>
        <v>1.8798010799843166</v>
      </c>
      <c r="H1530" s="8">
        <f t="shared" si="185"/>
        <v>1.8892301670669149</v>
      </c>
      <c r="I1530" s="8">
        <f t="shared" si="186"/>
        <v>1.0050160025882511</v>
      </c>
      <c r="J1530" s="22">
        <f t="shared" si="187"/>
        <v>7.2184732160521618E-3</v>
      </c>
      <c r="K1530" s="8"/>
      <c r="L1530" s="8">
        <v>1.2170240469041167</v>
      </c>
      <c r="M1530" s="8">
        <v>1.36242599586225</v>
      </c>
      <c r="N1530" s="8">
        <v>1.2763772380429903</v>
      </c>
      <c r="O1530" s="8">
        <v>1.4787578700535788</v>
      </c>
      <c r="P1530" s="8">
        <f t="shared" si="188"/>
        <v>1.2897250213831835</v>
      </c>
      <c r="Q1530" s="8">
        <f t="shared" si="189"/>
        <v>1.3775675540482846</v>
      </c>
      <c r="R1530" s="8">
        <f t="shared" si="190"/>
        <v>1.0681095049012022</v>
      </c>
      <c r="S1530" s="22">
        <f t="shared" si="191"/>
        <v>9.5059562830057703E-2</v>
      </c>
      <c r="T1530" s="25"/>
      <c r="U1530" s="1" t="s">
        <v>4339</v>
      </c>
    </row>
    <row r="1531" spans="1:21">
      <c r="A1531" s="6" t="s">
        <v>4340</v>
      </c>
      <c r="B1531" s="6" t="s">
        <v>4341</v>
      </c>
      <c r="C1531" s="7">
        <v>1.7385803719849877</v>
      </c>
      <c r="D1531" s="7">
        <v>2.196561127911163</v>
      </c>
      <c r="E1531" s="7">
        <v>1.970361489097409</v>
      </c>
      <c r="F1531" s="8">
        <v>1.9305554894449029</v>
      </c>
      <c r="G1531" s="8">
        <f t="shared" si="184"/>
        <v>1.9675707499480755</v>
      </c>
      <c r="H1531" s="8">
        <f t="shared" si="185"/>
        <v>1.9504584892711558</v>
      </c>
      <c r="I1531" s="8">
        <f t="shared" si="186"/>
        <v>0.9913028486130061</v>
      </c>
      <c r="J1531" s="22">
        <f t="shared" si="187"/>
        <v>-1.2602218661431276E-2</v>
      </c>
      <c r="K1531" s="8"/>
      <c r="L1531" s="8">
        <v>1.3368103868470587</v>
      </c>
      <c r="M1531" s="8">
        <v>1.3874916087226683</v>
      </c>
      <c r="N1531" s="8">
        <v>1.1150765547852974</v>
      </c>
      <c r="O1531" s="8">
        <v>1.419384528486157</v>
      </c>
      <c r="P1531" s="8">
        <f t="shared" si="188"/>
        <v>1.3621509977848634</v>
      </c>
      <c r="Q1531" s="8">
        <f t="shared" si="189"/>
        <v>1.2672305416357272</v>
      </c>
      <c r="R1531" s="8">
        <f t="shared" si="190"/>
        <v>0.93031576065832922</v>
      </c>
      <c r="S1531" s="22">
        <f t="shared" si="191"/>
        <v>-0.1042076270343221</v>
      </c>
      <c r="T1531" s="25"/>
      <c r="U1531" s="1" t="s">
        <v>4342</v>
      </c>
    </row>
    <row r="1532" spans="1:21">
      <c r="A1532" s="6" t="s">
        <v>4343</v>
      </c>
      <c r="B1532" s="6" t="s">
        <v>4344</v>
      </c>
      <c r="C1532" s="7">
        <v>2.0463760794854591</v>
      </c>
      <c r="D1532" s="7">
        <v>2.3480127927749672</v>
      </c>
      <c r="E1532" s="7">
        <v>2.0532166343530562</v>
      </c>
      <c r="F1532" s="8">
        <v>2.2152342614052745</v>
      </c>
      <c r="G1532" s="8">
        <f t="shared" si="184"/>
        <v>2.1971944361302134</v>
      </c>
      <c r="H1532" s="8">
        <f t="shared" si="185"/>
        <v>2.1342254478791656</v>
      </c>
      <c r="I1532" s="8">
        <f t="shared" si="186"/>
        <v>0.97134118527900914</v>
      </c>
      <c r="J1532" s="22">
        <f t="shared" si="187"/>
        <v>-4.1949961084033732E-2</v>
      </c>
      <c r="K1532" s="8"/>
      <c r="L1532" s="8">
        <v>1.3987703232877104</v>
      </c>
      <c r="M1532" s="8">
        <v>1.3712209477430986</v>
      </c>
      <c r="N1532" s="8">
        <v>1.3417784649144679</v>
      </c>
      <c r="O1532" s="8">
        <v>1.5835402647317867</v>
      </c>
      <c r="P1532" s="8">
        <f t="shared" si="188"/>
        <v>1.3849956355154045</v>
      </c>
      <c r="Q1532" s="8">
        <f t="shared" si="189"/>
        <v>1.4626593648231272</v>
      </c>
      <c r="R1532" s="8">
        <f t="shared" si="190"/>
        <v>1.0560750715137246</v>
      </c>
      <c r="S1532" s="22">
        <f t="shared" si="191"/>
        <v>7.8712392888609525E-2</v>
      </c>
      <c r="T1532" s="25"/>
      <c r="U1532" s="1" t="s">
        <v>4345</v>
      </c>
    </row>
    <row r="1533" spans="1:21">
      <c r="A1533" s="6" t="s">
        <v>4346</v>
      </c>
      <c r="B1533" s="6" t="s">
        <v>4347</v>
      </c>
      <c r="C1533" s="7">
        <v>1.8614003287726131</v>
      </c>
      <c r="D1533" s="7">
        <v>2.2523967334037507</v>
      </c>
      <c r="E1533" s="7">
        <v>1.8081803070153228</v>
      </c>
      <c r="F1533" s="8">
        <v>1.7909080592742208</v>
      </c>
      <c r="G1533" s="8">
        <f t="shared" si="184"/>
        <v>2.0568985310881818</v>
      </c>
      <c r="H1533" s="8">
        <f t="shared" si="185"/>
        <v>1.7995441831447718</v>
      </c>
      <c r="I1533" s="8">
        <f t="shared" si="186"/>
        <v>0.87488233179530772</v>
      </c>
      <c r="J1533" s="22">
        <f t="shared" si="187"/>
        <v>-0.19283910165764945</v>
      </c>
      <c r="K1533" s="8"/>
      <c r="L1533" s="8">
        <v>1.3330643726216682</v>
      </c>
      <c r="M1533" s="8">
        <v>1.3158127508937525</v>
      </c>
      <c r="N1533" s="8">
        <v>1.3645204727943743</v>
      </c>
      <c r="O1533" s="8">
        <v>1.3694044313122276</v>
      </c>
      <c r="P1533" s="8">
        <f t="shared" si="188"/>
        <v>1.3244385617577104</v>
      </c>
      <c r="Q1533" s="8">
        <f t="shared" si="189"/>
        <v>1.366962452053301</v>
      </c>
      <c r="R1533" s="8">
        <f t="shared" si="190"/>
        <v>1.0321071067571119</v>
      </c>
      <c r="S1533" s="22">
        <f t="shared" si="191"/>
        <v>4.5592693987218581E-2</v>
      </c>
      <c r="T1533" s="25"/>
      <c r="U1533" s="1" t="s">
        <v>4348</v>
      </c>
    </row>
    <row r="1534" spans="1:21">
      <c r="A1534" s="6" t="s">
        <v>4349</v>
      </c>
      <c r="B1534" s="6" t="s">
        <v>4350</v>
      </c>
      <c r="C1534" s="7">
        <v>1.6043875720261171</v>
      </c>
      <c r="D1534" s="7">
        <v>2.2230041493820472</v>
      </c>
      <c r="E1534" s="7">
        <v>1.9862926879211293</v>
      </c>
      <c r="F1534" s="8">
        <v>1.7527299383087904</v>
      </c>
      <c r="G1534" s="8">
        <f t="shared" si="184"/>
        <v>1.9136958607040822</v>
      </c>
      <c r="H1534" s="8">
        <f t="shared" si="185"/>
        <v>1.8695113131149599</v>
      </c>
      <c r="I1534" s="8">
        <f t="shared" si="186"/>
        <v>0.97691140557054557</v>
      </c>
      <c r="J1534" s="22">
        <f t="shared" si="187"/>
        <v>-3.3700362314479385E-2</v>
      </c>
      <c r="K1534" s="8"/>
      <c r="L1534" s="8">
        <v>1.3127411690080564</v>
      </c>
      <c r="M1534" s="8">
        <v>1.3774213888190967</v>
      </c>
      <c r="N1534" s="8">
        <v>1.159794523963892</v>
      </c>
      <c r="O1534" s="8">
        <v>1.6175970545648763</v>
      </c>
      <c r="P1534" s="8">
        <f t="shared" si="188"/>
        <v>1.3450812789135767</v>
      </c>
      <c r="Q1534" s="8">
        <f t="shared" si="189"/>
        <v>1.3886957892643843</v>
      </c>
      <c r="R1534" s="8">
        <f t="shared" si="190"/>
        <v>1.0324251857746731</v>
      </c>
      <c r="S1534" s="22">
        <f t="shared" si="191"/>
        <v>4.60372411871217E-2</v>
      </c>
      <c r="T1534" s="25"/>
      <c r="U1534" s="1" t="s">
        <v>4351</v>
      </c>
    </row>
    <row r="1535" spans="1:21">
      <c r="A1535" s="6" t="s">
        <v>4352</v>
      </c>
      <c r="B1535" s="6" t="s">
        <v>4353</v>
      </c>
      <c r="C1535" s="7">
        <v>1.4060276385188621</v>
      </c>
      <c r="D1535" s="7">
        <v>1.9829239259497322</v>
      </c>
      <c r="E1535" s="7">
        <v>1.9916652533956751</v>
      </c>
      <c r="F1535" s="8">
        <v>1.7936675806852838</v>
      </c>
      <c r="G1535" s="8">
        <f t="shared" si="184"/>
        <v>1.6944757822342971</v>
      </c>
      <c r="H1535" s="8">
        <f t="shared" si="185"/>
        <v>1.8926664170404794</v>
      </c>
      <c r="I1535" s="8">
        <f t="shared" si="186"/>
        <v>1.1169628016429085</v>
      </c>
      <c r="J1535" s="22">
        <f t="shared" si="187"/>
        <v>0.15958114036114174</v>
      </c>
      <c r="K1535" s="8"/>
      <c r="L1535" s="8">
        <v>1.3347436203778777</v>
      </c>
      <c r="M1535" s="8">
        <v>1.3549502867635286</v>
      </c>
      <c r="N1535" s="8">
        <v>1.3628447458979602</v>
      </c>
      <c r="O1535" s="8">
        <v>1.5605343506557467</v>
      </c>
      <c r="P1535" s="8">
        <f t="shared" si="188"/>
        <v>1.3448469535707033</v>
      </c>
      <c r="Q1535" s="8">
        <f t="shared" si="189"/>
        <v>1.4616895482768535</v>
      </c>
      <c r="R1535" s="8">
        <f t="shared" si="190"/>
        <v>1.0868817038220755</v>
      </c>
      <c r="S1535" s="22">
        <f t="shared" si="191"/>
        <v>0.12019492601700235</v>
      </c>
      <c r="T1535" s="25"/>
      <c r="U1535" s="1" t="s">
        <v>4354</v>
      </c>
    </row>
    <row r="1536" spans="1:21">
      <c r="A1536" s="6" t="s">
        <v>4355</v>
      </c>
      <c r="B1536" s="6" t="s">
        <v>4356</v>
      </c>
      <c r="C1536" s="7">
        <v>2.0105026898978222</v>
      </c>
      <c r="D1536" s="7">
        <v>2.3965775333769974</v>
      </c>
      <c r="E1536" s="7">
        <v>1.7367875911699888</v>
      </c>
      <c r="F1536" s="8">
        <v>1.9645232066078864</v>
      </c>
      <c r="G1536" s="8">
        <f t="shared" si="184"/>
        <v>2.2035401116374098</v>
      </c>
      <c r="H1536" s="8">
        <f t="shared" si="185"/>
        <v>1.8506553988889376</v>
      </c>
      <c r="I1536" s="8">
        <f t="shared" si="186"/>
        <v>0.83985555294192027</v>
      </c>
      <c r="J1536" s="22">
        <f t="shared" si="187"/>
        <v>-0.25178687529850424</v>
      </c>
      <c r="K1536" s="8"/>
      <c r="L1536" s="8">
        <v>1.1452900273696303</v>
      </c>
      <c r="M1536" s="8">
        <v>1.276587265505168</v>
      </c>
      <c r="N1536" s="8">
        <v>1.4070360580519674</v>
      </c>
      <c r="O1536" s="8">
        <v>1.5542052127221637</v>
      </c>
      <c r="P1536" s="8">
        <f t="shared" si="188"/>
        <v>1.2109386464373992</v>
      </c>
      <c r="Q1536" s="8">
        <f t="shared" si="189"/>
        <v>1.4806206353870657</v>
      </c>
      <c r="R1536" s="8">
        <f t="shared" si="190"/>
        <v>1.2227049155158067</v>
      </c>
      <c r="S1536" s="22">
        <f t="shared" si="191"/>
        <v>0.2900762695328592</v>
      </c>
      <c r="T1536" s="25"/>
      <c r="U1536" s="1" t="s">
        <v>4357</v>
      </c>
    </row>
    <row r="1537" spans="1:21">
      <c r="A1537" s="6" t="s">
        <v>4358</v>
      </c>
      <c r="B1537" s="6" t="s">
        <v>4359</v>
      </c>
      <c r="C1537" s="7">
        <v>1.4476920663503736</v>
      </c>
      <c r="D1537" s="7">
        <v>2.1240456817927624</v>
      </c>
      <c r="E1537" s="7">
        <v>1.911765377800259</v>
      </c>
      <c r="F1537" s="8">
        <v>1.8687080714278796</v>
      </c>
      <c r="G1537" s="8">
        <f t="shared" si="184"/>
        <v>1.785868874071568</v>
      </c>
      <c r="H1537" s="8">
        <f t="shared" si="185"/>
        <v>1.8902367246140694</v>
      </c>
      <c r="I1537" s="8">
        <f t="shared" si="186"/>
        <v>1.0584409371022605</v>
      </c>
      <c r="J1537" s="22">
        <f t="shared" si="187"/>
        <v>8.1940766627454781E-2</v>
      </c>
      <c r="K1537" s="8"/>
      <c r="L1537" s="8">
        <v>1.2870788186823938</v>
      </c>
      <c r="M1537" s="8">
        <v>1.3154169780591143</v>
      </c>
      <c r="N1537" s="8">
        <v>1.4557278938706297</v>
      </c>
      <c r="O1537" s="8">
        <v>1.6105646790831174</v>
      </c>
      <c r="P1537" s="8">
        <f t="shared" si="188"/>
        <v>1.3012478983707541</v>
      </c>
      <c r="Q1537" s="8">
        <f t="shared" si="189"/>
        <v>1.5331462864768737</v>
      </c>
      <c r="R1537" s="8">
        <f t="shared" si="190"/>
        <v>1.1782123055848708</v>
      </c>
      <c r="S1537" s="22">
        <f t="shared" si="191"/>
        <v>0.2365995261097448</v>
      </c>
      <c r="T1537" s="25"/>
      <c r="U1537" s="1" t="s">
        <v>4360</v>
      </c>
    </row>
    <row r="1538" spans="1:21">
      <c r="A1538" s="6" t="s">
        <v>4361</v>
      </c>
      <c r="B1538" s="6" t="s">
        <v>4362</v>
      </c>
      <c r="C1538" s="7">
        <v>1.3496763817611612</v>
      </c>
      <c r="D1538" s="7">
        <v>2.2335272611899928</v>
      </c>
      <c r="E1538" s="7">
        <v>2.0612718960725687</v>
      </c>
      <c r="F1538" s="8">
        <v>1.7496503693113927</v>
      </c>
      <c r="G1538" s="8">
        <f t="shared" si="184"/>
        <v>1.7916018214755769</v>
      </c>
      <c r="H1538" s="8">
        <f t="shared" si="185"/>
        <v>1.9054611326919808</v>
      </c>
      <c r="I1538" s="8">
        <f t="shared" si="186"/>
        <v>1.0635516831092684</v>
      </c>
      <c r="J1538" s="22">
        <f t="shared" si="187"/>
        <v>8.88901425169423E-2</v>
      </c>
      <c r="K1538" s="8"/>
      <c r="L1538" s="8">
        <v>1.3235916929712559</v>
      </c>
      <c r="M1538" s="8">
        <v>1.3972979800698144</v>
      </c>
      <c r="N1538" s="8">
        <v>1.3248775622163482</v>
      </c>
      <c r="O1538" s="8">
        <v>1.5791199144289669</v>
      </c>
      <c r="P1538" s="8">
        <f t="shared" si="188"/>
        <v>1.3604448365205353</v>
      </c>
      <c r="Q1538" s="8">
        <f t="shared" si="189"/>
        <v>1.4519987383226576</v>
      </c>
      <c r="R1538" s="8">
        <f t="shared" si="190"/>
        <v>1.0672970335469683</v>
      </c>
      <c r="S1538" s="22">
        <f t="shared" si="191"/>
        <v>9.3961740538073629E-2</v>
      </c>
      <c r="T1538" s="25"/>
      <c r="U1538" s="1" t="s">
        <v>4363</v>
      </c>
    </row>
    <row r="1539" spans="1:21">
      <c r="A1539" s="6" t="s">
        <v>4364</v>
      </c>
      <c r="B1539" s="6" t="s">
        <v>80</v>
      </c>
      <c r="C1539" s="7">
        <v>1.5225638463495561</v>
      </c>
      <c r="D1539" s="7">
        <v>2.3345272382303905</v>
      </c>
      <c r="E1539" s="7">
        <v>2.0124453898172496</v>
      </c>
      <c r="F1539" s="8">
        <v>1.7221405012237838</v>
      </c>
      <c r="G1539" s="8">
        <f t="shared" si="184"/>
        <v>1.9285455422899733</v>
      </c>
      <c r="H1539" s="8">
        <f t="shared" si="185"/>
        <v>1.8672929455205167</v>
      </c>
      <c r="I1539" s="8">
        <f t="shared" si="186"/>
        <v>0.96823896795471853</v>
      </c>
      <c r="J1539" s="22">
        <f t="shared" si="187"/>
        <v>-4.6564936503805027E-2</v>
      </c>
      <c r="K1539" s="8"/>
      <c r="L1539" s="8">
        <v>1.2452267976814808</v>
      </c>
      <c r="M1539" s="8">
        <v>1.3106677040434562</v>
      </c>
      <c r="N1539" s="8">
        <v>1.4474928931225375</v>
      </c>
      <c r="O1539" s="8">
        <v>1.3388135979665761</v>
      </c>
      <c r="P1539" s="8">
        <f t="shared" si="188"/>
        <v>1.2779472508624685</v>
      </c>
      <c r="Q1539" s="8">
        <f t="shared" si="189"/>
        <v>1.3931532455445568</v>
      </c>
      <c r="R1539" s="8">
        <f t="shared" si="190"/>
        <v>1.0901492566335091</v>
      </c>
      <c r="S1539" s="22">
        <f t="shared" si="191"/>
        <v>0.1245256735924286</v>
      </c>
      <c r="T1539" s="25"/>
      <c r="U1539" s="1">
        <v>0</v>
      </c>
    </row>
    <row r="1540" spans="1:21">
      <c r="A1540" s="6" t="s">
        <v>4365</v>
      </c>
      <c r="B1540" s="6" t="s">
        <v>80</v>
      </c>
      <c r="C1540" s="7">
        <v>1.8338760234596529</v>
      </c>
      <c r="D1540" s="7">
        <v>2.2009146307154297</v>
      </c>
      <c r="E1540" s="7">
        <v>2.0995325959941011</v>
      </c>
      <c r="F1540" s="8">
        <v>2.0044295845395235</v>
      </c>
      <c r="G1540" s="8">
        <f t="shared" si="184"/>
        <v>2.0173953270875415</v>
      </c>
      <c r="H1540" s="8">
        <f t="shared" si="185"/>
        <v>2.0519810902668123</v>
      </c>
      <c r="I1540" s="8">
        <f t="shared" si="186"/>
        <v>1.0171437708390061</v>
      </c>
      <c r="J1540" s="22">
        <f t="shared" si="187"/>
        <v>2.4523615101790346E-2</v>
      </c>
      <c r="K1540" s="8"/>
      <c r="L1540" s="8">
        <v>1.3467567004799916</v>
      </c>
      <c r="M1540" s="8">
        <v>1.3443083949877019</v>
      </c>
      <c r="N1540" s="8">
        <v>1.514857114358386</v>
      </c>
      <c r="O1540" s="8">
        <v>1.4266680602351216</v>
      </c>
      <c r="P1540" s="8">
        <f t="shared" si="188"/>
        <v>1.3455325477338467</v>
      </c>
      <c r="Q1540" s="8">
        <f t="shared" si="189"/>
        <v>1.4707625872967538</v>
      </c>
      <c r="R1540" s="8">
        <f t="shared" si="190"/>
        <v>1.0930709849968476</v>
      </c>
      <c r="S1540" s="22">
        <f t="shared" si="191"/>
        <v>0.12838709394446468</v>
      </c>
      <c r="T1540" s="25"/>
      <c r="U1540" s="1">
        <v>0</v>
      </c>
    </row>
    <row r="1541" spans="1:21">
      <c r="A1541" s="6" t="s">
        <v>4366</v>
      </c>
      <c r="B1541" s="6" t="s">
        <v>4367</v>
      </c>
      <c r="C1541" s="7">
        <v>1.2467438016460932</v>
      </c>
      <c r="D1541" s="7">
        <v>1.1723129384282207</v>
      </c>
      <c r="E1541" s="7">
        <v>0.97278581894450611</v>
      </c>
      <c r="F1541" s="8">
        <v>0.97774264070461414</v>
      </c>
      <c r="G1541" s="8">
        <f t="shared" si="184"/>
        <v>1.2095283700371571</v>
      </c>
      <c r="H1541" s="8">
        <f t="shared" si="185"/>
        <v>0.97526422982456018</v>
      </c>
      <c r="I1541" s="8">
        <f t="shared" si="186"/>
        <v>0.806317779709954</v>
      </c>
      <c r="J1541" s="22">
        <f t="shared" si="187"/>
        <v>-0.310579560281042</v>
      </c>
      <c r="K1541" s="8"/>
      <c r="L1541" s="8">
        <v>1.0969330454163764</v>
      </c>
      <c r="M1541" s="8">
        <v>1.2839535341516213</v>
      </c>
      <c r="N1541" s="8">
        <v>1.633070862345527</v>
      </c>
      <c r="O1541" s="8">
        <v>1.6700248979342402</v>
      </c>
      <c r="P1541" s="8">
        <f t="shared" si="188"/>
        <v>1.1904432897839987</v>
      </c>
      <c r="Q1541" s="8">
        <f t="shared" si="189"/>
        <v>1.6515478801398835</v>
      </c>
      <c r="R1541" s="8">
        <f t="shared" si="190"/>
        <v>1.387338560612619</v>
      </c>
      <c r="S1541" s="22">
        <f t="shared" si="191"/>
        <v>0.47231990021636006</v>
      </c>
      <c r="T1541" s="25"/>
      <c r="U1541" s="1" t="s">
        <v>4368</v>
      </c>
    </row>
    <row r="1542" spans="1:21">
      <c r="A1542" s="6" t="s">
        <v>4369</v>
      </c>
      <c r="B1542" s="6" t="s">
        <v>4370</v>
      </c>
      <c r="C1542" s="7">
        <v>0.83565341933092707</v>
      </c>
      <c r="D1542" s="7">
        <v>0.89901877688921683</v>
      </c>
      <c r="E1542" s="7">
        <v>0.742615532210534</v>
      </c>
      <c r="F1542" s="8">
        <v>0.70954708540612266</v>
      </c>
      <c r="G1542" s="8">
        <f t="shared" ref="G1542:G1605" si="192">AVERAGE(C1542:D1542)</f>
        <v>0.86733609811007195</v>
      </c>
      <c r="H1542" s="8">
        <f t="shared" ref="H1542:H1605" si="193">AVERAGE(E1542:F1542)</f>
        <v>0.72608130880832833</v>
      </c>
      <c r="I1542" s="8">
        <f t="shared" ref="I1542:I1605" si="194">H1542/G1542</f>
        <v>0.83713950150404415</v>
      </c>
      <c r="J1542" s="22">
        <f t="shared" ref="J1542:J1605" si="195">LOG(I1542,2)</f>
        <v>-0.25646004038145315</v>
      </c>
      <c r="K1542" s="8"/>
      <c r="L1542" s="8">
        <v>0.73945298093372047</v>
      </c>
      <c r="M1542" s="8">
        <v>0.71594480108234548</v>
      </c>
      <c r="N1542" s="8">
        <v>0.87022409735130679</v>
      </c>
      <c r="O1542" s="8">
        <v>0.92913176586085144</v>
      </c>
      <c r="P1542" s="8">
        <f t="shared" ref="P1542:P1605" si="196">AVERAGE(L1542:M1542)</f>
        <v>0.72769889100803298</v>
      </c>
      <c r="Q1542" s="8">
        <f t="shared" ref="Q1542:Q1605" si="197">AVERAGE(N1542:O1542)</f>
        <v>0.89967793160607912</v>
      </c>
      <c r="R1542" s="8">
        <f t="shared" ref="R1542:R1605" si="198">Q1542/P1542</f>
        <v>1.2363326957387759</v>
      </c>
      <c r="S1542" s="22">
        <f t="shared" ref="S1542:S1605" si="199">LOG(R1542,2)</f>
        <v>0.30606702310137074</v>
      </c>
      <c r="T1542" s="25"/>
      <c r="U1542" s="1" t="s">
        <v>4371</v>
      </c>
    </row>
    <row r="1543" spans="1:21">
      <c r="A1543" s="6" t="s">
        <v>4372</v>
      </c>
      <c r="B1543" s="6" t="s">
        <v>4373</v>
      </c>
      <c r="C1543" s="7">
        <v>1.094503461695211</v>
      </c>
      <c r="D1543" s="7">
        <v>1.1397357678177982</v>
      </c>
      <c r="E1543" s="7">
        <v>0.93477261870652684</v>
      </c>
      <c r="F1543" s="8">
        <v>0.99601451657315121</v>
      </c>
      <c r="G1543" s="8">
        <f t="shared" si="192"/>
        <v>1.1171196147565046</v>
      </c>
      <c r="H1543" s="8">
        <f t="shared" si="193"/>
        <v>0.96539356763983908</v>
      </c>
      <c r="I1543" s="8">
        <f t="shared" si="194"/>
        <v>0.86418101955023252</v>
      </c>
      <c r="J1543" s="22">
        <f t="shared" si="195"/>
        <v>-0.2105945502608782</v>
      </c>
      <c r="K1543" s="8"/>
      <c r="L1543" s="8">
        <v>0.86600679137666026</v>
      </c>
      <c r="M1543" s="8">
        <v>1.3104294106726266</v>
      </c>
      <c r="N1543" s="8">
        <v>1.0378672010902972</v>
      </c>
      <c r="O1543" s="8">
        <v>1.1828754255614848</v>
      </c>
      <c r="P1543" s="8">
        <f t="shared" si="196"/>
        <v>1.0882181010246434</v>
      </c>
      <c r="Q1543" s="8">
        <f t="shared" si="197"/>
        <v>1.110371313325891</v>
      </c>
      <c r="R1543" s="8">
        <f t="shared" si="198"/>
        <v>1.0203573275250508</v>
      </c>
      <c r="S1543" s="22">
        <f t="shared" si="199"/>
        <v>2.907447020816022E-2</v>
      </c>
      <c r="T1543" s="25"/>
      <c r="U1543" s="1" t="s">
        <v>4374</v>
      </c>
    </row>
    <row r="1544" spans="1:21">
      <c r="A1544" s="6" t="s">
        <v>4375</v>
      </c>
      <c r="B1544" s="6" t="s">
        <v>4376</v>
      </c>
      <c r="C1544" s="7">
        <v>1.1703241662144348</v>
      </c>
      <c r="D1544" s="7">
        <v>1.1523802586715461</v>
      </c>
      <c r="E1544" s="7">
        <v>1.0151105352775303</v>
      </c>
      <c r="F1544" s="8">
        <v>1.0971160268265052</v>
      </c>
      <c r="G1544" s="8">
        <f t="shared" si="192"/>
        <v>1.1613522124429905</v>
      </c>
      <c r="H1544" s="8">
        <f t="shared" si="193"/>
        <v>1.0561132810520177</v>
      </c>
      <c r="I1544" s="8">
        <f t="shared" si="194"/>
        <v>0.90938241623564409</v>
      </c>
      <c r="J1544" s="22">
        <f t="shared" si="195"/>
        <v>-0.13704098640078824</v>
      </c>
      <c r="K1544" s="8"/>
      <c r="L1544" s="8">
        <v>1.1221371235762454</v>
      </c>
      <c r="M1544" s="8">
        <v>1.1495505176723775</v>
      </c>
      <c r="N1544" s="8">
        <v>1.2373240062944317</v>
      </c>
      <c r="O1544" s="8">
        <v>1.2043739933881494</v>
      </c>
      <c r="P1544" s="8">
        <f t="shared" si="196"/>
        <v>1.1358438206243116</v>
      </c>
      <c r="Q1544" s="8">
        <f t="shared" si="197"/>
        <v>1.2208489998412906</v>
      </c>
      <c r="R1544" s="8">
        <f t="shared" si="198"/>
        <v>1.0748387918070077</v>
      </c>
      <c r="S1544" s="22">
        <f t="shared" si="199"/>
        <v>0.10412029544183199</v>
      </c>
      <c r="T1544" s="25"/>
      <c r="U1544" s="1" t="s">
        <v>4377</v>
      </c>
    </row>
    <row r="1545" spans="1:21">
      <c r="A1545" s="6" t="s">
        <v>4378</v>
      </c>
      <c r="B1545" s="6" t="s">
        <v>4379</v>
      </c>
      <c r="C1545" s="7">
        <v>1.078589011736228</v>
      </c>
      <c r="D1545" s="7">
        <v>1.1420940913546493</v>
      </c>
      <c r="E1545" s="7">
        <v>1.0739914734155267</v>
      </c>
      <c r="F1545" s="8">
        <v>1.0756445998635953</v>
      </c>
      <c r="G1545" s="8">
        <f t="shared" si="192"/>
        <v>1.1103415515454387</v>
      </c>
      <c r="H1545" s="8">
        <f t="shared" si="193"/>
        <v>1.074818036639561</v>
      </c>
      <c r="I1545" s="8">
        <f t="shared" si="194"/>
        <v>0.96800667789435246</v>
      </c>
      <c r="J1545" s="22">
        <f t="shared" si="195"/>
        <v>-4.6911094771960857E-2</v>
      </c>
      <c r="K1545" s="8"/>
      <c r="L1545" s="8">
        <v>1.3400834996218138</v>
      </c>
      <c r="M1545" s="8">
        <v>1.218902136903355</v>
      </c>
      <c r="N1545" s="8">
        <v>1.2797585146805581</v>
      </c>
      <c r="O1545" s="8">
        <v>1.3230198454080757</v>
      </c>
      <c r="P1545" s="8">
        <f t="shared" si="196"/>
        <v>1.2794928182625844</v>
      </c>
      <c r="Q1545" s="8">
        <f t="shared" si="197"/>
        <v>1.3013891800443169</v>
      </c>
      <c r="R1545" s="8">
        <f t="shared" si="198"/>
        <v>1.0171133135483053</v>
      </c>
      <c r="S1545" s="22">
        <f t="shared" si="199"/>
        <v>2.4480414483153173E-2</v>
      </c>
      <c r="T1545" s="25"/>
      <c r="U1545" s="1" t="s">
        <v>4380</v>
      </c>
    </row>
    <row r="1546" spans="1:21">
      <c r="A1546" s="6" t="s">
        <v>4381</v>
      </c>
      <c r="B1546" s="6" t="s">
        <v>4382</v>
      </c>
      <c r="C1546" s="7">
        <v>1.2453879800201419</v>
      </c>
      <c r="D1546" s="7">
        <v>1.1840270221879781</v>
      </c>
      <c r="E1546" s="7">
        <v>1.0399807972857809</v>
      </c>
      <c r="F1546" s="8">
        <v>1.1346210786681667</v>
      </c>
      <c r="G1546" s="8">
        <f t="shared" si="192"/>
        <v>1.21470750110406</v>
      </c>
      <c r="H1546" s="8">
        <f t="shared" si="193"/>
        <v>1.0873009379769738</v>
      </c>
      <c r="I1546" s="8">
        <f t="shared" si="194"/>
        <v>0.89511338078402813</v>
      </c>
      <c r="J1546" s="22">
        <f t="shared" si="195"/>
        <v>-0.1598576599576701</v>
      </c>
      <c r="K1546" s="8"/>
      <c r="L1546" s="8">
        <v>1.2449569965140193</v>
      </c>
      <c r="M1546" s="8">
        <v>1.0985380804264915</v>
      </c>
      <c r="N1546" s="8">
        <v>1.0838582182160186</v>
      </c>
      <c r="O1546" s="8">
        <v>1.2816376256478292</v>
      </c>
      <c r="P1546" s="8">
        <f t="shared" si="196"/>
        <v>1.1717475384702554</v>
      </c>
      <c r="Q1546" s="8">
        <f t="shared" si="197"/>
        <v>1.1827479219319239</v>
      </c>
      <c r="R1546" s="8">
        <f t="shared" si="198"/>
        <v>1.0093880149951326</v>
      </c>
      <c r="S1546" s="22">
        <f t="shared" si="199"/>
        <v>1.3480861959262845E-2</v>
      </c>
      <c r="T1546" s="25"/>
      <c r="U1546" s="1" t="s">
        <v>4383</v>
      </c>
    </row>
    <row r="1547" spans="1:21">
      <c r="A1547" s="6" t="s">
        <v>4384</v>
      </c>
      <c r="B1547" s="6" t="s">
        <v>4385</v>
      </c>
      <c r="C1547" s="7">
        <v>1.2273213277714206</v>
      </c>
      <c r="D1547" s="7">
        <v>1.1196932483347495</v>
      </c>
      <c r="E1547" s="7">
        <v>1.073201028798102</v>
      </c>
      <c r="F1547" s="8">
        <v>1.1239319954156657</v>
      </c>
      <c r="G1547" s="8">
        <f t="shared" si="192"/>
        <v>1.173507288053085</v>
      </c>
      <c r="H1547" s="8">
        <f t="shared" si="193"/>
        <v>1.0985665121068839</v>
      </c>
      <c r="I1547" s="8">
        <f t="shared" si="194"/>
        <v>0.93613948825956417</v>
      </c>
      <c r="J1547" s="22">
        <f t="shared" si="195"/>
        <v>-9.5204582143949473E-2</v>
      </c>
      <c r="K1547" s="8"/>
      <c r="L1547" s="8">
        <v>1.3944033999945824</v>
      </c>
      <c r="M1547" s="8">
        <v>1.0856374144783583</v>
      </c>
      <c r="N1547" s="8">
        <v>1.3897666891189888</v>
      </c>
      <c r="O1547" s="8">
        <v>1.2340480729235459</v>
      </c>
      <c r="P1547" s="8">
        <f t="shared" si="196"/>
        <v>1.2400204072364702</v>
      </c>
      <c r="Q1547" s="8">
        <f t="shared" si="197"/>
        <v>1.3119073810212674</v>
      </c>
      <c r="R1547" s="8">
        <f t="shared" si="198"/>
        <v>1.0579724118774831</v>
      </c>
      <c r="S1547" s="22">
        <f t="shared" si="199"/>
        <v>8.1302007634854748E-2</v>
      </c>
      <c r="T1547" s="25"/>
      <c r="U1547" s="1" t="s">
        <v>4386</v>
      </c>
    </row>
    <row r="1548" spans="1:21">
      <c r="A1548" s="6" t="s">
        <v>4387</v>
      </c>
      <c r="B1548" s="6" t="s">
        <v>4388</v>
      </c>
      <c r="C1548" s="7">
        <v>1.0791945243070413</v>
      </c>
      <c r="D1548" s="7">
        <v>1.22215432956047</v>
      </c>
      <c r="E1548" s="7">
        <v>1.0140757714147195</v>
      </c>
      <c r="F1548" s="8">
        <v>1.094619516107129</v>
      </c>
      <c r="G1548" s="8">
        <f t="shared" si="192"/>
        <v>1.1506744269337557</v>
      </c>
      <c r="H1548" s="8">
        <f t="shared" si="193"/>
        <v>1.0543476437609243</v>
      </c>
      <c r="I1548" s="8">
        <f t="shared" si="194"/>
        <v>0.91628667421634036</v>
      </c>
      <c r="J1548" s="22">
        <f t="shared" si="195"/>
        <v>-0.12612905686472994</v>
      </c>
      <c r="K1548" s="8"/>
      <c r="L1548" s="8">
        <v>1.1688113423908173</v>
      </c>
      <c r="M1548" s="8">
        <v>1.273708887663398</v>
      </c>
      <c r="N1548" s="8">
        <v>1.2893562163476842</v>
      </c>
      <c r="O1548" s="8">
        <v>1.2852207202856067</v>
      </c>
      <c r="P1548" s="8">
        <f t="shared" si="196"/>
        <v>1.2212601150271076</v>
      </c>
      <c r="Q1548" s="8">
        <f t="shared" si="197"/>
        <v>1.2872884683166455</v>
      </c>
      <c r="R1548" s="8">
        <f t="shared" si="198"/>
        <v>1.0540657575540917</v>
      </c>
      <c r="S1548" s="22">
        <f t="shared" si="199"/>
        <v>7.5964871849861601E-2</v>
      </c>
      <c r="T1548" s="25"/>
      <c r="U1548" s="1" t="s">
        <v>4389</v>
      </c>
    </row>
    <row r="1549" spans="1:21">
      <c r="A1549" s="6" t="s">
        <v>4390</v>
      </c>
      <c r="B1549" s="6" t="s">
        <v>4391</v>
      </c>
      <c r="C1549" s="7">
        <v>1.1214750977299139</v>
      </c>
      <c r="D1549" s="7">
        <v>1.1094781537819771</v>
      </c>
      <c r="E1549" s="7">
        <v>1.1465327317146572</v>
      </c>
      <c r="F1549" s="8">
        <v>1.0786432822793977</v>
      </c>
      <c r="G1549" s="8">
        <f t="shared" si="192"/>
        <v>1.1154766257559454</v>
      </c>
      <c r="H1549" s="8">
        <f t="shared" si="193"/>
        <v>1.1125880069970275</v>
      </c>
      <c r="I1549" s="8">
        <f t="shared" si="194"/>
        <v>0.9974104174913031</v>
      </c>
      <c r="J1549" s="22">
        <f t="shared" si="195"/>
        <v>-3.7408235220388066E-3</v>
      </c>
      <c r="K1549" s="8"/>
      <c r="L1549" s="8">
        <v>1.2622042316569277</v>
      </c>
      <c r="M1549" s="8">
        <v>1.1417089364097868</v>
      </c>
      <c r="N1549" s="8">
        <v>1.2556911815660385</v>
      </c>
      <c r="O1549" s="8">
        <v>1.2254183661198845</v>
      </c>
      <c r="P1549" s="8">
        <f t="shared" si="196"/>
        <v>1.2019565840333573</v>
      </c>
      <c r="Q1549" s="8">
        <f t="shared" si="197"/>
        <v>1.2405547738429616</v>
      </c>
      <c r="R1549" s="8">
        <f t="shared" si="198"/>
        <v>1.0321127986836947</v>
      </c>
      <c r="S1549" s="22">
        <f t="shared" si="199"/>
        <v>4.5600650226989725E-2</v>
      </c>
      <c r="T1549" s="25"/>
      <c r="U1549" s="1" t="s">
        <v>4392</v>
      </c>
    </row>
    <row r="1550" spans="1:21">
      <c r="A1550" s="6" t="s">
        <v>4393</v>
      </c>
      <c r="B1550" s="6" t="s">
        <v>4394</v>
      </c>
      <c r="C1550" s="7">
        <v>1.2708260896526766</v>
      </c>
      <c r="D1550" s="7">
        <v>1.2841039352353476</v>
      </c>
      <c r="E1550" s="7">
        <v>1.1948073402588433</v>
      </c>
      <c r="F1550" s="8">
        <v>1.1672191956476061</v>
      </c>
      <c r="G1550" s="8">
        <f t="shared" si="192"/>
        <v>1.2774650124440121</v>
      </c>
      <c r="H1550" s="8">
        <f t="shared" si="193"/>
        <v>1.1810132679532246</v>
      </c>
      <c r="I1550" s="8">
        <f t="shared" si="194"/>
        <v>0.92449754509811688</v>
      </c>
      <c r="J1550" s="22">
        <f t="shared" si="195"/>
        <v>-0.11325860617133077</v>
      </c>
      <c r="K1550" s="8"/>
      <c r="L1550" s="8">
        <v>1.4062719870645737</v>
      </c>
      <c r="M1550" s="8">
        <v>1.1649385669242358</v>
      </c>
      <c r="N1550" s="8">
        <v>0.85677757115776965</v>
      </c>
      <c r="O1550" s="8">
        <v>0.97954742139802986</v>
      </c>
      <c r="P1550" s="8">
        <f t="shared" si="196"/>
        <v>1.2856052769944046</v>
      </c>
      <c r="Q1550" s="8">
        <f t="shared" si="197"/>
        <v>0.91816249627789981</v>
      </c>
      <c r="R1550" s="8">
        <f t="shared" si="198"/>
        <v>0.71418693801915367</v>
      </c>
      <c r="S1550" s="22">
        <f t="shared" si="199"/>
        <v>-0.48562634660790371</v>
      </c>
      <c r="T1550" s="25"/>
      <c r="U1550" s="1" t="s">
        <v>4395</v>
      </c>
    </row>
    <row r="1551" spans="1:21">
      <c r="A1551" s="6" t="s">
        <v>4396</v>
      </c>
      <c r="B1551" s="6" t="s">
        <v>4397</v>
      </c>
      <c r="C1551" s="7">
        <v>1.07354746141837</v>
      </c>
      <c r="D1551" s="7">
        <v>1.2263799284456776</v>
      </c>
      <c r="E1551" s="7">
        <v>1.083167816837814</v>
      </c>
      <c r="F1551" s="8">
        <v>1.188927360695974</v>
      </c>
      <c r="G1551" s="8">
        <f t="shared" si="192"/>
        <v>1.1499636949320238</v>
      </c>
      <c r="H1551" s="8">
        <f t="shared" si="193"/>
        <v>1.1360475887668939</v>
      </c>
      <c r="I1551" s="8">
        <f t="shared" si="194"/>
        <v>0.98789865608239702</v>
      </c>
      <c r="J1551" s="22">
        <f t="shared" si="195"/>
        <v>-1.7565044845133122E-2</v>
      </c>
      <c r="K1551" s="8"/>
      <c r="L1551" s="8">
        <v>1.0133639679198092</v>
      </c>
      <c r="M1551" s="8">
        <v>1.2749314997957373</v>
      </c>
      <c r="N1551" s="8">
        <v>1.1004227794689265</v>
      </c>
      <c r="O1551" s="8">
        <v>1.0712948305737959</v>
      </c>
      <c r="P1551" s="8">
        <f t="shared" si="196"/>
        <v>1.1441477338577732</v>
      </c>
      <c r="Q1551" s="8">
        <f t="shared" si="197"/>
        <v>1.0858588050213611</v>
      </c>
      <c r="R1551" s="8">
        <f t="shared" si="198"/>
        <v>0.94905471810019082</v>
      </c>
      <c r="S1551" s="22">
        <f t="shared" si="199"/>
        <v>-7.543682612775654E-2</v>
      </c>
      <c r="T1551" s="25"/>
      <c r="U1551" s="1" t="s">
        <v>4398</v>
      </c>
    </row>
    <row r="1552" spans="1:21">
      <c r="A1552" s="6" t="s">
        <v>4399</v>
      </c>
      <c r="B1552" s="6" t="s">
        <v>4400</v>
      </c>
      <c r="C1552" s="7">
        <v>1.204482973198356</v>
      </c>
      <c r="D1552" s="7">
        <v>1.1745614222386982</v>
      </c>
      <c r="E1552" s="7">
        <v>1.0472457019059316</v>
      </c>
      <c r="F1552" s="8">
        <v>1.129025451193703</v>
      </c>
      <c r="G1552" s="8">
        <f t="shared" si="192"/>
        <v>1.1895221977185271</v>
      </c>
      <c r="H1552" s="8">
        <f t="shared" si="193"/>
        <v>1.0881355765498173</v>
      </c>
      <c r="I1552" s="8">
        <f t="shared" si="194"/>
        <v>0.91476693636893314</v>
      </c>
      <c r="J1552" s="22">
        <f t="shared" si="195"/>
        <v>-0.12852387343010188</v>
      </c>
      <c r="K1552" s="8"/>
      <c r="L1552" s="8">
        <v>1.0648834151637037</v>
      </c>
      <c r="M1552" s="8">
        <v>1.0867757085326053</v>
      </c>
      <c r="N1552" s="8">
        <v>1.2406369185450132</v>
      </c>
      <c r="O1552" s="8">
        <v>1.1730345318380115</v>
      </c>
      <c r="P1552" s="8">
        <f t="shared" si="196"/>
        <v>1.0758295618481544</v>
      </c>
      <c r="Q1552" s="8">
        <f t="shared" si="197"/>
        <v>1.2068357251915125</v>
      </c>
      <c r="R1552" s="8">
        <f t="shared" si="198"/>
        <v>1.1217722286031109</v>
      </c>
      <c r="S1552" s="22">
        <f t="shared" si="199"/>
        <v>0.1657797721825108</v>
      </c>
      <c r="T1552" s="25"/>
      <c r="U1552" s="1" t="s">
        <v>4401</v>
      </c>
    </row>
    <row r="1553" spans="1:21">
      <c r="A1553" s="6" t="s">
        <v>4402</v>
      </c>
      <c r="B1553" s="6" t="s">
        <v>4403</v>
      </c>
      <c r="C1553" s="7">
        <v>1.2926771954689806</v>
      </c>
      <c r="D1553" s="7">
        <v>1.290733085780031</v>
      </c>
      <c r="E1553" s="7">
        <v>1.3925550259580779</v>
      </c>
      <c r="F1553" s="8">
        <v>1.2917936457681973</v>
      </c>
      <c r="G1553" s="8">
        <f t="shared" si="192"/>
        <v>1.2917051406245057</v>
      </c>
      <c r="H1553" s="8">
        <f t="shared" si="193"/>
        <v>1.3421743358631377</v>
      </c>
      <c r="I1553" s="8">
        <f t="shared" si="194"/>
        <v>1.0390717615432199</v>
      </c>
      <c r="J1553" s="22">
        <f t="shared" si="195"/>
        <v>5.5295294711223984E-2</v>
      </c>
      <c r="K1553" s="8"/>
      <c r="L1553" s="8">
        <v>1.0032289946915021</v>
      </c>
      <c r="M1553" s="8">
        <v>0.42778776920165823</v>
      </c>
      <c r="N1553" s="8">
        <v>0.55632566160869845</v>
      </c>
      <c r="O1553" s="8">
        <v>1.0934999241036842</v>
      </c>
      <c r="P1553" s="8">
        <f t="shared" si="196"/>
        <v>0.71550838194658017</v>
      </c>
      <c r="Q1553" s="8">
        <f t="shared" si="197"/>
        <v>0.82491279285619135</v>
      </c>
      <c r="R1553" s="8">
        <f t="shared" si="198"/>
        <v>1.1529044434280007</v>
      </c>
      <c r="S1553" s="22">
        <f t="shared" si="199"/>
        <v>0.20527294255993905</v>
      </c>
      <c r="T1553" s="25"/>
      <c r="U1553" s="1" t="s">
        <v>4404</v>
      </c>
    </row>
    <row r="1554" spans="1:21">
      <c r="A1554" s="6" t="s">
        <v>4405</v>
      </c>
      <c r="B1554" s="6" t="s">
        <v>4406</v>
      </c>
      <c r="C1554" s="7">
        <v>1.131308095347251</v>
      </c>
      <c r="D1554" s="7">
        <v>1.2121912202623202</v>
      </c>
      <c r="E1554" s="7">
        <v>1.0570975161831091</v>
      </c>
      <c r="F1554" s="8">
        <v>1.0921875703201507</v>
      </c>
      <c r="G1554" s="8">
        <f t="shared" si="192"/>
        <v>1.1717496578047855</v>
      </c>
      <c r="H1554" s="8">
        <f t="shared" si="193"/>
        <v>1.0746425432516298</v>
      </c>
      <c r="I1554" s="8">
        <f t="shared" si="194"/>
        <v>0.91712639819747754</v>
      </c>
      <c r="J1554" s="22">
        <f t="shared" si="195"/>
        <v>-0.12480751538971614</v>
      </c>
      <c r="K1554" s="8"/>
      <c r="L1554" s="8">
        <v>1.0819972953957133</v>
      </c>
      <c r="M1554" s="8">
        <v>1.1792726401999394</v>
      </c>
      <c r="N1554" s="8">
        <v>1.2508679710835742</v>
      </c>
      <c r="O1554" s="8">
        <v>1.3109584423316136</v>
      </c>
      <c r="P1554" s="8">
        <f t="shared" si="196"/>
        <v>1.1306349677978265</v>
      </c>
      <c r="Q1554" s="8">
        <f t="shared" si="197"/>
        <v>1.2809132067075939</v>
      </c>
      <c r="R1554" s="8">
        <f t="shared" si="198"/>
        <v>1.1329149046243183</v>
      </c>
      <c r="S1554" s="22">
        <f t="shared" si="199"/>
        <v>0.18003950168181654</v>
      </c>
      <c r="T1554" s="25"/>
      <c r="U1554" s="1" t="s">
        <v>4407</v>
      </c>
    </row>
    <row r="1555" spans="1:21">
      <c r="A1555" s="6" t="s">
        <v>4408</v>
      </c>
      <c r="B1555" s="6" t="s">
        <v>4409</v>
      </c>
      <c r="C1555" s="7">
        <v>1.2317836921519791</v>
      </c>
      <c r="D1555" s="7">
        <v>1.0922397779016504</v>
      </c>
      <c r="E1555" s="7">
        <v>1.1544659213295398</v>
      </c>
      <c r="F1555" s="8">
        <v>1.2699635247364116</v>
      </c>
      <c r="G1555" s="8">
        <f t="shared" si="192"/>
        <v>1.1620117350268147</v>
      </c>
      <c r="H1555" s="8">
        <f t="shared" si="193"/>
        <v>1.2122147230329756</v>
      </c>
      <c r="I1555" s="8">
        <f t="shared" si="194"/>
        <v>1.0432035120583378</v>
      </c>
      <c r="J1555" s="22">
        <f t="shared" si="195"/>
        <v>6.102063167992023E-2</v>
      </c>
      <c r="K1555" s="8"/>
      <c r="L1555" s="8">
        <v>1.0065628674639715</v>
      </c>
      <c r="M1555" s="8">
        <v>1.1483279055400382</v>
      </c>
      <c r="N1555" s="8">
        <v>1.3387575843195925</v>
      </c>
      <c r="O1555" s="8">
        <v>1.4636184603495961</v>
      </c>
      <c r="P1555" s="8">
        <f t="shared" si="196"/>
        <v>1.0774453865020048</v>
      </c>
      <c r="Q1555" s="8">
        <f t="shared" si="197"/>
        <v>1.4011880223345943</v>
      </c>
      <c r="R1555" s="8">
        <f t="shared" si="198"/>
        <v>1.3004724321885497</v>
      </c>
      <c r="S1555" s="22">
        <f t="shared" si="199"/>
        <v>0.37903581691534211</v>
      </c>
      <c r="T1555" s="25"/>
      <c r="U1555" s="1" t="s">
        <v>4410</v>
      </c>
    </row>
    <row r="1556" spans="1:21">
      <c r="A1556" s="6" t="s">
        <v>4411</v>
      </c>
      <c r="B1556" s="6" t="s">
        <v>4412</v>
      </c>
      <c r="C1556" s="7">
        <v>1.1031451791460565</v>
      </c>
      <c r="D1556" s="7">
        <v>1.0902303570250456</v>
      </c>
      <c r="E1556" s="7">
        <v>1.1527485007516802</v>
      </c>
      <c r="F1556" s="8">
        <v>1.1377632387115193</v>
      </c>
      <c r="G1556" s="8">
        <f t="shared" si="192"/>
        <v>1.0966877680855509</v>
      </c>
      <c r="H1556" s="8">
        <f t="shared" si="193"/>
        <v>1.1452558697315998</v>
      </c>
      <c r="I1556" s="8">
        <f t="shared" si="194"/>
        <v>1.0442861706489464</v>
      </c>
      <c r="J1556" s="22">
        <f t="shared" si="195"/>
        <v>6.2517114592036752E-2</v>
      </c>
      <c r="K1556" s="8"/>
      <c r="L1556" s="8">
        <v>1.237177960044924</v>
      </c>
      <c r="M1556" s="8">
        <v>1.1458405222363131</v>
      </c>
      <c r="N1556" s="8">
        <v>1.2354726729779302</v>
      </c>
      <c r="O1556" s="8">
        <v>1.2393470156977238</v>
      </c>
      <c r="P1556" s="8">
        <f t="shared" si="196"/>
        <v>1.1915092411406185</v>
      </c>
      <c r="Q1556" s="8">
        <f t="shared" si="197"/>
        <v>1.237409844337827</v>
      </c>
      <c r="R1556" s="8">
        <f t="shared" si="198"/>
        <v>1.0385230778011159</v>
      </c>
      <c r="S1556" s="22">
        <f t="shared" si="199"/>
        <v>5.4533275748563197E-2</v>
      </c>
      <c r="T1556" s="25"/>
      <c r="U1556" s="1" t="s">
        <v>4413</v>
      </c>
    </row>
    <row r="1557" spans="1:21">
      <c r="A1557" s="6" t="s">
        <v>4414</v>
      </c>
      <c r="B1557" s="6" t="s">
        <v>4415</v>
      </c>
      <c r="C1557" s="7">
        <v>1.2310531280719761</v>
      </c>
      <c r="D1557" s="7">
        <v>1.3023373298134142</v>
      </c>
      <c r="E1557" s="7">
        <v>1.2010590385966584</v>
      </c>
      <c r="F1557" s="8">
        <v>1.0185476779799336</v>
      </c>
      <c r="G1557" s="8">
        <f t="shared" si="192"/>
        <v>1.2666952289426952</v>
      </c>
      <c r="H1557" s="8">
        <f t="shared" si="193"/>
        <v>1.109803358288296</v>
      </c>
      <c r="I1557" s="8">
        <f t="shared" si="194"/>
        <v>0.87614078977359366</v>
      </c>
      <c r="J1557" s="22">
        <f t="shared" si="195"/>
        <v>-0.19076537530341231</v>
      </c>
      <c r="K1557" s="8"/>
      <c r="L1557" s="8">
        <v>1.183835995685413</v>
      </c>
      <c r="M1557" s="8">
        <v>1.1597530051215548</v>
      </c>
      <c r="N1557" s="8">
        <v>1.4354166711600915</v>
      </c>
      <c r="O1557" s="8">
        <v>1.3907453806742354</v>
      </c>
      <c r="P1557" s="8">
        <f t="shared" si="196"/>
        <v>1.1717945004034838</v>
      </c>
      <c r="Q1557" s="8">
        <f t="shared" si="197"/>
        <v>1.4130810259171636</v>
      </c>
      <c r="R1557" s="8">
        <f t="shared" si="198"/>
        <v>1.2059119798143767</v>
      </c>
      <c r="S1557" s="22">
        <f t="shared" si="199"/>
        <v>0.27012460796802773</v>
      </c>
      <c r="T1557" s="25"/>
      <c r="U1557" s="1" t="s">
        <v>4416</v>
      </c>
    </row>
    <row r="1558" spans="1:21">
      <c r="A1558" s="6" t="s">
        <v>4417</v>
      </c>
      <c r="B1558" s="13" t="s">
        <v>4418</v>
      </c>
      <c r="C1558" s="14">
        <v>1.064491099489685</v>
      </c>
      <c r="D1558" s="14">
        <v>1.2022991837282946</v>
      </c>
      <c r="E1558" s="14">
        <v>1.081299493196628</v>
      </c>
      <c r="F1558" s="8">
        <v>1.1712580908631485</v>
      </c>
      <c r="G1558" s="8">
        <f t="shared" si="192"/>
        <v>1.1333951416089898</v>
      </c>
      <c r="H1558" s="8">
        <f t="shared" si="193"/>
        <v>1.1262787920298882</v>
      </c>
      <c r="I1558" s="8">
        <f t="shared" si="194"/>
        <v>0.993721210442989</v>
      </c>
      <c r="J1558" s="22">
        <f t="shared" si="195"/>
        <v>-9.086935983164672E-3</v>
      </c>
      <c r="K1558" s="8"/>
      <c r="L1558" s="8">
        <v>1.1565871422250962</v>
      </c>
      <c r="M1558" s="8">
        <v>1.35406401608543</v>
      </c>
      <c r="N1558" s="8">
        <v>1.7139936159957634</v>
      </c>
      <c r="O1558" s="8">
        <v>1.550167858994502</v>
      </c>
      <c r="P1558" s="8">
        <f t="shared" si="196"/>
        <v>1.2553255791552631</v>
      </c>
      <c r="Q1558" s="8">
        <f t="shared" si="197"/>
        <v>1.6320807374951327</v>
      </c>
      <c r="R1558" s="8">
        <f t="shared" si="198"/>
        <v>1.300125453185935</v>
      </c>
      <c r="S1558" s="22">
        <f t="shared" si="199"/>
        <v>0.37865084014353856</v>
      </c>
      <c r="T1558" s="25"/>
      <c r="U1558" s="1" t="s">
        <v>4419</v>
      </c>
    </row>
    <row r="1559" spans="1:21">
      <c r="A1559" s="6" t="s">
        <v>4420</v>
      </c>
      <c r="B1559" s="6" t="s">
        <v>4421</v>
      </c>
      <c r="C1559" s="7">
        <v>1.2324681846233332</v>
      </c>
      <c r="D1559" s="7">
        <v>1.2121847591019452</v>
      </c>
      <c r="E1559" s="7">
        <v>1.1387360734427845</v>
      </c>
      <c r="F1559" s="8">
        <v>0.95516643600956663</v>
      </c>
      <c r="G1559" s="8">
        <f t="shared" si="192"/>
        <v>1.2223264718626392</v>
      </c>
      <c r="H1559" s="8">
        <f t="shared" si="193"/>
        <v>1.0469512547261757</v>
      </c>
      <c r="I1559" s="8">
        <f t="shared" si="194"/>
        <v>0.85652342383682611</v>
      </c>
      <c r="J1559" s="22">
        <f t="shared" si="195"/>
        <v>-0.22343539383069877</v>
      </c>
      <c r="K1559" s="8"/>
      <c r="L1559" s="8">
        <v>0.97060149315826794</v>
      </c>
      <c r="M1559" s="8">
        <v>1.1979069354583538</v>
      </c>
      <c r="N1559" s="8">
        <v>1.2325495151097701</v>
      </c>
      <c r="O1559" s="8">
        <v>1.2800731758764052</v>
      </c>
      <c r="P1559" s="8">
        <f t="shared" si="196"/>
        <v>1.0842542143083109</v>
      </c>
      <c r="Q1559" s="8">
        <f t="shared" si="197"/>
        <v>1.2563113454930877</v>
      </c>
      <c r="R1559" s="8">
        <f t="shared" si="198"/>
        <v>1.1586870762541042</v>
      </c>
      <c r="S1559" s="22">
        <f t="shared" si="199"/>
        <v>0.21249099387470244</v>
      </c>
      <c r="T1559" s="25"/>
      <c r="U1559" s="1" t="s">
        <v>4422</v>
      </c>
    </row>
    <row r="1560" spans="1:21">
      <c r="A1560" s="6" t="s">
        <v>4423</v>
      </c>
      <c r="B1560" s="9" t="s">
        <v>4424</v>
      </c>
      <c r="C1560" s="10">
        <v>1.2695624112440229</v>
      </c>
      <c r="D1560" s="10">
        <v>1.2302566246706386</v>
      </c>
      <c r="E1560" s="10">
        <v>1.0524410788004608</v>
      </c>
      <c r="F1560" s="8">
        <v>1.1932819066921272</v>
      </c>
      <c r="G1560" s="8">
        <f t="shared" si="192"/>
        <v>1.2499095179573307</v>
      </c>
      <c r="H1560" s="8">
        <f t="shared" si="193"/>
        <v>1.1228614927462939</v>
      </c>
      <c r="I1560" s="8">
        <f t="shared" si="194"/>
        <v>0.89835422213708271</v>
      </c>
      <c r="J1560" s="22">
        <f t="shared" si="195"/>
        <v>-0.1546436813724564</v>
      </c>
      <c r="K1560" s="8"/>
      <c r="L1560" s="8">
        <v>1.0193204872732879</v>
      </c>
      <c r="M1560" s="8">
        <v>1.2955051108502764</v>
      </c>
      <c r="N1560" s="8">
        <v>1.6567484410776252</v>
      </c>
      <c r="O1560" s="8">
        <v>1.1468426146970752</v>
      </c>
      <c r="P1560" s="8">
        <f t="shared" si="196"/>
        <v>1.1574127990617822</v>
      </c>
      <c r="Q1560" s="8">
        <f t="shared" si="197"/>
        <v>1.4017955278873502</v>
      </c>
      <c r="R1560" s="8">
        <f t="shared" si="198"/>
        <v>1.2111456941064318</v>
      </c>
      <c r="S1560" s="22">
        <f t="shared" si="199"/>
        <v>0.27637242367951947</v>
      </c>
      <c r="T1560" s="25"/>
      <c r="U1560" s="1" t="s">
        <v>4425</v>
      </c>
    </row>
    <row r="1561" spans="1:21">
      <c r="A1561" s="6" t="s">
        <v>4426</v>
      </c>
      <c r="B1561" s="6" t="s">
        <v>4427</v>
      </c>
      <c r="C1561" s="7">
        <v>0.33550661749756505</v>
      </c>
      <c r="D1561" s="7">
        <v>0.23233040476191558</v>
      </c>
      <c r="E1561" s="7">
        <v>0.95771707019232422</v>
      </c>
      <c r="F1561" s="8">
        <v>1.1100361871874143</v>
      </c>
      <c r="G1561" s="8">
        <f t="shared" si="192"/>
        <v>0.28391851112974031</v>
      </c>
      <c r="H1561" s="8">
        <f t="shared" si="193"/>
        <v>1.0338766286898693</v>
      </c>
      <c r="I1561" s="8">
        <f t="shared" si="194"/>
        <v>3.6414555168522482</v>
      </c>
      <c r="J1561" s="22">
        <f t="shared" si="195"/>
        <v>1.8645152216389513</v>
      </c>
      <c r="K1561" s="8"/>
      <c r="L1561" s="8">
        <v>0.98607066282252609</v>
      </c>
      <c r="M1561" s="8">
        <v>1.0932682005457182</v>
      </c>
      <c r="N1561" s="8">
        <v>1.2567630061176973</v>
      </c>
      <c r="O1561" s="8">
        <v>1.4064908106317924</v>
      </c>
      <c r="P1561" s="8">
        <f t="shared" si="196"/>
        <v>1.0396694316841222</v>
      </c>
      <c r="Q1561" s="8">
        <f t="shared" si="197"/>
        <v>1.3316269083747447</v>
      </c>
      <c r="R1561" s="8">
        <f t="shared" si="198"/>
        <v>1.280817602011912</v>
      </c>
      <c r="S1561" s="22">
        <f t="shared" si="199"/>
        <v>0.3570650397631846</v>
      </c>
      <c r="T1561" s="25"/>
      <c r="U1561" s="1" t="s">
        <v>4428</v>
      </c>
    </row>
    <row r="1562" spans="1:21">
      <c r="A1562" s="6" t="s">
        <v>4429</v>
      </c>
      <c r="B1562" s="13" t="s">
        <v>4430</v>
      </c>
      <c r="C1562" s="14">
        <v>1.180308541974475</v>
      </c>
      <c r="D1562" s="14">
        <v>1.121030708532361</v>
      </c>
      <c r="E1562" s="14">
        <v>1.0185166329926156</v>
      </c>
      <c r="F1562" s="8">
        <v>1.0959538580433474</v>
      </c>
      <c r="G1562" s="8">
        <f t="shared" si="192"/>
        <v>1.1506696252534181</v>
      </c>
      <c r="H1562" s="8">
        <f t="shared" si="193"/>
        <v>1.0572352455179814</v>
      </c>
      <c r="I1562" s="8">
        <f t="shared" si="194"/>
        <v>0.91879999464237261</v>
      </c>
      <c r="J1562" s="22">
        <f t="shared" si="195"/>
        <v>-0.12217724658404459</v>
      </c>
      <c r="K1562" s="8"/>
      <c r="L1562" s="8">
        <v>1.129649450223543</v>
      </c>
      <c r="M1562" s="8">
        <v>1.266963441416008</v>
      </c>
      <c r="N1562" s="8">
        <v>1.6622050024315242</v>
      </c>
      <c r="O1562" s="8">
        <v>1.3395222671905156</v>
      </c>
      <c r="P1562" s="8">
        <f t="shared" si="196"/>
        <v>1.1983064458197754</v>
      </c>
      <c r="Q1562" s="8">
        <f t="shared" si="197"/>
        <v>1.50086363481102</v>
      </c>
      <c r="R1562" s="8">
        <f t="shared" si="198"/>
        <v>1.2524873249632416</v>
      </c>
      <c r="S1562" s="22">
        <f t="shared" si="199"/>
        <v>0.32479600357601152</v>
      </c>
      <c r="T1562" s="25"/>
      <c r="U1562" s="1" t="s">
        <v>4431</v>
      </c>
    </row>
    <row r="1563" spans="1:21">
      <c r="A1563" s="6" t="s">
        <v>4432</v>
      </c>
      <c r="B1563" s="6" t="s">
        <v>80</v>
      </c>
      <c r="C1563" s="7">
        <v>1.1360139810878103</v>
      </c>
      <c r="D1563" s="7">
        <v>1.0945141063536274</v>
      </c>
      <c r="E1563" s="7">
        <v>1.0363160086049927</v>
      </c>
      <c r="F1563" s="8">
        <v>1.0815558781186698</v>
      </c>
      <c r="G1563" s="8">
        <f t="shared" si="192"/>
        <v>1.1152640437207189</v>
      </c>
      <c r="H1563" s="8">
        <f t="shared" si="193"/>
        <v>1.0589359433618313</v>
      </c>
      <c r="I1563" s="8">
        <f t="shared" si="194"/>
        <v>0.94949348481551776</v>
      </c>
      <c r="J1563" s="22">
        <f t="shared" si="195"/>
        <v>-7.4769993887619735E-2</v>
      </c>
      <c r="K1563" s="8"/>
      <c r="L1563" s="8">
        <v>1.2913645055067937</v>
      </c>
      <c r="M1563" s="8">
        <v>1.4404057280520208</v>
      </c>
      <c r="N1563" s="8">
        <v>1.5457171613853382</v>
      </c>
      <c r="O1563" s="8">
        <v>1.3688935499959587</v>
      </c>
      <c r="P1563" s="8">
        <f t="shared" si="196"/>
        <v>1.3658851167794073</v>
      </c>
      <c r="Q1563" s="8">
        <f t="shared" si="197"/>
        <v>1.4573053556906483</v>
      </c>
      <c r="R1563" s="8">
        <f t="shared" si="198"/>
        <v>1.0669311333641287</v>
      </c>
      <c r="S1563" s="22">
        <f t="shared" si="199"/>
        <v>9.3467058298752417E-2</v>
      </c>
      <c r="T1563" s="25"/>
      <c r="U1563" s="1">
        <v>0</v>
      </c>
    </row>
    <row r="1564" spans="1:21">
      <c r="A1564" s="6" t="s">
        <v>4433</v>
      </c>
      <c r="B1564" s="6" t="s">
        <v>80</v>
      </c>
      <c r="C1564" s="7">
        <v>1.0556453506291088</v>
      </c>
      <c r="D1564" s="7">
        <v>1.196484139390853</v>
      </c>
      <c r="E1564" s="7">
        <v>1.1976673126018897</v>
      </c>
      <c r="F1564" s="8">
        <v>1.1248932955202529</v>
      </c>
      <c r="G1564" s="8">
        <f t="shared" si="192"/>
        <v>1.1260647450099808</v>
      </c>
      <c r="H1564" s="8">
        <f t="shared" si="193"/>
        <v>1.1612803040610713</v>
      </c>
      <c r="I1564" s="8">
        <f t="shared" si="194"/>
        <v>1.0312731210235859</v>
      </c>
      <c r="J1564" s="22">
        <f t="shared" si="195"/>
        <v>4.4426464776285687E-2</v>
      </c>
      <c r="K1564" s="8"/>
      <c r="L1564" s="8">
        <v>1.3391944668824887</v>
      </c>
      <c r="M1564" s="8">
        <v>1.4019988434809445</v>
      </c>
      <c r="N1564" s="8">
        <v>1.6637640199612098</v>
      </c>
      <c r="O1564" s="8">
        <v>1.8537215807724077</v>
      </c>
      <c r="P1564" s="8">
        <f t="shared" si="196"/>
        <v>1.3705966551817166</v>
      </c>
      <c r="Q1564" s="8">
        <f t="shared" si="197"/>
        <v>1.7587428003668086</v>
      </c>
      <c r="R1564" s="8">
        <f t="shared" si="198"/>
        <v>1.283195018547328</v>
      </c>
      <c r="S1564" s="22">
        <f t="shared" si="199"/>
        <v>0.35974044627344476</v>
      </c>
      <c r="T1564" s="25"/>
      <c r="U1564" s="1">
        <v>0</v>
      </c>
    </row>
    <row r="1565" spans="1:21">
      <c r="A1565" s="6" t="s">
        <v>4434</v>
      </c>
      <c r="B1565" s="6" t="s">
        <v>4435</v>
      </c>
      <c r="C1565" s="7">
        <v>1.1689091096630777</v>
      </c>
      <c r="D1565" s="7">
        <v>1.0687082318161367</v>
      </c>
      <c r="E1565" s="7">
        <v>1.114419122666731</v>
      </c>
      <c r="F1565" s="8">
        <v>1.0648766039159416</v>
      </c>
      <c r="G1565" s="8">
        <f t="shared" si="192"/>
        <v>1.1188086707396072</v>
      </c>
      <c r="H1565" s="8">
        <f t="shared" si="193"/>
        <v>1.0896478632913364</v>
      </c>
      <c r="I1565" s="8">
        <f t="shared" si="194"/>
        <v>0.97393584067506955</v>
      </c>
      <c r="J1565" s="22">
        <f t="shared" si="195"/>
        <v>-3.810135891308257E-2</v>
      </c>
      <c r="K1565" s="8"/>
      <c r="L1565" s="8">
        <v>1.193437549270125</v>
      </c>
      <c r="M1565" s="8">
        <v>1.1688593575555311</v>
      </c>
      <c r="N1565" s="8">
        <v>1.0145306574428179</v>
      </c>
      <c r="O1565" s="8">
        <v>1.1116172617792068</v>
      </c>
      <c r="P1565" s="8">
        <f t="shared" si="196"/>
        <v>1.181148453412828</v>
      </c>
      <c r="Q1565" s="8">
        <f t="shared" si="197"/>
        <v>1.0630739596110124</v>
      </c>
      <c r="R1565" s="8">
        <f t="shared" si="198"/>
        <v>0.90003416297024352</v>
      </c>
      <c r="S1565" s="22">
        <f t="shared" si="199"/>
        <v>-0.15194833143133693</v>
      </c>
      <c r="T1565" s="25"/>
      <c r="U1565" s="1" t="s">
        <v>4436</v>
      </c>
    </row>
    <row r="1566" spans="1:21">
      <c r="A1566" s="6" t="s">
        <v>4437</v>
      </c>
      <c r="B1566" s="6" t="s">
        <v>4438</v>
      </c>
      <c r="C1566" s="7">
        <v>1.0951353008995379</v>
      </c>
      <c r="D1566" s="7">
        <v>1.0263294809169377</v>
      </c>
      <c r="E1566" s="7">
        <v>1.0060707231982529</v>
      </c>
      <c r="F1566" s="8">
        <v>0.95236144839095727</v>
      </c>
      <c r="G1566" s="8">
        <f t="shared" si="192"/>
        <v>1.0607323909082378</v>
      </c>
      <c r="H1566" s="8">
        <f t="shared" si="193"/>
        <v>0.97921608579460506</v>
      </c>
      <c r="I1566" s="8">
        <f t="shared" si="194"/>
        <v>0.92315092306756519</v>
      </c>
      <c r="J1566" s="22">
        <f t="shared" si="195"/>
        <v>-0.1153615660177482</v>
      </c>
      <c r="K1566" s="8"/>
      <c r="L1566" s="8">
        <v>0.87814208826844897</v>
      </c>
      <c r="M1566" s="8">
        <v>1.2699988922273335</v>
      </c>
      <c r="N1566" s="8">
        <v>1.2723044621167494</v>
      </c>
      <c r="O1566" s="8">
        <v>1.0247650664043479</v>
      </c>
      <c r="P1566" s="8">
        <f t="shared" si="196"/>
        <v>1.0740704902478913</v>
      </c>
      <c r="Q1566" s="8">
        <f t="shared" si="197"/>
        <v>1.1485347642605488</v>
      </c>
      <c r="R1566" s="8">
        <f t="shared" si="198"/>
        <v>1.0693290381671985</v>
      </c>
      <c r="S1566" s="22">
        <f t="shared" si="199"/>
        <v>9.6705846220685052E-2</v>
      </c>
      <c r="T1566" s="25"/>
      <c r="U1566" s="1" t="s">
        <v>4439</v>
      </c>
    </row>
    <row r="1567" spans="1:21">
      <c r="A1567" s="6" t="s">
        <v>4440</v>
      </c>
      <c r="B1567" s="6" t="s">
        <v>4441</v>
      </c>
      <c r="C1567" s="7">
        <v>0.45168605119316724</v>
      </c>
      <c r="D1567" s="7">
        <v>0.4605256668838727</v>
      </c>
      <c r="E1567" s="7">
        <v>1.4807039725212707</v>
      </c>
      <c r="F1567" s="8">
        <v>1.506550958685561</v>
      </c>
      <c r="G1567" s="8">
        <f t="shared" si="192"/>
        <v>0.45610585903851997</v>
      </c>
      <c r="H1567" s="8">
        <f t="shared" si="193"/>
        <v>1.4936274656034159</v>
      </c>
      <c r="I1567" s="8">
        <f t="shared" si="194"/>
        <v>3.2747386072873774</v>
      </c>
      <c r="J1567" s="22">
        <f t="shared" si="195"/>
        <v>1.7113797539720847</v>
      </c>
      <c r="K1567" s="8"/>
      <c r="L1567" s="8">
        <v>3.1366408592501425</v>
      </c>
      <c r="M1567" s="8">
        <v>2.8614604571818418</v>
      </c>
      <c r="N1567" s="8">
        <v>2.5278007664915774</v>
      </c>
      <c r="O1567" s="8">
        <v>2.6304961253452297</v>
      </c>
      <c r="P1567" s="8">
        <f t="shared" si="196"/>
        <v>2.9990506582159924</v>
      </c>
      <c r="Q1567" s="8">
        <f t="shared" si="197"/>
        <v>2.5791484459184035</v>
      </c>
      <c r="R1567" s="8">
        <f t="shared" si="198"/>
        <v>0.85998828957848583</v>
      </c>
      <c r="S1567" s="22">
        <f t="shared" si="199"/>
        <v>-0.21761108005177904</v>
      </c>
      <c r="T1567" s="25"/>
      <c r="U1567" s="1" t="s">
        <v>4442</v>
      </c>
    </row>
    <row r="1568" spans="1:21">
      <c r="A1568" s="6" t="s">
        <v>4443</v>
      </c>
      <c r="B1568" s="6" t="s">
        <v>4444</v>
      </c>
      <c r="C1568" s="7">
        <v>1.1001373612671255</v>
      </c>
      <c r="D1568" s="7">
        <v>1.1068290780282537</v>
      </c>
      <c r="E1568" s="7">
        <v>1.0912087943550728</v>
      </c>
      <c r="F1568" s="8">
        <v>1.0899708409744977</v>
      </c>
      <c r="G1568" s="8">
        <f t="shared" si="192"/>
        <v>1.1034832196476896</v>
      </c>
      <c r="H1568" s="8">
        <f t="shared" si="193"/>
        <v>1.0905898176647852</v>
      </c>
      <c r="I1568" s="8">
        <f t="shared" si="194"/>
        <v>0.98831572446836047</v>
      </c>
      <c r="J1568" s="22">
        <f t="shared" si="195"/>
        <v>-1.6956100282239553E-2</v>
      </c>
      <c r="K1568" s="8"/>
      <c r="L1568" s="8">
        <v>0.9008124231212411</v>
      </c>
      <c r="M1568" s="8">
        <v>1.0773320837862594</v>
      </c>
      <c r="N1568" s="8">
        <v>0.93346174589917363</v>
      </c>
      <c r="O1568" s="8">
        <v>0.82108379938928111</v>
      </c>
      <c r="P1568" s="8">
        <f t="shared" si="196"/>
        <v>0.98907225345375027</v>
      </c>
      <c r="Q1568" s="8">
        <f t="shared" si="197"/>
        <v>0.87727277264422732</v>
      </c>
      <c r="R1568" s="8">
        <f t="shared" si="198"/>
        <v>0.88696530468918788</v>
      </c>
      <c r="S1568" s="22">
        <f t="shared" si="199"/>
        <v>-0.1730504229786452</v>
      </c>
      <c r="T1568" s="25"/>
      <c r="U1568" s="1" t="s">
        <v>4445</v>
      </c>
    </row>
    <row r="1569" spans="1:21">
      <c r="A1569" s="6" t="s">
        <v>4446</v>
      </c>
      <c r="B1569" s="6" t="s">
        <v>4447</v>
      </c>
      <c r="C1569" s="7">
        <v>1.1537647137343683</v>
      </c>
      <c r="D1569" s="7">
        <v>1.2673178405812662</v>
      </c>
      <c r="E1569" s="7">
        <v>1.1973152054541278</v>
      </c>
      <c r="F1569" s="8">
        <v>1.1838554265620693</v>
      </c>
      <c r="G1569" s="8">
        <f t="shared" si="192"/>
        <v>1.2105412771578172</v>
      </c>
      <c r="H1569" s="8">
        <f t="shared" si="193"/>
        <v>1.1905853160080986</v>
      </c>
      <c r="I1569" s="8">
        <f t="shared" si="194"/>
        <v>0.98351484453584892</v>
      </c>
      <c r="J1569" s="22">
        <f t="shared" si="195"/>
        <v>-2.3981267114993481E-2</v>
      </c>
      <c r="K1569" s="8"/>
      <c r="L1569" s="8">
        <v>0.84760381367262894</v>
      </c>
      <c r="M1569" s="8">
        <v>1.1212196434333399</v>
      </c>
      <c r="N1569" s="8">
        <v>1.1559140596661688</v>
      </c>
      <c r="O1569" s="8">
        <v>0.853331651129278</v>
      </c>
      <c r="P1569" s="8">
        <f t="shared" si="196"/>
        <v>0.98441172855298442</v>
      </c>
      <c r="Q1569" s="8">
        <f t="shared" si="197"/>
        <v>1.0046228553977234</v>
      </c>
      <c r="R1569" s="8">
        <f t="shared" si="198"/>
        <v>1.0205311723321784</v>
      </c>
      <c r="S1569" s="22">
        <f t="shared" si="199"/>
        <v>2.9320250457058071E-2</v>
      </c>
      <c r="T1569" s="25"/>
      <c r="U1569" s="1" t="s">
        <v>4448</v>
      </c>
    </row>
    <row r="1570" spans="1:21">
      <c r="A1570" s="6" t="s">
        <v>4449</v>
      </c>
      <c r="B1570" s="13" t="s">
        <v>4450</v>
      </c>
      <c r="C1570" s="14">
        <v>1.1159859946423245</v>
      </c>
      <c r="D1570" s="14">
        <v>1.2279435292564118</v>
      </c>
      <c r="E1570" s="14">
        <v>1.205119049586159</v>
      </c>
      <c r="F1570" s="8">
        <v>1.125589162013872</v>
      </c>
      <c r="G1570" s="8">
        <f t="shared" si="192"/>
        <v>1.1719647619493681</v>
      </c>
      <c r="H1570" s="8">
        <f t="shared" si="193"/>
        <v>1.1653541058000156</v>
      </c>
      <c r="I1570" s="8">
        <f t="shared" si="194"/>
        <v>0.99435933880950766</v>
      </c>
      <c r="J1570" s="22">
        <f t="shared" si="195"/>
        <v>-8.1607917564738702E-3</v>
      </c>
      <c r="K1570" s="8"/>
      <c r="L1570" s="8">
        <v>1.3772006164886401</v>
      </c>
      <c r="M1570" s="8">
        <v>1.0593723331525837</v>
      </c>
      <c r="N1570" s="8">
        <v>0.97467827184023315</v>
      </c>
      <c r="O1570" s="8">
        <v>1.0927933984004605</v>
      </c>
      <c r="P1570" s="8">
        <f t="shared" si="196"/>
        <v>1.2182864748206119</v>
      </c>
      <c r="Q1570" s="8">
        <f t="shared" si="197"/>
        <v>1.0337358351203467</v>
      </c>
      <c r="R1570" s="8">
        <f t="shared" si="198"/>
        <v>0.84851622051583586</v>
      </c>
      <c r="S1570" s="22">
        <f t="shared" si="199"/>
        <v>-0.23698585582174242</v>
      </c>
      <c r="T1570" s="25"/>
      <c r="U1570" s="1" t="s">
        <v>4451</v>
      </c>
    </row>
    <row r="1571" spans="1:21">
      <c r="A1571" s="6" t="s">
        <v>4452</v>
      </c>
      <c r="B1571" s="13" t="s">
        <v>4453</v>
      </c>
      <c r="C1571" s="14">
        <v>0.70172325298876703</v>
      </c>
      <c r="D1571" s="14">
        <v>0.6831643310833857</v>
      </c>
      <c r="E1571" s="14">
        <v>0.96616764173861214</v>
      </c>
      <c r="F1571" s="8">
        <v>0.99479495673897322</v>
      </c>
      <c r="G1571" s="8">
        <f t="shared" si="192"/>
        <v>0.69244379203607642</v>
      </c>
      <c r="H1571" s="8">
        <f t="shared" si="193"/>
        <v>0.98048129923879268</v>
      </c>
      <c r="I1571" s="8">
        <f t="shared" si="194"/>
        <v>1.4159724016815354</v>
      </c>
      <c r="J1571" s="22">
        <f t="shared" si="195"/>
        <v>0.50179314653305451</v>
      </c>
      <c r="K1571" s="8"/>
      <c r="L1571" s="8">
        <v>1.1607211444629582</v>
      </c>
      <c r="M1571" s="8">
        <v>1.0238744222756944</v>
      </c>
      <c r="N1571" s="8">
        <v>1.3169800582017985</v>
      </c>
      <c r="O1571" s="8">
        <v>1.5089370375992319</v>
      </c>
      <c r="P1571" s="8">
        <f t="shared" si="196"/>
        <v>1.0922977833693261</v>
      </c>
      <c r="Q1571" s="8">
        <f t="shared" si="197"/>
        <v>1.4129585479005153</v>
      </c>
      <c r="R1571" s="8">
        <f t="shared" si="198"/>
        <v>1.2935653348504212</v>
      </c>
      <c r="S1571" s="22">
        <f t="shared" si="199"/>
        <v>0.37135292289337807</v>
      </c>
      <c r="T1571" s="25"/>
      <c r="U1571" s="1" t="s">
        <v>4454</v>
      </c>
    </row>
    <row r="1572" spans="1:21">
      <c r="A1572" s="6" t="s">
        <v>4455</v>
      </c>
      <c r="B1572" s="6" t="s">
        <v>4456</v>
      </c>
      <c r="C1572" s="7">
        <v>0.18444439439641719</v>
      </c>
      <c r="D1572" s="7">
        <v>0.19789241996351162</v>
      </c>
      <c r="E1572" s="7">
        <v>0.32562725307826623</v>
      </c>
      <c r="F1572" s="8">
        <v>0.37179357627122162</v>
      </c>
      <c r="G1572" s="8">
        <f t="shared" si="192"/>
        <v>0.19116840717996442</v>
      </c>
      <c r="H1572" s="8">
        <f t="shared" si="193"/>
        <v>0.34871041467474395</v>
      </c>
      <c r="I1572" s="8">
        <f t="shared" si="194"/>
        <v>1.824100644132431</v>
      </c>
      <c r="J1572" s="22">
        <f t="shared" si="195"/>
        <v>0.86718533190672942</v>
      </c>
      <c r="K1572" s="8"/>
      <c r="L1572" s="8">
        <v>0.73727485072237386</v>
      </c>
      <c r="M1572" s="8">
        <v>1.0863962771811897</v>
      </c>
      <c r="N1572" s="8">
        <v>0.54370736347780679</v>
      </c>
      <c r="O1572" s="8">
        <v>0.78878548152762529</v>
      </c>
      <c r="P1572" s="8">
        <f t="shared" si="196"/>
        <v>0.91183556395178178</v>
      </c>
      <c r="Q1572" s="8">
        <f t="shared" si="197"/>
        <v>0.66624642250271604</v>
      </c>
      <c r="R1572" s="8">
        <f t="shared" si="198"/>
        <v>0.73066509888612707</v>
      </c>
      <c r="S1572" s="22">
        <f t="shared" si="199"/>
        <v>-0.45271779799521139</v>
      </c>
      <c r="T1572" s="25"/>
      <c r="U1572" s="1" t="s">
        <v>4457</v>
      </c>
    </row>
    <row r="1573" spans="1:21">
      <c r="A1573" s="6" t="s">
        <v>4458</v>
      </c>
      <c r="B1573" s="13" t="s">
        <v>4459</v>
      </c>
      <c r="C1573" s="14">
        <v>1.4127200626327066</v>
      </c>
      <c r="D1573" s="14">
        <v>1.334914500423837</v>
      </c>
      <c r="E1573" s="14">
        <v>1.6156616121563347</v>
      </c>
      <c r="F1573" s="8">
        <v>1.5184667756536177</v>
      </c>
      <c r="G1573" s="8">
        <f t="shared" si="192"/>
        <v>1.3738172815282716</v>
      </c>
      <c r="H1573" s="8">
        <f t="shared" si="193"/>
        <v>1.5670641939049763</v>
      </c>
      <c r="I1573" s="8">
        <f t="shared" si="194"/>
        <v>1.1406642025653744</v>
      </c>
      <c r="J1573" s="22">
        <f t="shared" si="195"/>
        <v>0.18987414255103774</v>
      </c>
      <c r="K1573" s="8"/>
      <c r="L1573" s="8">
        <v>1.0402572082843959</v>
      </c>
      <c r="M1573" s="8">
        <v>1.0430146260026634</v>
      </c>
      <c r="N1573" s="8">
        <v>1.2346931642130874</v>
      </c>
      <c r="O1573" s="8">
        <v>1.3487575674540828</v>
      </c>
      <c r="P1573" s="8">
        <f t="shared" si="196"/>
        <v>1.0416359171435297</v>
      </c>
      <c r="Q1573" s="8">
        <f t="shared" si="197"/>
        <v>1.2917253658335852</v>
      </c>
      <c r="R1573" s="8">
        <f t="shared" si="198"/>
        <v>1.2400929581766669</v>
      </c>
      <c r="S1573" s="22">
        <f t="shared" si="199"/>
        <v>0.31044827002655695</v>
      </c>
      <c r="T1573" s="25"/>
      <c r="U1573" s="1" t="s">
        <v>4460</v>
      </c>
    </row>
    <row r="1574" spans="1:21">
      <c r="A1574" s="6" t="s">
        <v>4461</v>
      </c>
      <c r="B1574" s="13" t="s">
        <v>4462</v>
      </c>
      <c r="C1574" s="14">
        <v>1.1911616966404646</v>
      </c>
      <c r="D1574" s="14">
        <v>1.2389791911768009</v>
      </c>
      <c r="E1574" s="14">
        <v>1.2092078040162932</v>
      </c>
      <c r="F1574" s="8">
        <v>1.1793430551756108</v>
      </c>
      <c r="G1574" s="8">
        <f t="shared" si="192"/>
        <v>1.2150704439086328</v>
      </c>
      <c r="H1574" s="8">
        <f t="shared" si="193"/>
        <v>1.1942754295959519</v>
      </c>
      <c r="I1574" s="8">
        <f t="shared" si="194"/>
        <v>0.98288575414130919</v>
      </c>
      <c r="J1574" s="22">
        <f t="shared" si="195"/>
        <v>-2.4904360429801556E-2</v>
      </c>
      <c r="K1574" s="8"/>
      <c r="L1574" s="8">
        <v>1.2177081430537025</v>
      </c>
      <c r="M1574" s="8">
        <v>0.91666398598124121</v>
      </c>
      <c r="N1574" s="8">
        <v>1.2110155854809894</v>
      </c>
      <c r="O1574" s="8">
        <v>1.0806310630806808</v>
      </c>
      <c r="P1574" s="8">
        <f t="shared" si="196"/>
        <v>1.0671860645174718</v>
      </c>
      <c r="Q1574" s="8">
        <f t="shared" si="197"/>
        <v>1.1458233242808351</v>
      </c>
      <c r="R1574" s="8">
        <f t="shared" si="198"/>
        <v>1.073686550431971</v>
      </c>
      <c r="S1574" s="22">
        <f t="shared" si="199"/>
        <v>0.10257287773689697</v>
      </c>
      <c r="T1574" s="25"/>
      <c r="U1574" s="1" t="s">
        <v>4463</v>
      </c>
    </row>
    <row r="1575" spans="1:21">
      <c r="A1575" s="6" t="s">
        <v>4464</v>
      </c>
      <c r="B1575" s="6" t="s">
        <v>4465</v>
      </c>
      <c r="C1575" s="7">
        <v>0.17896187296720595</v>
      </c>
      <c r="D1575" s="7">
        <v>0.19059776990020991</v>
      </c>
      <c r="E1575" s="7">
        <v>0.81069437135129296</v>
      </c>
      <c r="F1575" s="8">
        <v>0.85404340411208002</v>
      </c>
      <c r="G1575" s="8">
        <f t="shared" si="192"/>
        <v>0.18477982143370791</v>
      </c>
      <c r="H1575" s="8">
        <f t="shared" si="193"/>
        <v>0.83236888773168649</v>
      </c>
      <c r="I1575" s="8">
        <f t="shared" si="194"/>
        <v>4.5046525171056588</v>
      </c>
      <c r="J1575" s="22">
        <f t="shared" si="195"/>
        <v>2.1714158227572984</v>
      </c>
      <c r="K1575" s="8"/>
      <c r="L1575" s="8">
        <v>1.0512812142520283</v>
      </c>
      <c r="M1575" s="8">
        <v>1.0625342610810478</v>
      </c>
      <c r="N1575" s="8">
        <v>1.3500604614098122</v>
      </c>
      <c r="O1575" s="8">
        <v>1.3291767122504539</v>
      </c>
      <c r="P1575" s="8">
        <f t="shared" si="196"/>
        <v>1.0569077376665379</v>
      </c>
      <c r="Q1575" s="8">
        <f t="shared" si="197"/>
        <v>1.3396185868301331</v>
      </c>
      <c r="R1575" s="8">
        <f t="shared" si="198"/>
        <v>1.2674886738815725</v>
      </c>
      <c r="S1575" s="22">
        <f t="shared" si="199"/>
        <v>0.34197285554585893</v>
      </c>
      <c r="T1575" s="25"/>
      <c r="U1575" s="1" t="s">
        <v>4466</v>
      </c>
    </row>
    <row r="1576" spans="1:21">
      <c r="A1576" s="6" t="s">
        <v>4467</v>
      </c>
      <c r="B1576" s="9" t="s">
        <v>4468</v>
      </c>
      <c r="C1576" s="10">
        <v>1.0222895059673531</v>
      </c>
      <c r="D1576" s="10">
        <v>1.0255670639926953</v>
      </c>
      <c r="E1576" s="10">
        <v>1.6839129119408955</v>
      </c>
      <c r="F1576" s="8">
        <v>1.4975046942685115</v>
      </c>
      <c r="G1576" s="8">
        <f t="shared" si="192"/>
        <v>1.0239282849800242</v>
      </c>
      <c r="H1576" s="8">
        <f t="shared" si="193"/>
        <v>1.5907088031047034</v>
      </c>
      <c r="I1576" s="8">
        <f t="shared" si="194"/>
        <v>1.5535353661372258</v>
      </c>
      <c r="J1576" s="22">
        <f t="shared" si="195"/>
        <v>0.63555508469761912</v>
      </c>
      <c r="K1576" s="8"/>
      <c r="L1576" s="8">
        <v>1.2307769243217825</v>
      </c>
      <c r="M1576" s="8">
        <v>1.1860602454863753</v>
      </c>
      <c r="N1576" s="8">
        <v>1.3542503210208419</v>
      </c>
      <c r="O1576" s="8">
        <v>1.0086159074735201</v>
      </c>
      <c r="P1576" s="8">
        <f t="shared" si="196"/>
        <v>1.2084185849040789</v>
      </c>
      <c r="Q1576" s="8">
        <f t="shared" si="197"/>
        <v>1.181433114247181</v>
      </c>
      <c r="R1576" s="8">
        <f t="shared" si="198"/>
        <v>0.97766877223338966</v>
      </c>
      <c r="S1576" s="22">
        <f t="shared" si="199"/>
        <v>-3.2582322547461975E-2</v>
      </c>
      <c r="T1576" s="25"/>
      <c r="U1576" s="1" t="s">
        <v>4469</v>
      </c>
    </row>
    <row r="1577" spans="1:21">
      <c r="A1577" s="6" t="s">
        <v>4470</v>
      </c>
      <c r="B1577" s="6" t="s">
        <v>4471</v>
      </c>
      <c r="C1577" s="7">
        <v>1.2945529681068262</v>
      </c>
      <c r="D1577" s="7">
        <v>1.3204479623443572</v>
      </c>
      <c r="E1577" s="7">
        <v>1.2259939733463348</v>
      </c>
      <c r="F1577" s="8">
        <v>1.111793788124906</v>
      </c>
      <c r="G1577" s="8">
        <f t="shared" si="192"/>
        <v>1.3075004652255917</v>
      </c>
      <c r="H1577" s="8">
        <f t="shared" si="193"/>
        <v>1.1688938807356204</v>
      </c>
      <c r="I1577" s="8">
        <f t="shared" si="194"/>
        <v>0.89399117768875391</v>
      </c>
      <c r="J1577" s="22">
        <f t="shared" si="195"/>
        <v>-0.16166750057886559</v>
      </c>
      <c r="K1577" s="8"/>
      <c r="L1577" s="8">
        <v>0.71589361334160317</v>
      </c>
      <c r="M1577" s="8">
        <v>1.2958002241235997</v>
      </c>
      <c r="N1577" s="8">
        <v>0.84011557130925618</v>
      </c>
      <c r="O1577" s="8">
        <v>0.78505098852487132</v>
      </c>
      <c r="P1577" s="8">
        <f t="shared" si="196"/>
        <v>1.0058469187326016</v>
      </c>
      <c r="Q1577" s="8">
        <f t="shared" si="197"/>
        <v>0.81258327991706381</v>
      </c>
      <c r="R1577" s="8">
        <f t="shared" si="198"/>
        <v>0.80785978938121517</v>
      </c>
      <c r="S1577" s="22">
        <f t="shared" si="199"/>
        <v>-0.30782317160974004</v>
      </c>
      <c r="T1577" s="25"/>
      <c r="U1577" s="1" t="s">
        <v>4472</v>
      </c>
    </row>
    <row r="1578" spans="1:21">
      <c r="A1578" s="6" t="s">
        <v>4473</v>
      </c>
      <c r="B1578" s="6" t="s">
        <v>4474</v>
      </c>
      <c r="C1578" s="7">
        <v>1.155370638378699</v>
      </c>
      <c r="D1578" s="7">
        <v>1.0412418390622877</v>
      </c>
      <c r="E1578" s="7">
        <v>1.1430332178175124</v>
      </c>
      <c r="F1578" s="8">
        <v>1.224330465294023</v>
      </c>
      <c r="G1578" s="8">
        <f t="shared" si="192"/>
        <v>1.0983062387204934</v>
      </c>
      <c r="H1578" s="8">
        <f t="shared" si="193"/>
        <v>1.1836818415557677</v>
      </c>
      <c r="I1578" s="8">
        <f t="shared" si="194"/>
        <v>1.0777338776976586</v>
      </c>
      <c r="J1578" s="22">
        <f t="shared" si="195"/>
        <v>0.10800098075847481</v>
      </c>
      <c r="K1578" s="8"/>
      <c r="L1578" s="8">
        <v>0.74207562751472977</v>
      </c>
      <c r="M1578" s="8">
        <v>0.74360113069664413</v>
      </c>
      <c r="N1578" s="8">
        <v>0.82647416792450834</v>
      </c>
      <c r="O1578" s="8">
        <v>0.96662809425336749</v>
      </c>
      <c r="P1578" s="8">
        <f t="shared" si="196"/>
        <v>0.74283837910568695</v>
      </c>
      <c r="Q1578" s="8">
        <f t="shared" si="197"/>
        <v>0.89655113108893791</v>
      </c>
      <c r="R1578" s="8">
        <f t="shared" si="198"/>
        <v>1.2069262390135358</v>
      </c>
      <c r="S1578" s="22">
        <f t="shared" si="199"/>
        <v>0.27133750885095642</v>
      </c>
      <c r="T1578" s="25"/>
      <c r="U1578" s="1" t="s">
        <v>4475</v>
      </c>
    </row>
    <row r="1579" spans="1:21">
      <c r="A1579" s="6" t="s">
        <v>4476</v>
      </c>
      <c r="B1579" s="6" t="s">
        <v>4477</v>
      </c>
      <c r="C1579" s="7">
        <v>1.1848433045971958</v>
      </c>
      <c r="D1579" s="7">
        <v>1.2282988930770333</v>
      </c>
      <c r="E1579" s="7">
        <v>1.1904239655622144</v>
      </c>
      <c r="F1579" s="8">
        <v>1.2117403034764798</v>
      </c>
      <c r="G1579" s="8">
        <f t="shared" si="192"/>
        <v>1.2065710988371146</v>
      </c>
      <c r="H1579" s="8">
        <f t="shared" si="193"/>
        <v>1.2010821345193472</v>
      </c>
      <c r="I1579" s="8">
        <f t="shared" si="194"/>
        <v>0.99545077424524953</v>
      </c>
      <c r="J1579" s="22">
        <f t="shared" si="195"/>
        <v>-6.5781194821901284E-3</v>
      </c>
      <c r="K1579" s="8"/>
      <c r="L1579" s="8">
        <v>0.95553238822670616</v>
      </c>
      <c r="M1579" s="8">
        <v>1.0694061844455762</v>
      </c>
      <c r="N1579" s="8">
        <v>0.97487314903144384</v>
      </c>
      <c r="O1579" s="8">
        <v>1.0026104389961183</v>
      </c>
      <c r="P1579" s="8">
        <f t="shared" si="196"/>
        <v>1.0124692863361413</v>
      </c>
      <c r="Q1579" s="8">
        <f t="shared" si="197"/>
        <v>0.98874179401378104</v>
      </c>
      <c r="R1579" s="8">
        <f t="shared" si="198"/>
        <v>0.97656472878478739</v>
      </c>
      <c r="S1579" s="22">
        <f t="shared" si="199"/>
        <v>-3.4212422713948074E-2</v>
      </c>
      <c r="T1579" s="25"/>
      <c r="U1579" s="1" t="s">
        <v>4478</v>
      </c>
    </row>
    <row r="1580" spans="1:21">
      <c r="A1580" s="6" t="s">
        <v>4479</v>
      </c>
      <c r="B1580" s="6" t="s">
        <v>4480</v>
      </c>
      <c r="C1580" s="7">
        <v>0.29342349382604449</v>
      </c>
      <c r="D1580" s="7">
        <v>0.31310783176935392</v>
      </c>
      <c r="E1580" s="7">
        <v>1.1731132284406092</v>
      </c>
      <c r="F1580" s="8">
        <v>1.1698233145876451</v>
      </c>
      <c r="G1580" s="8">
        <f t="shared" si="192"/>
        <v>0.30326566279769918</v>
      </c>
      <c r="H1580" s="8">
        <f t="shared" si="193"/>
        <v>1.1714682715141271</v>
      </c>
      <c r="I1580" s="8">
        <f t="shared" si="194"/>
        <v>3.8628450735472279</v>
      </c>
      <c r="J1580" s="22">
        <f t="shared" si="195"/>
        <v>1.9496638168120841</v>
      </c>
      <c r="K1580" s="8"/>
      <c r="L1580" s="8">
        <v>1.1100018266844567</v>
      </c>
      <c r="M1580" s="8">
        <v>1.0742966329749339</v>
      </c>
      <c r="N1580" s="8">
        <v>0.85185692207969987</v>
      </c>
      <c r="O1580" s="8">
        <v>0.84858783569334739</v>
      </c>
      <c r="P1580" s="8">
        <f t="shared" si="196"/>
        <v>1.0921492298296953</v>
      </c>
      <c r="Q1580" s="8">
        <f t="shared" si="197"/>
        <v>0.85022237888652363</v>
      </c>
      <c r="R1580" s="8">
        <f t="shared" si="198"/>
        <v>0.77848553628436234</v>
      </c>
      <c r="S1580" s="22">
        <f t="shared" si="199"/>
        <v>-0.36125785959675166</v>
      </c>
      <c r="T1580" s="25"/>
      <c r="U1580" s="1" t="s">
        <v>4481</v>
      </c>
    </row>
    <row r="1581" spans="1:21">
      <c r="A1581" s="6" t="s">
        <v>4482</v>
      </c>
      <c r="B1581" s="6" t="s">
        <v>4483</v>
      </c>
      <c r="C1581" s="7">
        <v>1.2489289122277238</v>
      </c>
      <c r="D1581" s="7">
        <v>1.3640931006770438</v>
      </c>
      <c r="E1581" s="7">
        <v>1.2409333766156654</v>
      </c>
      <c r="F1581" s="8">
        <v>1.159744011252233</v>
      </c>
      <c r="G1581" s="8">
        <f t="shared" si="192"/>
        <v>1.3065110064523839</v>
      </c>
      <c r="H1581" s="8">
        <f t="shared" si="193"/>
        <v>1.2003386939339493</v>
      </c>
      <c r="I1581" s="8">
        <f t="shared" si="194"/>
        <v>0.91873599840025222</v>
      </c>
      <c r="J1581" s="22">
        <f t="shared" si="195"/>
        <v>-0.12227773665501956</v>
      </c>
      <c r="K1581" s="8"/>
      <c r="L1581" s="8">
        <v>1.0222987469500273</v>
      </c>
      <c r="M1581" s="8">
        <v>1.1084032955632992</v>
      </c>
      <c r="N1581" s="8">
        <v>0.88927334279215109</v>
      </c>
      <c r="O1581" s="8">
        <v>0.93680261635299478</v>
      </c>
      <c r="P1581" s="8">
        <f t="shared" si="196"/>
        <v>1.0653510212566633</v>
      </c>
      <c r="Q1581" s="8">
        <f t="shared" si="197"/>
        <v>0.91303797957257293</v>
      </c>
      <c r="R1581" s="8">
        <f t="shared" si="198"/>
        <v>0.8570301819353161</v>
      </c>
      <c r="S1581" s="22">
        <f t="shared" si="199"/>
        <v>-0.22258208242628999</v>
      </c>
      <c r="T1581" s="25"/>
      <c r="U1581" s="1" t="s">
        <v>4484</v>
      </c>
    </row>
    <row r="1582" spans="1:21">
      <c r="A1582" s="6" t="s">
        <v>4485</v>
      </c>
      <c r="B1582" s="6" t="s">
        <v>4486</v>
      </c>
      <c r="C1582" s="7">
        <v>1.3016611591555034</v>
      </c>
      <c r="D1582" s="7">
        <v>1.2069576803586226</v>
      </c>
      <c r="E1582" s="7">
        <v>1.251805583035337</v>
      </c>
      <c r="F1582" s="8">
        <v>1.2034903398923347</v>
      </c>
      <c r="G1582" s="8">
        <f t="shared" si="192"/>
        <v>1.254309419757063</v>
      </c>
      <c r="H1582" s="8">
        <f t="shared" si="193"/>
        <v>1.2276479614638358</v>
      </c>
      <c r="I1582" s="8">
        <f t="shared" si="194"/>
        <v>0.97874411379419357</v>
      </c>
      <c r="J1582" s="22">
        <f t="shared" si="195"/>
        <v>-3.0996368882623648E-2</v>
      </c>
      <c r="K1582" s="8"/>
      <c r="L1582" s="8">
        <v>1.1438295224157797</v>
      </c>
      <c r="M1582" s="8">
        <v>1.0887993424068223</v>
      </c>
      <c r="N1582" s="8">
        <v>0.9609881491576826</v>
      </c>
      <c r="O1582" s="8">
        <v>1.2222390004553778</v>
      </c>
      <c r="P1582" s="8">
        <f t="shared" si="196"/>
        <v>1.116314432411301</v>
      </c>
      <c r="Q1582" s="8">
        <f t="shared" si="197"/>
        <v>1.0916135748065301</v>
      </c>
      <c r="R1582" s="8">
        <f t="shared" si="198"/>
        <v>0.97787284936250829</v>
      </c>
      <c r="S1582" s="22">
        <f t="shared" si="199"/>
        <v>-3.2281207950916754E-2</v>
      </c>
      <c r="T1582" s="25"/>
      <c r="U1582" s="1" t="s">
        <v>4487</v>
      </c>
    </row>
    <row r="1583" spans="1:21">
      <c r="A1583" s="6" t="s">
        <v>4488</v>
      </c>
      <c r="B1583" s="6" t="s">
        <v>4489</v>
      </c>
      <c r="C1583" s="7">
        <v>1.1362311758142978</v>
      </c>
      <c r="D1583" s="7">
        <v>1.1505323668043146</v>
      </c>
      <c r="E1583" s="7">
        <v>1.6885477917430687</v>
      </c>
      <c r="F1583" s="8">
        <v>1.6873112477548693</v>
      </c>
      <c r="G1583" s="8">
        <f t="shared" si="192"/>
        <v>1.1433817713093062</v>
      </c>
      <c r="H1583" s="8">
        <f t="shared" si="193"/>
        <v>1.687929519748969</v>
      </c>
      <c r="I1583" s="8">
        <f t="shared" si="194"/>
        <v>1.4762606524818844</v>
      </c>
      <c r="J1583" s="22">
        <f t="shared" si="195"/>
        <v>0.56194746993731148</v>
      </c>
      <c r="K1583" s="8"/>
      <c r="L1583" s="8">
        <v>0.72731768404193176</v>
      </c>
      <c r="M1583" s="8">
        <v>0.94128486478421436</v>
      </c>
      <c r="N1583" s="8">
        <v>0.8435259221554432</v>
      </c>
      <c r="O1583" s="8">
        <v>0.82653414052843555</v>
      </c>
      <c r="P1583" s="8">
        <f t="shared" si="196"/>
        <v>0.83430127441307311</v>
      </c>
      <c r="Q1583" s="8">
        <f t="shared" si="197"/>
        <v>0.83503003134193943</v>
      </c>
      <c r="R1583" s="8">
        <f t="shared" si="198"/>
        <v>1.000873493726087</v>
      </c>
      <c r="S1583" s="22">
        <f t="shared" si="199"/>
        <v>1.2596350052921531E-3</v>
      </c>
      <c r="T1583" s="25"/>
      <c r="U1583" s="1" t="s">
        <v>4490</v>
      </c>
    </row>
    <row r="1584" spans="1:21">
      <c r="A1584" s="6" t="s">
        <v>4491</v>
      </c>
      <c r="B1584" s="13" t="s">
        <v>4492</v>
      </c>
      <c r="C1584" s="14">
        <v>0.73581624338890417</v>
      </c>
      <c r="D1584" s="14">
        <v>0.79997564950183697</v>
      </c>
      <c r="E1584" s="14">
        <v>1.2089203696099571</v>
      </c>
      <c r="F1584" s="8">
        <v>1.1395280135303887</v>
      </c>
      <c r="G1584" s="8">
        <f t="shared" si="192"/>
        <v>0.76789594644537051</v>
      </c>
      <c r="H1584" s="8">
        <f t="shared" si="193"/>
        <v>1.1742241915701728</v>
      </c>
      <c r="I1584" s="8">
        <f t="shared" si="194"/>
        <v>1.5291449277805365</v>
      </c>
      <c r="J1584" s="22">
        <f t="shared" si="195"/>
        <v>0.61272514749770601</v>
      </c>
      <c r="K1584" s="8"/>
      <c r="L1584" s="8">
        <v>1.073018064728529</v>
      </c>
      <c r="M1584" s="8">
        <v>1.032348389123978</v>
      </c>
      <c r="N1584" s="8">
        <v>1.2504782167011528</v>
      </c>
      <c r="O1584" s="8">
        <v>1.3384120125140211</v>
      </c>
      <c r="P1584" s="8">
        <f t="shared" si="196"/>
        <v>1.0526832269262534</v>
      </c>
      <c r="Q1584" s="8">
        <f t="shared" si="197"/>
        <v>1.294445114607587</v>
      </c>
      <c r="R1584" s="8">
        <f t="shared" si="198"/>
        <v>1.2296625247722983</v>
      </c>
      <c r="S1584" s="22">
        <f t="shared" si="199"/>
        <v>0.29826242886414089</v>
      </c>
      <c r="T1584" s="25"/>
      <c r="U1584" s="1" t="s">
        <v>4493</v>
      </c>
    </row>
    <row r="1585" spans="1:21">
      <c r="A1585" s="6" t="s">
        <v>4494</v>
      </c>
      <c r="B1585" s="6" t="s">
        <v>4495</v>
      </c>
      <c r="C1585" s="7">
        <v>0.16730575597905098</v>
      </c>
      <c r="D1585" s="7">
        <v>0.1895833677213451</v>
      </c>
      <c r="E1585" s="7">
        <v>0.69444152570856565</v>
      </c>
      <c r="F1585" s="8">
        <v>0.27177532210587269</v>
      </c>
      <c r="G1585" s="8">
        <f t="shared" si="192"/>
        <v>0.17844456185019802</v>
      </c>
      <c r="H1585" s="8">
        <f t="shared" si="193"/>
        <v>0.4831084239072192</v>
      </c>
      <c r="I1585" s="8">
        <f t="shared" si="194"/>
        <v>2.7073306067616825</v>
      </c>
      <c r="J1585" s="22">
        <f t="shared" si="195"/>
        <v>1.4368710735935153</v>
      </c>
      <c r="K1585" s="8"/>
      <c r="L1585" s="8">
        <v>0.95602135623333495</v>
      </c>
      <c r="M1585" s="8">
        <v>1.0536808628813485</v>
      </c>
      <c r="N1585" s="8">
        <v>1.2083847433996453</v>
      </c>
      <c r="O1585" s="8">
        <v>1.2680117727999431</v>
      </c>
      <c r="P1585" s="8">
        <f t="shared" si="196"/>
        <v>1.0048511095573418</v>
      </c>
      <c r="Q1585" s="8">
        <f t="shared" si="197"/>
        <v>1.2381982580997941</v>
      </c>
      <c r="R1585" s="8">
        <f t="shared" si="198"/>
        <v>1.2322206208691422</v>
      </c>
      <c r="S1585" s="22">
        <f t="shared" si="199"/>
        <v>0.30126058406723055</v>
      </c>
      <c r="T1585" s="25"/>
      <c r="U1585" s="1" t="s">
        <v>4496</v>
      </c>
    </row>
    <row r="1586" spans="1:21">
      <c r="A1586" s="6" t="s">
        <v>4497</v>
      </c>
      <c r="B1586" s="6" t="s">
        <v>4498</v>
      </c>
      <c r="C1586" s="7">
        <v>1.4042494682996995</v>
      </c>
      <c r="D1586" s="7">
        <v>1.3052383908217602</v>
      </c>
      <c r="E1586" s="7">
        <v>1.2353571491327406</v>
      </c>
      <c r="F1586" s="8">
        <v>1.1210839645087911</v>
      </c>
      <c r="G1586" s="8">
        <f t="shared" si="192"/>
        <v>1.3547439295607298</v>
      </c>
      <c r="H1586" s="8">
        <f t="shared" si="193"/>
        <v>1.178220556820766</v>
      </c>
      <c r="I1586" s="8">
        <f t="shared" si="194"/>
        <v>0.86969982379090582</v>
      </c>
      <c r="J1586" s="22">
        <f t="shared" si="195"/>
        <v>-0.20141055307000325</v>
      </c>
      <c r="K1586" s="8"/>
      <c r="L1586" s="8">
        <v>1.1758791526684527</v>
      </c>
      <c r="M1586" s="8">
        <v>1.1024588710577867</v>
      </c>
      <c r="N1586" s="8">
        <v>0.97872197355785484</v>
      </c>
      <c r="O1586" s="8">
        <v>1.0180530722237227</v>
      </c>
      <c r="P1586" s="8">
        <f t="shared" si="196"/>
        <v>1.1391690118631197</v>
      </c>
      <c r="Q1586" s="8">
        <f t="shared" si="197"/>
        <v>0.9983875228907888</v>
      </c>
      <c r="R1586" s="8">
        <f t="shared" si="198"/>
        <v>0.87641738187551144</v>
      </c>
      <c r="S1586" s="22">
        <f t="shared" si="199"/>
        <v>-0.1903099974865112</v>
      </c>
      <c r="T1586" s="25"/>
      <c r="U1586" s="1" t="s">
        <v>4499</v>
      </c>
    </row>
    <row r="1587" spans="1:21">
      <c r="A1587" s="6" t="s">
        <v>4500</v>
      </c>
      <c r="B1587" s="6" t="s">
        <v>80</v>
      </c>
      <c r="C1587" s="7">
        <v>1.1143932333147504</v>
      </c>
      <c r="D1587" s="7">
        <v>1.2574451875283654</v>
      </c>
      <c r="E1587" s="7">
        <v>1.1468417237014688</v>
      </c>
      <c r="F1587" s="8">
        <v>1.1980740594523089</v>
      </c>
      <c r="G1587" s="8">
        <f t="shared" si="192"/>
        <v>1.1859192104215579</v>
      </c>
      <c r="H1587" s="8">
        <f t="shared" si="193"/>
        <v>1.1724578915768888</v>
      </c>
      <c r="I1587" s="8">
        <f t="shared" si="194"/>
        <v>0.98864904225652606</v>
      </c>
      <c r="J1587" s="22">
        <f t="shared" si="195"/>
        <v>-1.6469621278994893E-2</v>
      </c>
      <c r="K1587" s="8"/>
      <c r="L1587" s="8">
        <v>1.2012610373761865</v>
      </c>
      <c r="M1587" s="8">
        <v>1.1133780621707492</v>
      </c>
      <c r="N1587" s="8">
        <v>1.0821043234951224</v>
      </c>
      <c r="O1587" s="8">
        <v>1.2369246418580995</v>
      </c>
      <c r="P1587" s="8">
        <f t="shared" si="196"/>
        <v>1.1573195497734678</v>
      </c>
      <c r="Q1587" s="8">
        <f t="shared" si="197"/>
        <v>1.1595144826766108</v>
      </c>
      <c r="R1587" s="8">
        <f t="shared" si="198"/>
        <v>1.0018965659947354</v>
      </c>
      <c r="S1587" s="22">
        <f t="shared" si="199"/>
        <v>2.7335749712606595E-3</v>
      </c>
      <c r="T1587" s="25"/>
      <c r="U1587" s="1">
        <v>0</v>
      </c>
    </row>
    <row r="1588" spans="1:21">
      <c r="A1588" s="6" t="s">
        <v>4501</v>
      </c>
      <c r="B1588" s="6" t="s">
        <v>80</v>
      </c>
      <c r="C1588" s="7">
        <v>1.2327446142752263</v>
      </c>
      <c r="D1588" s="7">
        <v>1.1996888749368206</v>
      </c>
      <c r="E1588" s="7">
        <v>1.1893963875595619</v>
      </c>
      <c r="F1588" s="8">
        <v>1.1497436206119735</v>
      </c>
      <c r="G1588" s="8">
        <f t="shared" si="192"/>
        <v>1.2162167446060235</v>
      </c>
      <c r="H1588" s="8">
        <f t="shared" si="193"/>
        <v>1.1695700040857677</v>
      </c>
      <c r="I1588" s="8">
        <f t="shared" si="194"/>
        <v>0.9616460300130415</v>
      </c>
      <c r="J1588" s="22">
        <f t="shared" si="195"/>
        <v>-5.6422141348454136E-2</v>
      </c>
      <c r="K1588" s="8"/>
      <c r="L1588" s="8">
        <v>1.220553047819543</v>
      </c>
      <c r="M1588" s="8">
        <v>1.3345022219679994</v>
      </c>
      <c r="N1588" s="8">
        <v>1.4916874601221763</v>
      </c>
      <c r="O1588" s="8">
        <v>1.6952579587636589</v>
      </c>
      <c r="P1588" s="8">
        <f t="shared" si="196"/>
        <v>1.2775276348937712</v>
      </c>
      <c r="Q1588" s="8">
        <f t="shared" si="197"/>
        <v>1.5934727094429175</v>
      </c>
      <c r="R1588" s="8">
        <f t="shared" si="198"/>
        <v>1.2473097770408839</v>
      </c>
      <c r="S1588" s="22">
        <f t="shared" si="199"/>
        <v>0.31881981183893537</v>
      </c>
      <c r="T1588" s="25"/>
      <c r="U1588" s="1">
        <v>0</v>
      </c>
    </row>
    <row r="1589" spans="1:21">
      <c r="A1589" s="6" t="s">
        <v>4502</v>
      </c>
      <c r="B1589" s="6" t="s">
        <v>4503</v>
      </c>
      <c r="C1589" s="7">
        <v>1.200389181686988</v>
      </c>
      <c r="D1589" s="7">
        <v>1.1026874742279205</v>
      </c>
      <c r="E1589" s="7">
        <v>1.0975036078538383</v>
      </c>
      <c r="F1589" s="8">
        <v>1.0684348490791904</v>
      </c>
      <c r="G1589" s="8">
        <f t="shared" si="192"/>
        <v>1.1515383279574543</v>
      </c>
      <c r="H1589" s="8">
        <f t="shared" si="193"/>
        <v>1.0829692284665144</v>
      </c>
      <c r="I1589" s="8">
        <f t="shared" si="194"/>
        <v>0.94045434891206403</v>
      </c>
      <c r="J1589" s="22">
        <f t="shared" si="195"/>
        <v>-8.8570180056103495E-2</v>
      </c>
      <c r="K1589" s="8"/>
      <c r="L1589" s="8">
        <v>1.3427061462028231</v>
      </c>
      <c r="M1589" s="8">
        <v>1.0530063182566096</v>
      </c>
      <c r="N1589" s="8">
        <v>0.90223267600766155</v>
      </c>
      <c r="O1589" s="8">
        <v>1.6113327984450125</v>
      </c>
      <c r="P1589" s="8">
        <f t="shared" si="196"/>
        <v>1.1978562322297164</v>
      </c>
      <c r="Q1589" s="8">
        <f t="shared" si="197"/>
        <v>1.2567827372263372</v>
      </c>
      <c r="R1589" s="8">
        <f t="shared" si="198"/>
        <v>1.0491933033457059</v>
      </c>
      <c r="S1589" s="22">
        <f t="shared" si="199"/>
        <v>6.928050449901485E-2</v>
      </c>
      <c r="T1589" s="25"/>
      <c r="U1589" s="1" t="s">
        <v>4504</v>
      </c>
    </row>
    <row r="1590" spans="1:21">
      <c r="A1590" s="6" t="s">
        <v>4505</v>
      </c>
      <c r="B1590" s="6" t="s">
        <v>4506</v>
      </c>
      <c r="C1590" s="7">
        <v>1.1750497969301295</v>
      </c>
      <c r="D1590" s="7">
        <v>1.0038252593310386</v>
      </c>
      <c r="E1590" s="7">
        <v>0.908472370526753</v>
      </c>
      <c r="F1590" s="8">
        <v>1.0005484096037423</v>
      </c>
      <c r="G1590" s="8">
        <f t="shared" si="192"/>
        <v>1.0894375281305839</v>
      </c>
      <c r="H1590" s="8">
        <f t="shared" si="193"/>
        <v>0.95451039006524763</v>
      </c>
      <c r="I1590" s="8">
        <f t="shared" si="194"/>
        <v>0.87614972443912043</v>
      </c>
      <c r="J1590" s="22">
        <f t="shared" si="195"/>
        <v>-0.19075066313377717</v>
      </c>
      <c r="K1590" s="8"/>
      <c r="L1590" s="8">
        <v>1.335460529377323</v>
      </c>
      <c r="M1590" s="8">
        <v>1.2173844114976922</v>
      </c>
      <c r="N1590" s="8">
        <v>0.85365953609839873</v>
      </c>
      <c r="O1590" s="8">
        <v>0.89330081948307705</v>
      </c>
      <c r="P1590" s="8">
        <f t="shared" si="196"/>
        <v>1.2764224704375076</v>
      </c>
      <c r="Q1590" s="8">
        <f t="shared" si="197"/>
        <v>0.87348017779073794</v>
      </c>
      <c r="R1590" s="8">
        <f t="shared" si="198"/>
        <v>0.68431902291044999</v>
      </c>
      <c r="S1590" s="22">
        <f t="shared" si="199"/>
        <v>-0.54725904247872492</v>
      </c>
      <c r="T1590" s="25"/>
      <c r="U1590" s="1" t="s">
        <v>4507</v>
      </c>
    </row>
    <row r="1591" spans="1:21">
      <c r="A1591" s="6" t="s">
        <v>4508</v>
      </c>
      <c r="B1591" s="6" t="s">
        <v>4509</v>
      </c>
      <c r="C1591" s="7">
        <v>1.0779966624821717</v>
      </c>
      <c r="D1591" s="7">
        <v>1.1070099905187518</v>
      </c>
      <c r="E1591" s="7">
        <v>1.0121643326125829</v>
      </c>
      <c r="F1591" s="8">
        <v>1.0170339890092774</v>
      </c>
      <c r="G1591" s="8">
        <f t="shared" si="192"/>
        <v>1.0925033265004618</v>
      </c>
      <c r="H1591" s="8">
        <f t="shared" si="193"/>
        <v>1.0145991608109302</v>
      </c>
      <c r="I1591" s="8">
        <f t="shared" si="194"/>
        <v>0.92869205630789564</v>
      </c>
      <c r="J1591" s="22">
        <f t="shared" si="195"/>
        <v>-0.10672780020254648</v>
      </c>
      <c r="K1591" s="8"/>
      <c r="L1591" s="8">
        <v>1.3490182786520319</v>
      </c>
      <c r="M1591" s="8">
        <v>1.1372400782708909</v>
      </c>
      <c r="N1591" s="8">
        <v>1.0557959026816801</v>
      </c>
      <c r="O1591" s="8">
        <v>1.0830029707986462</v>
      </c>
      <c r="P1591" s="8">
        <f t="shared" si="196"/>
        <v>1.2431291784614613</v>
      </c>
      <c r="Q1591" s="8">
        <f t="shared" si="197"/>
        <v>1.0693994367401631</v>
      </c>
      <c r="R1591" s="8">
        <f t="shared" si="198"/>
        <v>0.8602480379904589</v>
      </c>
      <c r="S1591" s="22">
        <f t="shared" si="199"/>
        <v>-0.2171753983461033</v>
      </c>
      <c r="T1591" s="25"/>
      <c r="U1591" s="1" t="s">
        <v>4510</v>
      </c>
    </row>
    <row r="1592" spans="1:21">
      <c r="A1592" s="6" t="s">
        <v>4511</v>
      </c>
      <c r="B1592" s="6" t="s">
        <v>4512</v>
      </c>
      <c r="C1592" s="7">
        <v>1.0532956985880184</v>
      </c>
      <c r="D1592" s="7">
        <v>1.0809521307266388</v>
      </c>
      <c r="E1592" s="7">
        <v>1.0291517060270599</v>
      </c>
      <c r="F1592" s="8">
        <v>1.0207644073255866</v>
      </c>
      <c r="G1592" s="8">
        <f t="shared" si="192"/>
        <v>1.0671239146573286</v>
      </c>
      <c r="H1592" s="8">
        <f t="shared" si="193"/>
        <v>1.0249580566763232</v>
      </c>
      <c r="I1592" s="8">
        <f t="shared" si="194"/>
        <v>0.96048644641747583</v>
      </c>
      <c r="J1592" s="22">
        <f t="shared" si="195"/>
        <v>-5.8162838960387001E-2</v>
      </c>
      <c r="K1592" s="8"/>
      <c r="L1592" s="8">
        <v>1.0628830915002219</v>
      </c>
      <c r="M1592" s="8">
        <v>1.0072637608914969</v>
      </c>
      <c r="N1592" s="8">
        <v>0.7636749930568657</v>
      </c>
      <c r="O1592" s="8">
        <v>0.92100672027377872</v>
      </c>
      <c r="P1592" s="8">
        <f t="shared" si="196"/>
        <v>1.0350734261958594</v>
      </c>
      <c r="Q1592" s="8">
        <f t="shared" si="197"/>
        <v>0.84234085666532221</v>
      </c>
      <c r="R1592" s="8">
        <f t="shared" si="198"/>
        <v>0.81379816672632088</v>
      </c>
      <c r="S1592" s="22">
        <f t="shared" si="199"/>
        <v>-0.29725706448535372</v>
      </c>
      <c r="T1592" s="25"/>
      <c r="U1592" s="1" t="s">
        <v>4513</v>
      </c>
    </row>
    <row r="1593" spans="1:21">
      <c r="A1593" s="6" t="s">
        <v>4514</v>
      </c>
      <c r="B1593" s="6" t="s">
        <v>4515</v>
      </c>
      <c r="C1593" s="7">
        <v>1.1468802990705567</v>
      </c>
      <c r="D1593" s="7">
        <v>1.162239989403697</v>
      </c>
      <c r="E1593" s="7">
        <v>0.95153723045609317</v>
      </c>
      <c r="F1593" s="8">
        <v>0.92352244525333693</v>
      </c>
      <c r="G1593" s="8">
        <f t="shared" si="192"/>
        <v>1.1545601442371267</v>
      </c>
      <c r="H1593" s="8">
        <f t="shared" si="193"/>
        <v>0.937529837854715</v>
      </c>
      <c r="I1593" s="8">
        <f t="shared" si="194"/>
        <v>0.81202338616511482</v>
      </c>
      <c r="J1593" s="22">
        <f t="shared" si="195"/>
        <v>-0.30040681745401543</v>
      </c>
      <c r="K1593" s="8"/>
      <c r="L1593" s="8">
        <v>0.39135221185094532</v>
      </c>
      <c r="M1593" s="8">
        <v>0.86910858993714246</v>
      </c>
      <c r="N1593" s="8">
        <v>0.44193275036802732</v>
      </c>
      <c r="O1593" s="8">
        <v>0.96768788280820306</v>
      </c>
      <c r="P1593" s="8">
        <f t="shared" si="196"/>
        <v>0.63023040089404392</v>
      </c>
      <c r="Q1593" s="8">
        <f t="shared" si="197"/>
        <v>0.70481031658811522</v>
      </c>
      <c r="R1593" s="8">
        <f t="shared" si="198"/>
        <v>1.1183375406649256</v>
      </c>
      <c r="S1593" s="22">
        <f t="shared" si="199"/>
        <v>0.16135569332129732</v>
      </c>
      <c r="T1593" s="25"/>
      <c r="U1593" s="1" t="s">
        <v>4516</v>
      </c>
    </row>
    <row r="1594" spans="1:21">
      <c r="A1594" s="6" t="s">
        <v>4517</v>
      </c>
      <c r="B1594" s="13" t="s">
        <v>4518</v>
      </c>
      <c r="C1594" s="14">
        <v>1.1904574591939752</v>
      </c>
      <c r="D1594" s="14">
        <v>1.075356765841945</v>
      </c>
      <c r="E1594" s="14">
        <v>0.95334806721601195</v>
      </c>
      <c r="F1594" s="8">
        <v>1.0914343127755113</v>
      </c>
      <c r="G1594" s="8">
        <f t="shared" si="192"/>
        <v>1.1329071125179602</v>
      </c>
      <c r="H1594" s="8">
        <f t="shared" si="193"/>
        <v>1.0223911899957616</v>
      </c>
      <c r="I1594" s="8">
        <f t="shared" si="194"/>
        <v>0.90244926410906745</v>
      </c>
      <c r="J1594" s="22">
        <f t="shared" si="195"/>
        <v>-0.14808226923189063</v>
      </c>
      <c r="K1594" s="8"/>
      <c r="L1594" s="8">
        <v>1.1137357641896224</v>
      </c>
      <c r="M1594" s="8">
        <v>1.3065086200413314</v>
      </c>
      <c r="N1594" s="8">
        <v>1.1467548316792666</v>
      </c>
      <c r="O1594" s="8">
        <v>1.0509569835452846</v>
      </c>
      <c r="P1594" s="8">
        <f t="shared" si="196"/>
        <v>1.210122192115477</v>
      </c>
      <c r="Q1594" s="8">
        <f t="shared" si="197"/>
        <v>1.0988559076122755</v>
      </c>
      <c r="R1594" s="8">
        <f t="shared" si="198"/>
        <v>0.90805367819204175</v>
      </c>
      <c r="S1594" s="22">
        <f t="shared" si="199"/>
        <v>-0.13915051215915986</v>
      </c>
      <c r="T1594" s="25"/>
      <c r="U1594" s="1" t="s">
        <v>4519</v>
      </c>
    </row>
    <row r="1595" spans="1:21">
      <c r="A1595" s="6" t="s">
        <v>4520</v>
      </c>
      <c r="B1595" s="6" t="s">
        <v>4521</v>
      </c>
      <c r="C1595" s="7">
        <v>1.1692447742403764</v>
      </c>
      <c r="D1595" s="7">
        <v>1.1813973299153795</v>
      </c>
      <c r="E1595" s="7">
        <v>1.0367687177949725</v>
      </c>
      <c r="F1595" s="8">
        <v>1.0880912840535881</v>
      </c>
      <c r="G1595" s="8">
        <f t="shared" si="192"/>
        <v>1.1753210520778778</v>
      </c>
      <c r="H1595" s="8">
        <f t="shared" si="193"/>
        <v>1.0624300009242802</v>
      </c>
      <c r="I1595" s="8">
        <f t="shared" si="194"/>
        <v>0.9039487542965261</v>
      </c>
      <c r="J1595" s="22">
        <f t="shared" si="195"/>
        <v>-0.1456871076648906</v>
      </c>
      <c r="K1595" s="8"/>
      <c r="L1595" s="8">
        <v>0.85115994462992972</v>
      </c>
      <c r="M1595" s="8">
        <v>1.0352152037791187</v>
      </c>
      <c r="N1595" s="8">
        <v>0.93341302660137093</v>
      </c>
      <c r="O1595" s="8">
        <v>1.1302897267929766</v>
      </c>
      <c r="P1595" s="8">
        <f t="shared" si="196"/>
        <v>0.94318757420452415</v>
      </c>
      <c r="Q1595" s="8">
        <f t="shared" si="197"/>
        <v>1.0318513766971737</v>
      </c>
      <c r="R1595" s="8">
        <f t="shared" si="198"/>
        <v>1.0940044217264289</v>
      </c>
      <c r="S1595" s="22">
        <f t="shared" si="199"/>
        <v>0.12961856919984741</v>
      </c>
      <c r="T1595" s="25"/>
      <c r="U1595" s="1" t="s">
        <v>4522</v>
      </c>
    </row>
    <row r="1596" spans="1:21">
      <c r="A1596" s="6" t="s">
        <v>4523</v>
      </c>
      <c r="B1596" s="6" t="s">
        <v>4524</v>
      </c>
      <c r="C1596" s="7">
        <v>1.088211396285456</v>
      </c>
      <c r="D1596" s="7">
        <v>1.1485746352107093</v>
      </c>
      <c r="E1596" s="7">
        <v>1.0478277565787626</v>
      </c>
      <c r="F1596" s="8">
        <v>1.0753504707271171</v>
      </c>
      <c r="G1596" s="8">
        <f t="shared" si="192"/>
        <v>1.1183930157480826</v>
      </c>
      <c r="H1596" s="8">
        <f t="shared" si="193"/>
        <v>1.0615891136529398</v>
      </c>
      <c r="I1596" s="8">
        <f t="shared" si="194"/>
        <v>0.94920935548122398</v>
      </c>
      <c r="J1596" s="22">
        <f t="shared" si="195"/>
        <v>-7.5201774970911753E-2</v>
      </c>
      <c r="K1596" s="8"/>
      <c r="L1596" s="8">
        <v>0.88303176833473751</v>
      </c>
      <c r="M1596" s="8">
        <v>0.88576141036038625</v>
      </c>
      <c r="N1596" s="8">
        <v>0.88907846560094039</v>
      </c>
      <c r="O1596" s="8">
        <v>0.95022660471424547</v>
      </c>
      <c r="P1596" s="8">
        <f t="shared" si="196"/>
        <v>0.88439658934756182</v>
      </c>
      <c r="Q1596" s="8">
        <f t="shared" si="197"/>
        <v>0.91965253515759293</v>
      </c>
      <c r="R1596" s="8">
        <f t="shared" si="198"/>
        <v>1.039864407252</v>
      </c>
      <c r="S1596" s="22">
        <f t="shared" si="199"/>
        <v>5.6395420925598606E-2</v>
      </c>
      <c r="T1596" s="25"/>
      <c r="U1596" s="1" t="s">
        <v>4525</v>
      </c>
    </row>
    <row r="1597" spans="1:21">
      <c r="A1597" s="6" t="s">
        <v>4526</v>
      </c>
      <c r="B1597" s="6" t="s">
        <v>4527</v>
      </c>
      <c r="C1597" s="7">
        <v>1.1851197342490889</v>
      </c>
      <c r="D1597" s="7">
        <v>1.0664145198830348</v>
      </c>
      <c r="E1597" s="7">
        <v>1.0892254969513522</v>
      </c>
      <c r="F1597" s="8">
        <v>1.0791239323316915</v>
      </c>
      <c r="G1597" s="8">
        <f t="shared" si="192"/>
        <v>1.1257671270660619</v>
      </c>
      <c r="H1597" s="8">
        <f t="shared" si="193"/>
        <v>1.0841747146415219</v>
      </c>
      <c r="I1597" s="8">
        <f t="shared" si="194"/>
        <v>0.96305415975954389</v>
      </c>
      <c r="J1597" s="22">
        <f t="shared" si="195"/>
        <v>-5.4311160972956532E-2</v>
      </c>
      <c r="K1597" s="8"/>
      <c r="L1597" s="8">
        <v>1.368088030910557</v>
      </c>
      <c r="M1597" s="8">
        <v>1.1715575360544872</v>
      </c>
      <c r="N1597" s="8">
        <v>1.0192564293296769</v>
      </c>
      <c r="O1597" s="8">
        <v>0.91015650411712867</v>
      </c>
      <c r="P1597" s="8">
        <f t="shared" si="196"/>
        <v>1.269822783482522</v>
      </c>
      <c r="Q1597" s="8">
        <f t="shared" si="197"/>
        <v>0.96470646672340277</v>
      </c>
      <c r="R1597" s="8">
        <f t="shared" si="198"/>
        <v>0.75971740251633402</v>
      </c>
      <c r="S1597" s="22">
        <f t="shared" si="199"/>
        <v>-0.39646522607687068</v>
      </c>
      <c r="T1597" s="25"/>
      <c r="U1597" s="1" t="s">
        <v>4528</v>
      </c>
    </row>
    <row r="1598" spans="1:21">
      <c r="A1598" s="6" t="s">
        <v>4529</v>
      </c>
      <c r="B1598" s="6" t="s">
        <v>4530</v>
      </c>
      <c r="C1598" s="7">
        <v>1.2042789417886253</v>
      </c>
      <c r="D1598" s="7">
        <v>1.0626282799033229</v>
      </c>
      <c r="E1598" s="7">
        <v>1.0639456409140722</v>
      </c>
      <c r="F1598" s="8">
        <v>0.96699616640109298</v>
      </c>
      <c r="G1598" s="8">
        <f t="shared" si="192"/>
        <v>1.1334536108459741</v>
      </c>
      <c r="H1598" s="8">
        <f t="shared" si="193"/>
        <v>1.0154709036575826</v>
      </c>
      <c r="I1598" s="8">
        <f t="shared" si="194"/>
        <v>0.89590865822878019</v>
      </c>
      <c r="J1598" s="22">
        <f t="shared" si="195"/>
        <v>-0.15857644411990934</v>
      </c>
      <c r="K1598" s="8"/>
      <c r="L1598" s="8">
        <v>1.2129073662613465</v>
      </c>
      <c r="M1598" s="8">
        <v>1.1483279055400382</v>
      </c>
      <c r="N1598" s="8">
        <v>0.97599369288090521</v>
      </c>
      <c r="O1598" s="8">
        <v>1.255344776263575</v>
      </c>
      <c r="P1598" s="8">
        <f t="shared" si="196"/>
        <v>1.1806176359006924</v>
      </c>
      <c r="Q1598" s="8">
        <f t="shared" si="197"/>
        <v>1.1156692345722401</v>
      </c>
      <c r="R1598" s="8">
        <f t="shared" si="198"/>
        <v>0.94498777643711618</v>
      </c>
      <c r="S1598" s="22">
        <f t="shared" si="199"/>
        <v>-8.1632426916201151E-2</v>
      </c>
      <c r="T1598" s="25"/>
      <c r="U1598" s="1" t="s">
        <v>4531</v>
      </c>
    </row>
    <row r="1599" spans="1:21">
      <c r="A1599" s="6" t="s">
        <v>4532</v>
      </c>
      <c r="B1599" s="6" t="s">
        <v>4533</v>
      </c>
      <c r="C1599" s="7">
        <v>1.1781365947096012</v>
      </c>
      <c r="D1599" s="7">
        <v>1.2149242911009177</v>
      </c>
      <c r="E1599" s="7">
        <v>1.2601986677003578</v>
      </c>
      <c r="F1599" s="8">
        <v>1.1079629354693117</v>
      </c>
      <c r="G1599" s="8">
        <f t="shared" si="192"/>
        <v>1.1965304429052595</v>
      </c>
      <c r="H1599" s="8">
        <f t="shared" si="193"/>
        <v>1.1840808015848348</v>
      </c>
      <c r="I1599" s="8">
        <f t="shared" si="194"/>
        <v>0.98959521557161878</v>
      </c>
      <c r="J1599" s="22">
        <f t="shared" si="195"/>
        <v>-1.5089569601156521E-2</v>
      </c>
      <c r="K1599" s="8"/>
      <c r="L1599" s="8">
        <v>1.22379801731808</v>
      </c>
      <c r="M1599" s="8">
        <v>1.0458392816187578</v>
      </c>
      <c r="N1599" s="8">
        <v>0.8927811322339434</v>
      </c>
      <c r="O1599" s="8">
        <v>0.95608067482667058</v>
      </c>
      <c r="P1599" s="8">
        <f t="shared" si="196"/>
        <v>1.1348186494684189</v>
      </c>
      <c r="Q1599" s="8">
        <f t="shared" si="197"/>
        <v>0.92443090353030699</v>
      </c>
      <c r="R1599" s="8">
        <f t="shared" si="198"/>
        <v>0.8146067250157869</v>
      </c>
      <c r="S1599" s="22">
        <f t="shared" si="199"/>
        <v>-0.29582437027488634</v>
      </c>
      <c r="T1599" s="25"/>
      <c r="U1599" s="1" t="s">
        <v>4534</v>
      </c>
    </row>
    <row r="1600" spans="1:21">
      <c r="A1600" s="6" t="s">
        <v>4535</v>
      </c>
      <c r="B1600" s="6" t="s">
        <v>4536</v>
      </c>
      <c r="C1600" s="7">
        <v>1.1295310475850815</v>
      </c>
      <c r="D1600" s="7">
        <v>1.0997282627762002</v>
      </c>
      <c r="E1600" s="7">
        <v>1.076758029576514</v>
      </c>
      <c r="F1600" s="8">
        <v>1.1417303951132864</v>
      </c>
      <c r="G1600" s="8">
        <f t="shared" si="192"/>
        <v>1.1146296551806407</v>
      </c>
      <c r="H1600" s="8">
        <f t="shared" si="193"/>
        <v>1.1092442123449002</v>
      </c>
      <c r="I1600" s="8">
        <f t="shared" si="194"/>
        <v>0.99516840162047571</v>
      </c>
      <c r="J1600" s="22">
        <f t="shared" si="195"/>
        <v>-6.9874168436497566E-3</v>
      </c>
      <c r="K1600" s="8"/>
      <c r="L1600" s="8">
        <v>1.3204358760827273</v>
      </c>
      <c r="M1600" s="8">
        <v>1.0182672700825517</v>
      </c>
      <c r="N1600" s="8">
        <v>0.97287565782153429</v>
      </c>
      <c r="O1600" s="8">
        <v>0.84717478428689985</v>
      </c>
      <c r="P1600" s="8">
        <f t="shared" si="196"/>
        <v>1.1693515730826394</v>
      </c>
      <c r="Q1600" s="8">
        <f t="shared" si="197"/>
        <v>0.91002522105421702</v>
      </c>
      <c r="R1600" s="8">
        <f t="shared" si="198"/>
        <v>0.7782306382461287</v>
      </c>
      <c r="S1600" s="22">
        <f t="shared" si="199"/>
        <v>-0.36173031584149956</v>
      </c>
      <c r="T1600" s="25"/>
      <c r="U1600" s="1" t="s">
        <v>4537</v>
      </c>
    </row>
    <row r="1601" spans="1:21">
      <c r="A1601" s="6" t="s">
        <v>4538</v>
      </c>
      <c r="B1601" s="6" t="s">
        <v>4539</v>
      </c>
      <c r="C1601" s="7">
        <v>1.250186008977999</v>
      </c>
      <c r="D1601" s="7">
        <v>1.3702441253539821</v>
      </c>
      <c r="E1601" s="7">
        <v>1.3771197983378169</v>
      </c>
      <c r="F1601" s="8">
        <v>1.3576785723393181</v>
      </c>
      <c r="G1601" s="8">
        <f t="shared" si="192"/>
        <v>1.3102150671659905</v>
      </c>
      <c r="H1601" s="8">
        <f t="shared" si="193"/>
        <v>1.3673991853385674</v>
      </c>
      <c r="I1601" s="8">
        <f t="shared" si="194"/>
        <v>1.0436448332839485</v>
      </c>
      <c r="J1601" s="22">
        <f t="shared" si="195"/>
        <v>6.1630826430813523E-2</v>
      </c>
      <c r="K1601" s="8"/>
      <c r="L1601" s="8">
        <v>0.97900285254489094</v>
      </c>
      <c r="M1601" s="8">
        <v>0.96856176304709729</v>
      </c>
      <c r="N1601" s="8">
        <v>1.3437756719932676</v>
      </c>
      <c r="O1601" s="8">
        <v>1.3617273607204039</v>
      </c>
      <c r="P1601" s="8">
        <f t="shared" si="196"/>
        <v>0.97378230779599417</v>
      </c>
      <c r="Q1601" s="8">
        <f t="shared" si="197"/>
        <v>1.3527515163568358</v>
      </c>
      <c r="R1601" s="8">
        <f t="shared" si="198"/>
        <v>1.3891724110479886</v>
      </c>
      <c r="S1601" s="22">
        <f t="shared" si="199"/>
        <v>0.47422566420617712</v>
      </c>
      <c r="T1601" s="25"/>
      <c r="U1601" s="1" t="s">
        <v>4540</v>
      </c>
    </row>
    <row r="1602" spans="1:21">
      <c r="A1602" s="6" t="s">
        <v>4541</v>
      </c>
      <c r="B1602" s="6" t="s">
        <v>4542</v>
      </c>
      <c r="C1602" s="7">
        <v>1.2196339507854439</v>
      </c>
      <c r="D1602" s="7">
        <v>1.1326478748864943</v>
      </c>
      <c r="E1602" s="7">
        <v>1.0886362564183627</v>
      </c>
      <c r="F1602" s="8">
        <v>1.0186481123192188</v>
      </c>
      <c r="G1602" s="8">
        <f t="shared" si="192"/>
        <v>1.1761409128359692</v>
      </c>
      <c r="H1602" s="8">
        <f t="shared" si="193"/>
        <v>1.0536421843687909</v>
      </c>
      <c r="I1602" s="8">
        <f t="shared" si="194"/>
        <v>0.89584689459377498</v>
      </c>
      <c r="J1602" s="22">
        <f t="shared" si="195"/>
        <v>-0.15867590644871218</v>
      </c>
      <c r="K1602" s="8"/>
      <c r="L1602" s="8">
        <v>1.1136024092787236</v>
      </c>
      <c r="M1602" s="8">
        <v>1.2901087538523646</v>
      </c>
      <c r="N1602" s="8">
        <v>0.84094379937190167</v>
      </c>
      <c r="O1602" s="8">
        <v>0.9722298337574985</v>
      </c>
      <c r="P1602" s="8">
        <f t="shared" si="196"/>
        <v>1.2018555815655441</v>
      </c>
      <c r="Q1602" s="8">
        <f t="shared" si="197"/>
        <v>0.90658681656470008</v>
      </c>
      <c r="R1602" s="8">
        <f t="shared" si="198"/>
        <v>0.75432259122495804</v>
      </c>
      <c r="S1602" s="22">
        <f t="shared" si="199"/>
        <v>-0.40674646100830358</v>
      </c>
      <c r="T1602" s="25"/>
      <c r="U1602" s="1" t="s">
        <v>4543</v>
      </c>
    </row>
    <row r="1603" spans="1:21">
      <c r="A1603" s="6" t="s">
        <v>4544</v>
      </c>
      <c r="B1603" s="6" t="s">
        <v>4545</v>
      </c>
      <c r="C1603" s="7">
        <v>1.072540467686474</v>
      </c>
      <c r="D1603" s="7">
        <v>1.1389152004501812</v>
      </c>
      <c r="E1603" s="7">
        <v>1.0301649123093954</v>
      </c>
      <c r="F1603" s="8">
        <v>1.0739587377398787</v>
      </c>
      <c r="G1603" s="8">
        <f t="shared" si="192"/>
        <v>1.1057278340683276</v>
      </c>
      <c r="H1603" s="8">
        <f t="shared" si="193"/>
        <v>1.0520618250246372</v>
      </c>
      <c r="I1603" s="8">
        <f t="shared" si="194"/>
        <v>0.95146544439761815</v>
      </c>
      <c r="J1603" s="22">
        <f t="shared" si="195"/>
        <v>-7.1776833660237307E-2</v>
      </c>
      <c r="K1603" s="8"/>
      <c r="L1603" s="8">
        <v>0.78603829647436008</v>
      </c>
      <c r="M1603" s="8">
        <v>1.0069686476181736</v>
      </c>
      <c r="N1603" s="8">
        <v>0.82257662410029475</v>
      </c>
      <c r="O1603" s="8">
        <v>0.94593698437324425</v>
      </c>
      <c r="P1603" s="8">
        <f t="shared" si="196"/>
        <v>0.89650347204626679</v>
      </c>
      <c r="Q1603" s="8">
        <f t="shared" si="197"/>
        <v>0.88425680423676956</v>
      </c>
      <c r="R1603" s="8">
        <f t="shared" si="198"/>
        <v>0.98633951993343172</v>
      </c>
      <c r="S1603" s="22">
        <f t="shared" si="199"/>
        <v>-1.9843755170101885E-2</v>
      </c>
      <c r="T1603" s="25"/>
      <c r="U1603" s="1" t="s">
        <v>4546</v>
      </c>
    </row>
    <row r="1604" spans="1:21">
      <c r="A1604" s="6" t="s">
        <v>4547</v>
      </c>
      <c r="B1604" s="6" t="s">
        <v>4548</v>
      </c>
      <c r="C1604" s="7">
        <v>1.1722525921193074</v>
      </c>
      <c r="D1604" s="7">
        <v>1.1140849611293058</v>
      </c>
      <c r="E1604" s="7">
        <v>1.1047325831731969</v>
      </c>
      <c r="F1604" s="8">
        <v>1.1473762397573928</v>
      </c>
      <c r="G1604" s="8">
        <f t="shared" si="192"/>
        <v>1.1431687766243066</v>
      </c>
      <c r="H1604" s="8">
        <f t="shared" si="193"/>
        <v>1.1260544114652948</v>
      </c>
      <c r="I1604" s="8">
        <f t="shared" si="194"/>
        <v>0.98502901276787036</v>
      </c>
      <c r="J1604" s="22">
        <f t="shared" si="195"/>
        <v>-2.1761876958036695E-2</v>
      </c>
      <c r="K1604" s="8"/>
      <c r="L1604" s="8">
        <v>1.0386569493536106</v>
      </c>
      <c r="M1604" s="8">
        <v>0.7844532395323992</v>
      </c>
      <c r="N1604" s="8">
        <v>0.88196544812175048</v>
      </c>
      <c r="O1604" s="8">
        <v>1.0432356669314824</v>
      </c>
      <c r="P1604" s="8">
        <f t="shared" si="196"/>
        <v>0.91155509444300487</v>
      </c>
      <c r="Q1604" s="8">
        <f t="shared" si="197"/>
        <v>0.96260055752661644</v>
      </c>
      <c r="R1604" s="8">
        <f t="shared" si="198"/>
        <v>1.0559982203980796</v>
      </c>
      <c r="S1604" s="22">
        <f t="shared" si="199"/>
        <v>7.8607403422664951E-2</v>
      </c>
      <c r="T1604" s="25"/>
      <c r="U1604" s="1" t="s">
        <v>4549</v>
      </c>
    </row>
    <row r="1605" spans="1:21">
      <c r="A1605" s="6" t="s">
        <v>4550</v>
      </c>
      <c r="B1605" s="6" t="s">
        <v>4551</v>
      </c>
      <c r="C1605" s="7">
        <v>1.1034281904563279</v>
      </c>
      <c r="D1605" s="7">
        <v>1.1421974699206483</v>
      </c>
      <c r="E1605" s="7">
        <v>1.0606617028216796</v>
      </c>
      <c r="F1605" s="8">
        <v>1.178790666309542</v>
      </c>
      <c r="G1605" s="8">
        <f t="shared" si="192"/>
        <v>1.1228128301884881</v>
      </c>
      <c r="H1605" s="8">
        <f t="shared" si="193"/>
        <v>1.1197261845656108</v>
      </c>
      <c r="I1605" s="8">
        <f t="shared" si="194"/>
        <v>0.99725097047353906</v>
      </c>
      <c r="J1605" s="22">
        <f t="shared" si="195"/>
        <v>-3.9714726173595855E-3</v>
      </c>
      <c r="K1605" s="8"/>
      <c r="L1605" s="8">
        <v>1.0519479888065222</v>
      </c>
      <c r="M1605" s="8">
        <v>0.84010317107336585</v>
      </c>
      <c r="N1605" s="8">
        <v>0.90968672857147026</v>
      </c>
      <c r="O1605" s="8">
        <v>0.93337092008019384</v>
      </c>
      <c r="P1605" s="8">
        <f t="shared" si="196"/>
        <v>0.94602557993994396</v>
      </c>
      <c r="Q1605" s="8">
        <f t="shared" si="197"/>
        <v>0.92152882432583205</v>
      </c>
      <c r="R1605" s="8">
        <f t="shared" si="198"/>
        <v>0.97410560968587445</v>
      </c>
      <c r="S1605" s="22">
        <f t="shared" si="199"/>
        <v>-3.7849901316469793E-2</v>
      </c>
      <c r="T1605" s="25"/>
      <c r="U1605" s="1" t="s">
        <v>4552</v>
      </c>
    </row>
    <row r="1606" spans="1:21">
      <c r="A1606" s="6" t="s">
        <v>4553</v>
      </c>
      <c r="B1606" s="13" t="s">
        <v>4554</v>
      </c>
      <c r="C1606" s="14">
        <v>1.2236816706881628</v>
      </c>
      <c r="D1606" s="14">
        <v>1.2175152164112666</v>
      </c>
      <c r="E1606" s="14">
        <v>1.1762821927704672</v>
      </c>
      <c r="F1606" s="8">
        <v>1.2352347649878495</v>
      </c>
      <c r="G1606" s="8">
        <f t="shared" ref="G1606:G1669" si="200">AVERAGE(C1606:D1606)</f>
        <v>1.2205984435497146</v>
      </c>
      <c r="H1606" s="8">
        <f t="shared" ref="H1606:H1669" si="201">AVERAGE(E1606:F1606)</f>
        <v>1.2057584788791584</v>
      </c>
      <c r="I1606" s="8">
        <f t="shared" ref="I1606:I1669" si="202">H1606/G1606</f>
        <v>0.98784205833705729</v>
      </c>
      <c r="J1606" s="22">
        <f t="shared" ref="J1606:J1669" si="203">LOG(I1606,2)</f>
        <v>-1.7647700717893677E-2</v>
      </c>
      <c r="K1606" s="8"/>
      <c r="L1606" s="8">
        <v>0.11175141533317544</v>
      </c>
      <c r="M1606" s="8">
        <v>9.2834203979703503E-2</v>
      </c>
      <c r="N1606" s="8">
        <v>0.12696249007376026</v>
      </c>
      <c r="O1606" s="8">
        <v>0.1937899071699348</v>
      </c>
      <c r="P1606" s="8">
        <f t="shared" ref="P1606:P1669" si="204">AVERAGE(L1606:M1606)</f>
        <v>0.10229280965643947</v>
      </c>
      <c r="Q1606" s="8">
        <f t="shared" ref="Q1606:Q1669" si="205">AVERAGE(N1606:O1606)</f>
        <v>0.16037619862184754</v>
      </c>
      <c r="R1606" s="8">
        <f t="shared" ref="R1606:R1669" si="206">Q1606/P1606</f>
        <v>1.5678149731196835</v>
      </c>
      <c r="S1606" s="22">
        <f t="shared" ref="S1606:S1669" si="207">LOG(R1606,2)</f>
        <v>0.64875530874301124</v>
      </c>
      <c r="T1606" s="25"/>
      <c r="U1606" s="1" t="s">
        <v>4555</v>
      </c>
    </row>
    <row r="1607" spans="1:21">
      <c r="A1607" s="6" t="s">
        <v>4556</v>
      </c>
      <c r="B1607" s="6" t="s">
        <v>4557</v>
      </c>
      <c r="C1607" s="7">
        <v>1.0573763267826293</v>
      </c>
      <c r="D1607" s="7">
        <v>1.0029723861615474</v>
      </c>
      <c r="E1607" s="7">
        <v>0.99305713045137556</v>
      </c>
      <c r="F1607" s="8">
        <v>0.95396122393814364</v>
      </c>
      <c r="G1607" s="8">
        <f t="shared" si="200"/>
        <v>1.0301743564720884</v>
      </c>
      <c r="H1607" s="8">
        <f t="shared" si="201"/>
        <v>0.9735091771947596</v>
      </c>
      <c r="I1607" s="8">
        <f t="shared" si="202"/>
        <v>0.94499457405309217</v>
      </c>
      <c r="J1607" s="22">
        <f t="shared" si="203"/>
        <v>-8.162204916123858E-2</v>
      </c>
      <c r="K1607" s="8"/>
      <c r="L1607" s="8">
        <v>0.5181282804787164</v>
      </c>
      <c r="M1607" s="8">
        <v>0.44933103815425973</v>
      </c>
      <c r="N1607" s="8">
        <v>0.52543762680180517</v>
      </c>
      <c r="O1607" s="8">
        <v>0.625527577961287</v>
      </c>
      <c r="P1607" s="8">
        <f t="shared" si="204"/>
        <v>0.48372965931648804</v>
      </c>
      <c r="Q1607" s="8">
        <f t="shared" si="205"/>
        <v>0.57548260238154603</v>
      </c>
      <c r="R1607" s="8">
        <f t="shared" si="206"/>
        <v>1.1896781421149683</v>
      </c>
      <c r="S1607" s="22">
        <f t="shared" si="207"/>
        <v>0.25057131674242017</v>
      </c>
      <c r="T1607" s="25"/>
      <c r="U1607" s="1" t="s">
        <v>4558</v>
      </c>
    </row>
    <row r="1608" spans="1:21">
      <c r="A1608" s="6" t="s">
        <v>4559</v>
      </c>
      <c r="B1608" s="13" t="s">
        <v>4560</v>
      </c>
      <c r="C1608" s="14">
        <v>1.1188029444282817</v>
      </c>
      <c r="D1608" s="14">
        <v>1.0871613058469514</v>
      </c>
      <c r="E1608" s="14">
        <v>1.0262414326629046</v>
      </c>
      <c r="F1608" s="8">
        <v>1.0749200378444661</v>
      </c>
      <c r="G1608" s="8">
        <f t="shared" si="200"/>
        <v>1.1029821251376166</v>
      </c>
      <c r="H1608" s="8">
        <f t="shared" si="201"/>
        <v>1.0505807352536853</v>
      </c>
      <c r="I1608" s="8">
        <f t="shared" si="202"/>
        <v>0.95249117035564534</v>
      </c>
      <c r="J1608" s="22">
        <f t="shared" si="203"/>
        <v>-7.0222376080002466E-2</v>
      </c>
      <c r="K1608" s="8"/>
      <c r="L1608" s="8">
        <v>1.080397036464928</v>
      </c>
      <c r="M1608" s="8">
        <v>0.78858482535892549</v>
      </c>
      <c r="N1608" s="8">
        <v>0.84411055372907529</v>
      </c>
      <c r="O1608" s="8">
        <v>1.0466673632042833</v>
      </c>
      <c r="P1608" s="8">
        <f t="shared" si="204"/>
        <v>0.9344909309119267</v>
      </c>
      <c r="Q1608" s="8">
        <f t="shared" si="205"/>
        <v>0.94538895846667925</v>
      </c>
      <c r="R1608" s="8">
        <f t="shared" si="206"/>
        <v>1.0116619939201739</v>
      </c>
      <c r="S1608" s="22">
        <f t="shared" si="207"/>
        <v>1.6727352138290939E-2</v>
      </c>
      <c r="T1608" s="25"/>
      <c r="U1608" s="1" t="s">
        <v>4561</v>
      </c>
    </row>
    <row r="1609" spans="1:21">
      <c r="A1609" s="6" t="s">
        <v>4562</v>
      </c>
      <c r="B1609" s="6" t="s">
        <v>4563</v>
      </c>
      <c r="C1609" s="7">
        <v>0.35589001349548482</v>
      </c>
      <c r="D1609" s="7">
        <v>0.30838472353527641</v>
      </c>
      <c r="E1609" s="7">
        <v>0.2762532079298437</v>
      </c>
      <c r="F1609" s="8">
        <v>0.25798712209828406</v>
      </c>
      <c r="G1609" s="8">
        <f t="shared" si="200"/>
        <v>0.33213736851538062</v>
      </c>
      <c r="H1609" s="8">
        <f t="shared" si="201"/>
        <v>0.26712016501406388</v>
      </c>
      <c r="I1609" s="8">
        <f t="shared" si="202"/>
        <v>0.80424604496646412</v>
      </c>
      <c r="J1609" s="22">
        <f t="shared" si="203"/>
        <v>-0.31429115872031987</v>
      </c>
      <c r="K1609" s="8"/>
      <c r="L1609" s="8">
        <v>0.80484133891108767</v>
      </c>
      <c r="M1609" s="8">
        <v>0.82775057263283314</v>
      </c>
      <c r="N1609" s="8">
        <v>0.50122413579387781</v>
      </c>
      <c r="O1609" s="8">
        <v>0.70607150812879116</v>
      </c>
      <c r="P1609" s="8">
        <f t="shared" si="204"/>
        <v>0.81629595577196046</v>
      </c>
      <c r="Q1609" s="8">
        <f t="shared" si="205"/>
        <v>0.60364782196133449</v>
      </c>
      <c r="R1609" s="8">
        <f t="shared" si="206"/>
        <v>0.7394962791289007</v>
      </c>
      <c r="S1609" s="22">
        <f t="shared" si="207"/>
        <v>-0.43538520665130576</v>
      </c>
      <c r="T1609" s="25"/>
      <c r="U1609" s="1" t="s">
        <v>4564</v>
      </c>
    </row>
    <row r="1610" spans="1:21">
      <c r="A1610" s="6" t="s">
        <v>4565</v>
      </c>
      <c r="B1610" s="13" t="s">
        <v>4566</v>
      </c>
      <c r="C1610" s="14">
        <v>1.0944573900865622</v>
      </c>
      <c r="D1610" s="14">
        <v>1.1250301668044458</v>
      </c>
      <c r="E1610" s="14">
        <v>1.0876230501360271</v>
      </c>
      <c r="F1610" s="8">
        <v>1.0377162890206604</v>
      </c>
      <c r="G1610" s="8">
        <f t="shared" si="200"/>
        <v>1.109743778445504</v>
      </c>
      <c r="H1610" s="8">
        <f t="shared" si="201"/>
        <v>1.0626696695783437</v>
      </c>
      <c r="I1610" s="8">
        <f t="shared" si="202"/>
        <v>0.95758110134836683</v>
      </c>
      <c r="J1610" s="22">
        <f t="shared" si="203"/>
        <v>-6.2533415099720852E-2</v>
      </c>
      <c r="K1610" s="8"/>
      <c r="L1610" s="8">
        <v>0.88160931595181724</v>
      </c>
      <c r="M1610" s="8">
        <v>0.78436892145430681</v>
      </c>
      <c r="N1610" s="8">
        <v>0.90949185138025956</v>
      </c>
      <c r="O1610" s="8">
        <v>0.89506713374113644</v>
      </c>
      <c r="P1610" s="8">
        <f t="shared" si="204"/>
        <v>0.83298911870306203</v>
      </c>
      <c r="Q1610" s="8">
        <f t="shared" si="205"/>
        <v>0.90227949256069806</v>
      </c>
      <c r="R1610" s="8">
        <f t="shared" si="206"/>
        <v>1.0831828079165295</v>
      </c>
      <c r="S1610" s="22">
        <f t="shared" si="207"/>
        <v>0.11527674601003943</v>
      </c>
      <c r="T1610" s="25"/>
      <c r="U1610" s="1" t="s">
        <v>4567</v>
      </c>
    </row>
    <row r="1611" spans="1:21">
      <c r="A1611" s="6" t="s">
        <v>4568</v>
      </c>
      <c r="B1611" s="6" t="s">
        <v>80</v>
      </c>
      <c r="C1611" s="7">
        <v>1.0741200656972911</v>
      </c>
      <c r="D1611" s="7">
        <v>1.1777984635865406</v>
      </c>
      <c r="E1611" s="7">
        <v>1.0986964606401342</v>
      </c>
      <c r="F1611" s="8">
        <v>1.0956669027882466</v>
      </c>
      <c r="G1611" s="8">
        <f t="shared" si="200"/>
        <v>1.1259592646419159</v>
      </c>
      <c r="H1611" s="8">
        <f t="shared" si="201"/>
        <v>1.0971816817141904</v>
      </c>
      <c r="I1611" s="8">
        <f t="shared" si="202"/>
        <v>0.97444171931310719</v>
      </c>
      <c r="J1611" s="22">
        <f t="shared" si="203"/>
        <v>-3.7352193418902807E-2</v>
      </c>
      <c r="K1611" s="8"/>
      <c r="L1611" s="8">
        <v>1.0918211071652566</v>
      </c>
      <c r="M1611" s="8">
        <v>1.0532592724908867</v>
      </c>
      <c r="N1611" s="8">
        <v>1.2775174269816352</v>
      </c>
      <c r="O1611" s="8">
        <v>1.3626862170319218</v>
      </c>
      <c r="P1611" s="8">
        <f t="shared" si="204"/>
        <v>1.0725401898280715</v>
      </c>
      <c r="Q1611" s="8">
        <f t="shared" si="205"/>
        <v>1.3201018220067784</v>
      </c>
      <c r="R1611" s="8">
        <f t="shared" si="206"/>
        <v>1.2308180472177841</v>
      </c>
      <c r="S1611" s="22">
        <f t="shared" si="207"/>
        <v>0.29961750286332295</v>
      </c>
      <c r="T1611" s="25"/>
      <c r="U1611" s="1">
        <v>0</v>
      </c>
    </row>
    <row r="1612" spans="1:21">
      <c r="A1612" s="6" t="s">
        <v>4569</v>
      </c>
      <c r="B1612" s="6" t="s">
        <v>80</v>
      </c>
      <c r="C1612" s="7">
        <v>1.1112537822682513</v>
      </c>
      <c r="D1612" s="7">
        <v>1.2256175115214352</v>
      </c>
      <c r="E1612" s="7">
        <v>1.1101291641521616</v>
      </c>
      <c r="F1612" s="8">
        <v>1.1129631307894414</v>
      </c>
      <c r="G1612" s="8">
        <f t="shared" si="200"/>
        <v>1.1684356468948431</v>
      </c>
      <c r="H1612" s="8">
        <f t="shared" si="201"/>
        <v>1.1115461474708015</v>
      </c>
      <c r="I1612" s="8">
        <f t="shared" si="202"/>
        <v>0.95131139693039368</v>
      </c>
      <c r="J1612" s="22">
        <f t="shared" si="203"/>
        <v>-7.2010432800908672E-2</v>
      </c>
      <c r="K1612" s="8"/>
      <c r="L1612" s="8">
        <v>1.2747840449183792</v>
      </c>
      <c r="M1612" s="8">
        <v>1.3337012002261217</v>
      </c>
      <c r="N1612" s="8">
        <v>1.1643424981860309</v>
      </c>
      <c r="O1612" s="8">
        <v>1.5173144137945989</v>
      </c>
      <c r="P1612" s="8">
        <f t="shared" si="204"/>
        <v>1.3042426225722505</v>
      </c>
      <c r="Q1612" s="8">
        <f t="shared" si="205"/>
        <v>1.340828455990315</v>
      </c>
      <c r="R1612" s="8">
        <f t="shared" si="206"/>
        <v>1.0280514014684701</v>
      </c>
      <c r="S1612" s="22">
        <f t="shared" si="207"/>
        <v>3.991239954127445E-2</v>
      </c>
      <c r="T1612" s="25"/>
      <c r="U1612" s="1">
        <v>0</v>
      </c>
    </row>
    <row r="1613" spans="1:21">
      <c r="A1613" s="6" t="s">
        <v>4570</v>
      </c>
      <c r="B1613" s="6" t="s">
        <v>4571</v>
      </c>
      <c r="C1613" s="7">
        <v>0.8697990629980914</v>
      </c>
      <c r="D1613" s="7">
        <v>0.77499034233196307</v>
      </c>
      <c r="E1613" s="7">
        <v>1.2076197289212851</v>
      </c>
      <c r="F1613" s="8">
        <v>1.174522206889919</v>
      </c>
      <c r="G1613" s="8">
        <f t="shared" si="200"/>
        <v>0.82239470266502723</v>
      </c>
      <c r="H1613" s="8">
        <f t="shared" si="201"/>
        <v>1.1910709679056022</v>
      </c>
      <c r="I1613" s="8">
        <f t="shared" si="202"/>
        <v>1.4482960116910455</v>
      </c>
      <c r="J1613" s="22">
        <f t="shared" si="203"/>
        <v>0.53435649948860009</v>
      </c>
      <c r="K1613" s="8"/>
      <c r="L1613" s="8">
        <v>0.52755202751556329</v>
      </c>
      <c r="M1613" s="8">
        <v>0.54667625931190522</v>
      </c>
      <c r="N1613" s="8">
        <v>0.52953004781722957</v>
      </c>
      <c r="O1613" s="8">
        <v>0.56335331607759953</v>
      </c>
      <c r="P1613" s="8">
        <f t="shared" si="204"/>
        <v>0.53711414341373431</v>
      </c>
      <c r="Q1613" s="8">
        <f t="shared" si="205"/>
        <v>0.54644168194741449</v>
      </c>
      <c r="R1613" s="8">
        <f t="shared" si="206"/>
        <v>1.0173660266594307</v>
      </c>
      <c r="S1613" s="22">
        <f t="shared" si="207"/>
        <v>2.4838823582580192E-2</v>
      </c>
      <c r="T1613" s="25"/>
      <c r="U1613" s="1" t="s">
        <v>4572</v>
      </c>
    </row>
    <row r="1614" spans="1:21">
      <c r="A1614" s="6" t="s">
        <v>4573</v>
      </c>
      <c r="B1614" s="6" t="s">
        <v>4574</v>
      </c>
      <c r="C1614" s="7">
        <v>1.087480832205453</v>
      </c>
      <c r="D1614" s="7">
        <v>1.0907407886946654</v>
      </c>
      <c r="E1614" s="7">
        <v>0.99082232794211067</v>
      </c>
      <c r="F1614" s="8">
        <v>0.99067714882827818</v>
      </c>
      <c r="G1614" s="8">
        <f t="shared" si="200"/>
        <v>1.0891108104500593</v>
      </c>
      <c r="H1614" s="8">
        <f t="shared" si="201"/>
        <v>0.99074973838519442</v>
      </c>
      <c r="I1614" s="8">
        <f t="shared" si="202"/>
        <v>0.90968680953206349</v>
      </c>
      <c r="J1614" s="22">
        <f t="shared" si="203"/>
        <v>-0.13655816068189608</v>
      </c>
      <c r="K1614" s="8"/>
      <c r="L1614" s="8">
        <v>1.2510024191414306</v>
      </c>
      <c r="M1614" s="8">
        <v>1.1722742397182722</v>
      </c>
      <c r="N1614" s="8">
        <v>0.88206288671735589</v>
      </c>
      <c r="O1614" s="8">
        <v>0.83945346767309781</v>
      </c>
      <c r="P1614" s="8">
        <f t="shared" si="204"/>
        <v>1.2116383294298514</v>
      </c>
      <c r="Q1614" s="8">
        <f t="shared" si="205"/>
        <v>0.86075817719522685</v>
      </c>
      <c r="R1614" s="8">
        <f t="shared" si="206"/>
        <v>0.71040850746300277</v>
      </c>
      <c r="S1614" s="22">
        <f t="shared" si="207"/>
        <v>-0.49327923617063718</v>
      </c>
      <c r="T1614" s="25"/>
      <c r="U1614" s="1" t="s">
        <v>4575</v>
      </c>
    </row>
    <row r="1615" spans="1:21">
      <c r="A1615" s="6" t="s">
        <v>4576</v>
      </c>
      <c r="B1615" s="13" t="s">
        <v>4577</v>
      </c>
      <c r="C1615" s="14">
        <v>1.1443726872283844</v>
      </c>
      <c r="D1615" s="14">
        <v>1.1407953981192875</v>
      </c>
      <c r="E1615" s="14">
        <v>0.97070910535872612</v>
      </c>
      <c r="F1615" s="8">
        <v>1.0456362540614397</v>
      </c>
      <c r="G1615" s="8">
        <f t="shared" si="200"/>
        <v>1.1425840426738358</v>
      </c>
      <c r="H1615" s="8">
        <f t="shared" si="201"/>
        <v>1.008172679710083</v>
      </c>
      <c r="I1615" s="8">
        <f t="shared" si="202"/>
        <v>0.88236194630444165</v>
      </c>
      <c r="J1615" s="22">
        <f t="shared" si="203"/>
        <v>-0.18055752184302631</v>
      </c>
      <c r="K1615" s="8"/>
      <c r="L1615" s="8">
        <v>0.91059178325381818</v>
      </c>
      <c r="M1615" s="8">
        <v>1.085595255439312</v>
      </c>
      <c r="N1615" s="8">
        <v>1.1434906387264876</v>
      </c>
      <c r="O1615" s="8">
        <v>0.90107260221853802</v>
      </c>
      <c r="P1615" s="8">
        <f t="shared" si="204"/>
        <v>0.99809351934656509</v>
      </c>
      <c r="Q1615" s="8">
        <f t="shared" si="205"/>
        <v>1.0222816204725129</v>
      </c>
      <c r="R1615" s="8">
        <f t="shared" si="206"/>
        <v>1.0242343033564463</v>
      </c>
      <c r="S1615" s="22">
        <f t="shared" si="207"/>
        <v>3.4545783329967578E-2</v>
      </c>
      <c r="T1615" s="25"/>
      <c r="U1615" s="1" t="s">
        <v>4578</v>
      </c>
    </row>
    <row r="1616" spans="1:21">
      <c r="A1616" s="6" t="s">
        <v>4579</v>
      </c>
      <c r="B1616" s="6" t="s">
        <v>4580</v>
      </c>
      <c r="C1616" s="7">
        <v>1.1186844745774704</v>
      </c>
      <c r="D1616" s="7">
        <v>1.1547902714913969</v>
      </c>
      <c r="E1616" s="7">
        <v>1.0123727225571768</v>
      </c>
      <c r="F1616" s="8">
        <v>1.1993725319816395</v>
      </c>
      <c r="G1616" s="8">
        <f t="shared" si="200"/>
        <v>1.1367373730344337</v>
      </c>
      <c r="H1616" s="8">
        <f t="shared" si="201"/>
        <v>1.1058726272694082</v>
      </c>
      <c r="I1616" s="8">
        <f t="shared" si="202"/>
        <v>0.97284795371631494</v>
      </c>
      <c r="J1616" s="22">
        <f t="shared" si="203"/>
        <v>-3.9713750888332768E-2</v>
      </c>
      <c r="K1616" s="8"/>
      <c r="L1616" s="8">
        <v>1.1433850060461173</v>
      </c>
      <c r="M1616" s="8">
        <v>0.67530348744182134</v>
      </c>
      <c r="N1616" s="8">
        <v>0.64855129234915443</v>
      </c>
      <c r="O1616" s="8">
        <v>0.77440263685485666</v>
      </c>
      <c r="P1616" s="8">
        <f t="shared" si="204"/>
        <v>0.9093442467439693</v>
      </c>
      <c r="Q1616" s="8">
        <f t="shared" si="205"/>
        <v>0.7114769646020056</v>
      </c>
      <c r="R1616" s="8">
        <f t="shared" si="206"/>
        <v>0.78240662669780514</v>
      </c>
      <c r="S1616" s="22">
        <f t="shared" si="207"/>
        <v>-0.35400950544643001</v>
      </c>
      <c r="T1616" s="25"/>
      <c r="U1616" s="1" t="s">
        <v>4581</v>
      </c>
    </row>
    <row r="1617" spans="1:21">
      <c r="A1617" s="6" t="s">
        <v>4582</v>
      </c>
      <c r="B1617" s="6" t="s">
        <v>4583</v>
      </c>
      <c r="C1617" s="7">
        <v>1.1422665565472949</v>
      </c>
      <c r="D1617" s="7">
        <v>1.0612520527434617</v>
      </c>
      <c r="E1617" s="7">
        <v>1.189116139013384</v>
      </c>
      <c r="F1617" s="8">
        <v>1.2379823615554386</v>
      </c>
      <c r="G1617" s="8">
        <f t="shared" si="200"/>
        <v>1.1017593046453782</v>
      </c>
      <c r="H1617" s="8">
        <f t="shared" si="201"/>
        <v>1.2135492502844114</v>
      </c>
      <c r="I1617" s="8">
        <f t="shared" si="202"/>
        <v>1.101464943538657</v>
      </c>
      <c r="J1617" s="22">
        <f t="shared" si="203"/>
        <v>0.13942357893551596</v>
      </c>
      <c r="K1617" s="8"/>
      <c r="L1617" s="8">
        <v>1.1292049338538805</v>
      </c>
      <c r="M1617" s="8">
        <v>1.1174253299191832</v>
      </c>
      <c r="N1617" s="8">
        <v>1.2528654622934836</v>
      </c>
      <c r="O1617" s="8">
        <v>1.1581974920703135</v>
      </c>
      <c r="P1617" s="8">
        <f t="shared" si="204"/>
        <v>1.1233151318865318</v>
      </c>
      <c r="Q1617" s="8">
        <f t="shared" si="205"/>
        <v>1.2055314771818986</v>
      </c>
      <c r="R1617" s="8">
        <f t="shared" si="206"/>
        <v>1.0731908108077295</v>
      </c>
      <c r="S1617" s="22">
        <f t="shared" si="207"/>
        <v>0.1019066066931108</v>
      </c>
      <c r="T1617" s="25"/>
      <c r="U1617" s="1" t="s">
        <v>4584</v>
      </c>
    </row>
    <row r="1618" spans="1:21">
      <c r="A1618" s="6" t="s">
        <v>4585</v>
      </c>
      <c r="B1618" s="9" t="s">
        <v>4586</v>
      </c>
      <c r="C1618" s="10">
        <v>1.1174471228023304</v>
      </c>
      <c r="D1618" s="10">
        <v>1.0803447816513949</v>
      </c>
      <c r="E1618" s="10">
        <v>0.98681261797371889</v>
      </c>
      <c r="F1618" s="8">
        <v>1.1518096984486985</v>
      </c>
      <c r="G1618" s="8">
        <f t="shared" si="200"/>
        <v>1.0988959522268626</v>
      </c>
      <c r="H1618" s="8">
        <f t="shared" si="201"/>
        <v>1.0693111582112087</v>
      </c>
      <c r="I1618" s="8">
        <f t="shared" si="202"/>
        <v>0.97307771135592802</v>
      </c>
      <c r="J1618" s="22">
        <f t="shared" si="203"/>
        <v>-3.93730696230963E-2</v>
      </c>
      <c r="K1618" s="8"/>
      <c r="L1618" s="8">
        <v>0.97402426920466989</v>
      </c>
      <c r="M1618" s="8">
        <v>0.9022877536664915</v>
      </c>
      <c r="N1618" s="8">
        <v>1.101251007531572</v>
      </c>
      <c r="O1618" s="8">
        <v>1.2229959922802605</v>
      </c>
      <c r="P1618" s="8">
        <f t="shared" si="204"/>
        <v>0.93815601143558069</v>
      </c>
      <c r="Q1618" s="8">
        <f t="shared" si="205"/>
        <v>1.1621234999059162</v>
      </c>
      <c r="R1618" s="8">
        <f t="shared" si="206"/>
        <v>1.2387316029959847</v>
      </c>
      <c r="S1618" s="22">
        <f t="shared" si="207"/>
        <v>0.30886363140688144</v>
      </c>
      <c r="T1618" s="25"/>
      <c r="U1618" s="1" t="s">
        <v>4587</v>
      </c>
    </row>
    <row r="1619" spans="1:21">
      <c r="A1619" s="6" t="s">
        <v>4588</v>
      </c>
      <c r="B1619" s="6" t="s">
        <v>4589</v>
      </c>
      <c r="C1619" s="7">
        <v>1.1042640610703853</v>
      </c>
      <c r="D1619" s="7">
        <v>1.127310956416798</v>
      </c>
      <c r="E1619" s="7">
        <v>1.1671992655302392</v>
      </c>
      <c r="F1619" s="8">
        <v>1.0206424513421688</v>
      </c>
      <c r="G1619" s="8">
        <f t="shared" si="200"/>
        <v>1.1157875087435918</v>
      </c>
      <c r="H1619" s="8">
        <f t="shared" si="201"/>
        <v>1.0939208584362041</v>
      </c>
      <c r="I1619" s="8">
        <f t="shared" si="202"/>
        <v>0.98040249587306272</v>
      </c>
      <c r="J1619" s="22">
        <f t="shared" si="203"/>
        <v>-2.8553937917302867E-2</v>
      </c>
      <c r="K1619" s="8"/>
      <c r="L1619" s="8">
        <v>1.2095734934888771</v>
      </c>
      <c r="M1619" s="8">
        <v>1.0716406135150243</v>
      </c>
      <c r="N1619" s="8">
        <v>0.86408546582817025</v>
      </c>
      <c r="O1619" s="8">
        <v>0.87276110796793038</v>
      </c>
      <c r="P1619" s="8">
        <f t="shared" si="204"/>
        <v>1.1406070535019506</v>
      </c>
      <c r="Q1619" s="8">
        <f t="shared" si="205"/>
        <v>0.86842328689805037</v>
      </c>
      <c r="R1619" s="8">
        <f t="shared" si="206"/>
        <v>0.76136938153395806</v>
      </c>
      <c r="S1619" s="22">
        <f t="shared" si="207"/>
        <v>-0.39333154179480107</v>
      </c>
      <c r="T1619" s="25"/>
      <c r="U1619" s="1" t="s">
        <v>4590</v>
      </c>
    </row>
    <row r="1620" spans="1:21">
      <c r="A1620" s="6" t="s">
        <v>4591</v>
      </c>
      <c r="B1620" s="6" t="s">
        <v>4592</v>
      </c>
      <c r="C1620" s="7">
        <v>1.2402411231682293</v>
      </c>
      <c r="D1620" s="7">
        <v>1.1791165403030275</v>
      </c>
      <c r="E1620" s="7">
        <v>1.3745328886807902</v>
      </c>
      <c r="F1620" s="8">
        <v>1.6056007388649451</v>
      </c>
      <c r="G1620" s="8">
        <f t="shared" si="200"/>
        <v>1.2096788317356284</v>
      </c>
      <c r="H1620" s="8">
        <f t="shared" si="201"/>
        <v>1.4900668137728676</v>
      </c>
      <c r="I1620" s="8">
        <f t="shared" si="202"/>
        <v>1.2317871278568568</v>
      </c>
      <c r="J1620" s="22">
        <f t="shared" si="203"/>
        <v>0.30075295723378426</v>
      </c>
      <c r="K1620" s="8"/>
      <c r="L1620" s="8">
        <v>1.1728564413547471</v>
      </c>
      <c r="M1620" s="8">
        <v>1.1969794365993378</v>
      </c>
      <c r="N1620" s="8">
        <v>1.2949102162971886</v>
      </c>
      <c r="O1620" s="8">
        <v>1.2128523018268342</v>
      </c>
      <c r="P1620" s="8">
        <f t="shared" si="204"/>
        <v>1.1849179389770423</v>
      </c>
      <c r="Q1620" s="8">
        <f t="shared" si="205"/>
        <v>1.2538812590620114</v>
      </c>
      <c r="R1620" s="8">
        <f t="shared" si="206"/>
        <v>1.0582009249893762</v>
      </c>
      <c r="S1620" s="22">
        <f t="shared" si="207"/>
        <v>8.1613583939918466E-2</v>
      </c>
      <c r="T1620" s="25"/>
      <c r="U1620" s="1" t="s">
        <v>4593</v>
      </c>
    </row>
    <row r="1621" spans="1:21">
      <c r="A1621" s="6" t="s">
        <v>4594</v>
      </c>
      <c r="B1621" s="6" t="s">
        <v>4595</v>
      </c>
      <c r="C1621" s="7">
        <v>1.1454915691527132</v>
      </c>
      <c r="D1621" s="7">
        <v>1.1663751320436555</v>
      </c>
      <c r="E1621" s="7">
        <v>1.0202484252907922</v>
      </c>
      <c r="F1621" s="8">
        <v>1.1988703602852133</v>
      </c>
      <c r="G1621" s="8">
        <f t="shared" si="200"/>
        <v>1.1559333505981844</v>
      </c>
      <c r="H1621" s="8">
        <f t="shared" si="201"/>
        <v>1.1095593927880028</v>
      </c>
      <c r="I1621" s="8">
        <f t="shared" si="202"/>
        <v>0.95988180651922228</v>
      </c>
      <c r="J1621" s="22">
        <f t="shared" si="203"/>
        <v>-5.907132201849357E-2</v>
      </c>
      <c r="K1621" s="8"/>
      <c r="L1621" s="8">
        <v>0.8751638285917096</v>
      </c>
      <c r="M1621" s="8">
        <v>1.2454623315024527</v>
      </c>
      <c r="N1621" s="8">
        <v>0.70945041460249303</v>
      </c>
      <c r="O1621" s="8">
        <v>0.99806848804682313</v>
      </c>
      <c r="P1621" s="8">
        <f t="shared" si="204"/>
        <v>1.0603130800470812</v>
      </c>
      <c r="Q1621" s="8">
        <f t="shared" si="205"/>
        <v>0.85375945132465803</v>
      </c>
      <c r="R1621" s="8">
        <f t="shared" si="206"/>
        <v>0.8051956232462476</v>
      </c>
      <c r="S1621" s="22">
        <f t="shared" si="207"/>
        <v>-0.31258876457805373</v>
      </c>
      <c r="T1621" s="25"/>
      <c r="U1621" s="1" t="s">
        <v>4596</v>
      </c>
    </row>
    <row r="1622" spans="1:21">
      <c r="A1622" s="6" t="s">
        <v>4597</v>
      </c>
      <c r="B1622" s="6" t="s">
        <v>4598</v>
      </c>
      <c r="C1622" s="7">
        <v>1.1232718904672185</v>
      </c>
      <c r="D1622" s="7">
        <v>1.1639457357426799</v>
      </c>
      <c r="E1622" s="7">
        <v>1.0030023609106125</v>
      </c>
      <c r="F1622" s="8">
        <v>1.2248182892276942</v>
      </c>
      <c r="G1622" s="8">
        <f t="shared" si="200"/>
        <v>1.1436088131049491</v>
      </c>
      <c r="H1622" s="8">
        <f t="shared" si="201"/>
        <v>1.1139103250691533</v>
      </c>
      <c r="I1622" s="8">
        <f t="shared" si="202"/>
        <v>0.97403090314146579</v>
      </c>
      <c r="J1622" s="22">
        <f t="shared" si="203"/>
        <v>-3.7960549374738306E-2</v>
      </c>
      <c r="K1622" s="8"/>
      <c r="L1622" s="8">
        <v>1.0565709590510131</v>
      </c>
      <c r="M1622" s="8">
        <v>0.58571552946867422</v>
      </c>
      <c r="N1622" s="8">
        <v>1.2091642521644879</v>
      </c>
      <c r="O1622" s="8">
        <v>0.62921160484238203</v>
      </c>
      <c r="P1622" s="8">
        <f t="shared" si="204"/>
        <v>0.82114324425984364</v>
      </c>
      <c r="Q1622" s="8">
        <f t="shared" si="205"/>
        <v>0.919187928503435</v>
      </c>
      <c r="R1622" s="8">
        <f t="shared" si="206"/>
        <v>1.1194002202769946</v>
      </c>
      <c r="S1622" s="22">
        <f t="shared" si="207"/>
        <v>0.16272593674159039</v>
      </c>
      <c r="T1622" s="25"/>
      <c r="U1622" s="1" t="s">
        <v>4599</v>
      </c>
    </row>
    <row r="1623" spans="1:21">
      <c r="A1623" s="6" t="s">
        <v>4600</v>
      </c>
      <c r="B1623" s="13" t="s">
        <v>4601</v>
      </c>
      <c r="C1623" s="14">
        <v>1.1652760342381983</v>
      </c>
      <c r="D1623" s="14">
        <v>1.2137225152711797</v>
      </c>
      <c r="E1623" s="14">
        <v>1.2321881848028826</v>
      </c>
      <c r="F1623" s="8">
        <v>1.1883893195926603</v>
      </c>
      <c r="G1623" s="8">
        <f t="shared" si="200"/>
        <v>1.1894992747546889</v>
      </c>
      <c r="H1623" s="8">
        <f t="shared" si="201"/>
        <v>1.2102887521977714</v>
      </c>
      <c r="I1623" s="8">
        <f t="shared" si="202"/>
        <v>1.0174775032522572</v>
      </c>
      <c r="J1623" s="22">
        <f t="shared" si="203"/>
        <v>2.4996896402866162E-2</v>
      </c>
      <c r="K1623" s="8"/>
      <c r="L1623" s="8">
        <v>0.98784872830117654</v>
      </c>
      <c r="M1623" s="8">
        <v>0.69663596119919191</v>
      </c>
      <c r="N1623" s="8">
        <v>0.73843839679508216</v>
      </c>
      <c r="O1623" s="8">
        <v>0.69214285855095203</v>
      </c>
      <c r="P1623" s="8">
        <f t="shared" si="204"/>
        <v>0.84224234475018422</v>
      </c>
      <c r="Q1623" s="8">
        <f t="shared" si="205"/>
        <v>0.7152906276730171</v>
      </c>
      <c r="R1623" s="8">
        <f t="shared" si="206"/>
        <v>0.84926937256423263</v>
      </c>
      <c r="S1623" s="22">
        <f t="shared" si="207"/>
        <v>-0.23570587229383308</v>
      </c>
      <c r="T1623" s="25"/>
      <c r="U1623" s="1" t="s">
        <v>4602</v>
      </c>
    </row>
    <row r="1624" spans="1:21">
      <c r="A1624" s="6" t="s">
        <v>4603</v>
      </c>
      <c r="B1624" s="13" t="s">
        <v>4604</v>
      </c>
      <c r="C1624" s="14">
        <v>1.2860626287986838</v>
      </c>
      <c r="D1624" s="14">
        <v>1.212604734526316</v>
      </c>
      <c r="E1624" s="14">
        <v>1.2275892343015014</v>
      </c>
      <c r="F1624" s="8">
        <v>1.2888093111151502</v>
      </c>
      <c r="G1624" s="8">
        <f t="shared" si="200"/>
        <v>1.2493336816624998</v>
      </c>
      <c r="H1624" s="8">
        <f t="shared" si="201"/>
        <v>1.2581992727083258</v>
      </c>
      <c r="I1624" s="8">
        <f t="shared" si="202"/>
        <v>1.0070962555288099</v>
      </c>
      <c r="J1624" s="22">
        <f t="shared" si="203"/>
        <v>1.0201578813989809E-2</v>
      </c>
      <c r="K1624" s="8"/>
      <c r="L1624" s="8">
        <v>0.53768700074387032</v>
      </c>
      <c r="M1624" s="8">
        <v>0.51391868597301804</v>
      </c>
      <c r="N1624" s="8">
        <v>0.56563104748900861</v>
      </c>
      <c r="O1624" s="8">
        <v>0.57869501706188609</v>
      </c>
      <c r="P1624" s="8">
        <f t="shared" si="204"/>
        <v>0.52580284335844418</v>
      </c>
      <c r="Q1624" s="8">
        <f t="shared" si="205"/>
        <v>0.5721630322754474</v>
      </c>
      <c r="R1624" s="8">
        <f t="shared" si="206"/>
        <v>1.0881702894965122</v>
      </c>
      <c r="S1624" s="22">
        <f t="shared" si="207"/>
        <v>0.12190434389342863</v>
      </c>
      <c r="T1624" s="25"/>
      <c r="U1624" s="1" t="s">
        <v>4605</v>
      </c>
    </row>
    <row r="1625" spans="1:21">
      <c r="A1625" s="6" t="s">
        <v>4606</v>
      </c>
      <c r="B1625" s="9" t="s">
        <v>4607</v>
      </c>
      <c r="C1625" s="10">
        <v>1.0798658534616385</v>
      </c>
      <c r="D1625" s="10">
        <v>1.1046322835007758</v>
      </c>
      <c r="E1625" s="10">
        <v>1.2628502500988104</v>
      </c>
      <c r="F1625" s="8">
        <v>1.1526777380953781</v>
      </c>
      <c r="G1625" s="8">
        <f t="shared" si="200"/>
        <v>1.0922490684812072</v>
      </c>
      <c r="H1625" s="8">
        <f t="shared" si="201"/>
        <v>1.2077639940970943</v>
      </c>
      <c r="I1625" s="8">
        <f t="shared" si="202"/>
        <v>1.1057587769578168</v>
      </c>
      <c r="J1625" s="22">
        <f t="shared" si="203"/>
        <v>0.14503669367067179</v>
      </c>
      <c r="K1625" s="8"/>
      <c r="L1625" s="8">
        <v>1.1498749450431911</v>
      </c>
      <c r="M1625" s="8">
        <v>0.75679690991810056</v>
      </c>
      <c r="N1625" s="8">
        <v>1.0068330083899959</v>
      </c>
      <c r="O1625" s="8">
        <v>1.0967297558898499</v>
      </c>
      <c r="P1625" s="8">
        <f t="shared" si="204"/>
        <v>0.95333592748064588</v>
      </c>
      <c r="Q1625" s="8">
        <f t="shared" si="205"/>
        <v>1.0517813821399229</v>
      </c>
      <c r="R1625" s="8">
        <f t="shared" si="206"/>
        <v>1.1032641819336821</v>
      </c>
      <c r="S1625" s="22">
        <f t="shared" si="207"/>
        <v>0.14177829258821584</v>
      </c>
      <c r="T1625" s="25"/>
      <c r="U1625" s="1" t="s">
        <v>4608</v>
      </c>
    </row>
    <row r="1626" spans="1:21">
      <c r="A1626" s="6" t="s">
        <v>4609</v>
      </c>
      <c r="B1626" s="13" t="s">
        <v>4610</v>
      </c>
      <c r="C1626" s="14">
        <v>1.2337384446903654</v>
      </c>
      <c r="D1626" s="14">
        <v>0.71463664326969445</v>
      </c>
      <c r="E1626" s="14">
        <v>1.6457488086395897</v>
      </c>
      <c r="F1626" s="8">
        <v>1.8167567633307951</v>
      </c>
      <c r="G1626" s="8">
        <f t="shared" si="200"/>
        <v>0.97418754398002994</v>
      </c>
      <c r="H1626" s="8">
        <f t="shared" si="201"/>
        <v>1.7312527859851925</v>
      </c>
      <c r="I1626" s="8">
        <f t="shared" si="202"/>
        <v>1.7771247401831713</v>
      </c>
      <c r="J1626" s="22">
        <f t="shared" si="203"/>
        <v>0.82954495076870316</v>
      </c>
      <c r="K1626" s="8"/>
      <c r="L1626" s="8">
        <v>0.34721173634345004</v>
      </c>
      <c r="M1626" s="8">
        <v>0.53107741486481608</v>
      </c>
      <c r="N1626" s="8">
        <v>0.48597499558164181</v>
      </c>
      <c r="O1626" s="8">
        <v>0.50299583457363028</v>
      </c>
      <c r="P1626" s="8">
        <f t="shared" si="204"/>
        <v>0.43914457560413306</v>
      </c>
      <c r="Q1626" s="8">
        <f t="shared" si="205"/>
        <v>0.49448541507763605</v>
      </c>
      <c r="R1626" s="8">
        <f t="shared" si="206"/>
        <v>1.1260196357825218</v>
      </c>
      <c r="S1626" s="22">
        <f t="shared" si="207"/>
        <v>0.1712319856766398</v>
      </c>
      <c r="T1626" s="25"/>
      <c r="U1626" s="1" t="s">
        <v>4611</v>
      </c>
    </row>
    <row r="1627" spans="1:21">
      <c r="A1627" s="6" t="s">
        <v>4612</v>
      </c>
      <c r="B1627" s="13" t="s">
        <v>4613</v>
      </c>
      <c r="C1627" s="14">
        <v>1.1961308487161602</v>
      </c>
      <c r="D1627" s="14">
        <v>1.1245068128140761</v>
      </c>
      <c r="E1627" s="14">
        <v>1.2904511389672562</v>
      </c>
      <c r="F1627" s="8">
        <v>1.2760900194328118</v>
      </c>
      <c r="G1627" s="8">
        <f t="shared" si="200"/>
        <v>1.1603188307651182</v>
      </c>
      <c r="H1627" s="8">
        <f t="shared" si="201"/>
        <v>1.2832705792000341</v>
      </c>
      <c r="I1627" s="8">
        <f t="shared" si="202"/>
        <v>1.1059637620065521</v>
      </c>
      <c r="J1627" s="22">
        <f t="shared" si="203"/>
        <v>0.14530411502113835</v>
      </c>
      <c r="K1627" s="8"/>
      <c r="L1627" s="8">
        <v>1.226731825357853</v>
      </c>
      <c r="M1627" s="8">
        <v>1.1006460323788008</v>
      </c>
      <c r="N1627" s="8">
        <v>1.3077721109170937</v>
      </c>
      <c r="O1627" s="8">
        <v>1.2828488125676414</v>
      </c>
      <c r="P1627" s="8">
        <f t="shared" si="204"/>
        <v>1.1636889288683268</v>
      </c>
      <c r="Q1627" s="8">
        <f t="shared" si="205"/>
        <v>1.2953104617423676</v>
      </c>
      <c r="R1627" s="8">
        <f t="shared" si="206"/>
        <v>1.1131071453967007</v>
      </c>
      <c r="S1627" s="22">
        <f t="shared" si="207"/>
        <v>0.15459247021136344</v>
      </c>
      <c r="T1627" s="25"/>
      <c r="U1627" s="1" t="s">
        <v>4614</v>
      </c>
    </row>
    <row r="1628" spans="1:21">
      <c r="A1628" s="6" t="s">
        <v>4615</v>
      </c>
      <c r="B1628" s="6" t="s">
        <v>4616</v>
      </c>
      <c r="C1628" s="7">
        <v>1.1975261602923819</v>
      </c>
      <c r="D1628" s="7">
        <v>1.1275887863129201</v>
      </c>
      <c r="E1628" s="7">
        <v>1.0880182724447396</v>
      </c>
      <c r="F1628" s="8">
        <v>1.0877684593915999</v>
      </c>
      <c r="G1628" s="8">
        <f t="shared" si="200"/>
        <v>1.1625574733026509</v>
      </c>
      <c r="H1628" s="8">
        <f t="shared" si="201"/>
        <v>1.0878933659181698</v>
      </c>
      <c r="I1628" s="8">
        <f t="shared" si="202"/>
        <v>0.93577598604878287</v>
      </c>
      <c r="J1628" s="22">
        <f t="shared" si="203"/>
        <v>-9.5764888258873693E-2</v>
      </c>
      <c r="K1628" s="8"/>
      <c r="L1628" s="8">
        <v>0.89401132266540351</v>
      </c>
      <c r="M1628" s="8">
        <v>1.2690292343292711</v>
      </c>
      <c r="N1628" s="8">
        <v>0.93662850025634725</v>
      </c>
      <c r="O1628" s="8">
        <v>0.82910791273303619</v>
      </c>
      <c r="P1628" s="8">
        <f t="shared" si="204"/>
        <v>1.0815202784973372</v>
      </c>
      <c r="Q1628" s="8">
        <f t="shared" si="205"/>
        <v>0.88286820649469178</v>
      </c>
      <c r="R1628" s="8">
        <f t="shared" si="206"/>
        <v>0.81632145420458291</v>
      </c>
      <c r="S1628" s="22">
        <f t="shared" si="207"/>
        <v>-0.29279072079823659</v>
      </c>
      <c r="T1628" s="25"/>
      <c r="U1628" s="1" t="s">
        <v>4617</v>
      </c>
    </row>
    <row r="1629" spans="1:21">
      <c r="A1629" s="6" t="s">
        <v>4618</v>
      </c>
      <c r="B1629" s="13" t="s">
        <v>4619</v>
      </c>
      <c r="C1629" s="14">
        <v>0.27951644967247508</v>
      </c>
      <c r="D1629" s="14">
        <v>0.26170930098674539</v>
      </c>
      <c r="E1629" s="14">
        <v>0.53685561243467439</v>
      </c>
      <c r="F1629" s="8">
        <v>0.54390933828062127</v>
      </c>
      <c r="G1629" s="8">
        <f t="shared" si="200"/>
        <v>0.2706128753296102</v>
      </c>
      <c r="H1629" s="8">
        <f t="shared" si="201"/>
        <v>0.54038247535764783</v>
      </c>
      <c r="I1629" s="8">
        <f t="shared" si="202"/>
        <v>1.9968838315599526</v>
      </c>
      <c r="J1629" s="22">
        <f t="shared" si="203"/>
        <v>0.99775040663907333</v>
      </c>
      <c r="K1629" s="8"/>
      <c r="L1629" s="8">
        <v>1.1108908594237819</v>
      </c>
      <c r="M1629" s="8">
        <v>1.0900219545391616</v>
      </c>
      <c r="N1629" s="8">
        <v>1.3311086545645732</v>
      </c>
      <c r="O1629" s="8">
        <v>1.3185283605804392</v>
      </c>
      <c r="P1629" s="8">
        <f t="shared" si="204"/>
        <v>1.1004564069814717</v>
      </c>
      <c r="Q1629" s="8">
        <f t="shared" si="205"/>
        <v>1.3248185075725063</v>
      </c>
      <c r="R1629" s="8">
        <f t="shared" si="206"/>
        <v>1.2038809526371472</v>
      </c>
      <c r="S1629" s="22">
        <f t="shared" si="207"/>
        <v>0.26769273634051005</v>
      </c>
      <c r="T1629" s="25"/>
      <c r="U1629" s="1" t="s">
        <v>4620</v>
      </c>
    </row>
    <row r="1630" spans="1:21">
      <c r="A1630" s="6" t="s">
        <v>4621</v>
      </c>
      <c r="B1630" s="6" t="s">
        <v>4622</v>
      </c>
      <c r="C1630" s="7">
        <v>1.1946697205561543</v>
      </c>
      <c r="D1630" s="7">
        <v>1.2461898461552285</v>
      </c>
      <c r="E1630" s="7">
        <v>1.2229471686391697</v>
      </c>
      <c r="F1630" s="8">
        <v>1.2985729636699515</v>
      </c>
      <c r="G1630" s="8">
        <f t="shared" si="200"/>
        <v>1.2204297833556914</v>
      </c>
      <c r="H1630" s="8">
        <f t="shared" si="201"/>
        <v>1.2607600661545606</v>
      </c>
      <c r="I1630" s="8">
        <f t="shared" si="202"/>
        <v>1.0330459673705907</v>
      </c>
      <c r="J1630" s="22">
        <f t="shared" si="203"/>
        <v>4.6904451126615274E-2</v>
      </c>
      <c r="K1630" s="8"/>
      <c r="L1630" s="8">
        <v>0.99416086075038534</v>
      </c>
      <c r="M1630" s="8">
        <v>1.0365642930285968</v>
      </c>
      <c r="N1630" s="8">
        <v>1.2189081117250222</v>
      </c>
      <c r="O1630" s="8">
        <v>1.3834277930337038</v>
      </c>
      <c r="P1630" s="8">
        <f t="shared" si="204"/>
        <v>1.0153625768894909</v>
      </c>
      <c r="Q1630" s="8">
        <f t="shared" si="205"/>
        <v>1.3011679523793629</v>
      </c>
      <c r="R1630" s="8">
        <f t="shared" si="206"/>
        <v>1.2814811004414024</v>
      </c>
      <c r="S1630" s="22">
        <f t="shared" si="207"/>
        <v>0.35781220160996069</v>
      </c>
      <c r="T1630" s="25"/>
      <c r="U1630" s="1" t="s">
        <v>4623</v>
      </c>
    </row>
    <row r="1631" spans="1:21">
      <c r="A1631" s="6" t="s">
        <v>4624</v>
      </c>
      <c r="B1631" s="6" t="s">
        <v>4625</v>
      </c>
      <c r="C1631" s="7">
        <v>1.2201341568222026</v>
      </c>
      <c r="D1631" s="7">
        <v>1.2156027129402858</v>
      </c>
      <c r="E1631" s="7">
        <v>1.0861140195027614</v>
      </c>
      <c r="F1631" s="8">
        <v>1.0954516863469212</v>
      </c>
      <c r="G1631" s="8">
        <f t="shared" si="200"/>
        <v>1.2178684348812441</v>
      </c>
      <c r="H1631" s="8">
        <f t="shared" si="201"/>
        <v>1.0907828529248413</v>
      </c>
      <c r="I1631" s="8">
        <f t="shared" si="202"/>
        <v>0.89564917004455002</v>
      </c>
      <c r="J1631" s="22">
        <f t="shared" si="203"/>
        <v>-0.15899436232859676</v>
      </c>
      <c r="K1631" s="8"/>
      <c r="L1631" s="8">
        <v>0.87640847442676484</v>
      </c>
      <c r="M1631" s="8">
        <v>0.95481791631804036</v>
      </c>
      <c r="N1631" s="8">
        <v>0.93433869325962171</v>
      </c>
      <c r="O1631" s="8">
        <v>0.94639117946817386</v>
      </c>
      <c r="P1631" s="8">
        <f t="shared" si="204"/>
        <v>0.9156131953724026</v>
      </c>
      <c r="Q1631" s="8">
        <f t="shared" si="205"/>
        <v>0.94036493636389773</v>
      </c>
      <c r="R1631" s="8">
        <f t="shared" si="206"/>
        <v>1.0270329666682316</v>
      </c>
      <c r="S1631" s="22">
        <f t="shared" si="207"/>
        <v>3.8482491379027081E-2</v>
      </c>
      <c r="T1631" s="25"/>
      <c r="U1631" s="1" t="s">
        <v>4626</v>
      </c>
    </row>
    <row r="1632" spans="1:21">
      <c r="A1632" s="6" t="s">
        <v>4627</v>
      </c>
      <c r="B1632" s="6" t="s">
        <v>4628</v>
      </c>
      <c r="C1632" s="7">
        <v>1.1397523630467443</v>
      </c>
      <c r="D1632" s="7">
        <v>1.2024154846150432</v>
      </c>
      <c r="E1632" s="7">
        <v>1.092832798750873</v>
      </c>
      <c r="F1632" s="8">
        <v>1.0878617198495077</v>
      </c>
      <c r="G1632" s="8">
        <f t="shared" si="200"/>
        <v>1.1710839238308939</v>
      </c>
      <c r="H1632" s="8">
        <f t="shared" si="201"/>
        <v>1.0903472593001904</v>
      </c>
      <c r="I1632" s="8">
        <f t="shared" si="202"/>
        <v>0.93105817363917465</v>
      </c>
      <c r="J1632" s="22">
        <f t="shared" si="203"/>
        <v>-0.10305678295853656</v>
      </c>
      <c r="K1632" s="8"/>
      <c r="L1632" s="8">
        <v>0.85267130028678251</v>
      </c>
      <c r="M1632" s="8">
        <v>0.72041365922124134</v>
      </c>
      <c r="N1632" s="8">
        <v>0.80381969444626644</v>
      </c>
      <c r="O1632" s="8">
        <v>0.7731409838133857</v>
      </c>
      <c r="P1632" s="8">
        <f t="shared" si="204"/>
        <v>0.78654247975401193</v>
      </c>
      <c r="Q1632" s="8">
        <f t="shared" si="205"/>
        <v>0.78848033912982607</v>
      </c>
      <c r="R1632" s="8">
        <f t="shared" si="206"/>
        <v>1.0024637695047574</v>
      </c>
      <c r="S1632" s="22">
        <f t="shared" si="207"/>
        <v>3.5500965302176098E-3</v>
      </c>
      <c r="T1632" s="25"/>
      <c r="U1632" s="1" t="s">
        <v>4629</v>
      </c>
    </row>
    <row r="1633" spans="1:21">
      <c r="A1633" s="6" t="s">
        <v>4630</v>
      </c>
      <c r="B1633" s="6" t="s">
        <v>4631</v>
      </c>
      <c r="C1633" s="7">
        <v>7.6794789959227658E-2</v>
      </c>
      <c r="D1633" s="7">
        <v>8.7774863693493049E-2</v>
      </c>
      <c r="E1633" s="7">
        <v>0.15942549347444368</v>
      </c>
      <c r="F1633" s="8">
        <v>0.15707930664212302</v>
      </c>
      <c r="G1633" s="8">
        <f t="shared" si="200"/>
        <v>8.2284826826360347E-2</v>
      </c>
      <c r="H1633" s="8">
        <f t="shared" si="201"/>
        <v>0.15825240005828334</v>
      </c>
      <c r="I1633" s="8">
        <f t="shared" si="202"/>
        <v>1.923226992896659</v>
      </c>
      <c r="J1633" s="22">
        <f t="shared" si="203"/>
        <v>0.94352904983315078</v>
      </c>
      <c r="K1633" s="8"/>
      <c r="L1633" s="8">
        <v>0.22034676444174647</v>
      </c>
      <c r="M1633" s="8">
        <v>0.21265019294896662</v>
      </c>
      <c r="N1633" s="8">
        <v>0.29830826044575365</v>
      </c>
      <c r="O1633" s="8">
        <v>0.27751320300194571</v>
      </c>
      <c r="P1633" s="8">
        <f t="shared" si="204"/>
        <v>0.21649847869535654</v>
      </c>
      <c r="Q1633" s="8">
        <f t="shared" si="205"/>
        <v>0.28791073172384968</v>
      </c>
      <c r="R1633" s="8">
        <f t="shared" si="206"/>
        <v>1.3298510615817309</v>
      </c>
      <c r="S1633" s="22">
        <f t="shared" si="207"/>
        <v>0.41126467824566659</v>
      </c>
      <c r="T1633" s="25"/>
      <c r="U1633" s="1" t="s">
        <v>4632</v>
      </c>
    </row>
    <row r="1634" spans="1:21">
      <c r="A1634" s="6" t="s">
        <v>4633</v>
      </c>
      <c r="B1634" s="13" t="s">
        <v>4634</v>
      </c>
      <c r="C1634" s="14">
        <v>1.4222963755732856E-2</v>
      </c>
      <c r="D1634" s="14">
        <v>1.5765231314841595E-2</v>
      </c>
      <c r="E1634" s="14">
        <v>3.3033399148202358E-2</v>
      </c>
      <c r="F1634" s="8">
        <v>1.8250354224404502E-2</v>
      </c>
      <c r="G1634" s="8">
        <f t="shared" si="200"/>
        <v>1.4994097535287226E-2</v>
      </c>
      <c r="H1634" s="8">
        <f t="shared" si="201"/>
        <v>2.5641876686303432E-2</v>
      </c>
      <c r="I1634" s="8">
        <f t="shared" si="202"/>
        <v>1.7101313784279206</v>
      </c>
      <c r="J1634" s="22">
        <f t="shared" si="203"/>
        <v>0.77410716237767674</v>
      </c>
      <c r="K1634" s="8"/>
      <c r="L1634" s="8">
        <v>4.618525080794323E-2</v>
      </c>
      <c r="M1634" s="8">
        <v>4.3508128295664854E-2</v>
      </c>
      <c r="N1634" s="8">
        <v>4.7988508335630793E-2</v>
      </c>
      <c r="O1634" s="8">
        <v>4.940633310400161E-2</v>
      </c>
      <c r="P1634" s="8">
        <f t="shared" si="204"/>
        <v>4.4846689551804042E-2</v>
      </c>
      <c r="Q1634" s="8">
        <f t="shared" si="205"/>
        <v>4.8697420719816198E-2</v>
      </c>
      <c r="R1634" s="8">
        <f t="shared" si="206"/>
        <v>1.0858643348371129</v>
      </c>
      <c r="S1634" s="22">
        <f t="shared" si="207"/>
        <v>0.11884386770598709</v>
      </c>
      <c r="T1634" s="25"/>
      <c r="U1634" s="1" t="s">
        <v>4635</v>
      </c>
    </row>
    <row r="1635" spans="1:21">
      <c r="A1635" s="6" t="s">
        <v>4636</v>
      </c>
      <c r="B1635" s="6" t="s">
        <v>80</v>
      </c>
      <c r="C1635" s="7">
        <v>1.2065693589043103</v>
      </c>
      <c r="D1635" s="7">
        <v>1.117341385958273</v>
      </c>
      <c r="E1635" s="7">
        <v>1.0134506015809379</v>
      </c>
      <c r="F1635" s="8">
        <v>1.0957458154833994</v>
      </c>
      <c r="G1635" s="8">
        <f t="shared" si="200"/>
        <v>1.1619553724312917</v>
      </c>
      <c r="H1635" s="8">
        <f t="shared" si="201"/>
        <v>1.0545982085321688</v>
      </c>
      <c r="I1635" s="8">
        <f t="shared" si="202"/>
        <v>0.90760646540625112</v>
      </c>
      <c r="J1635" s="22">
        <f t="shared" si="203"/>
        <v>-0.13986120868857879</v>
      </c>
      <c r="K1635" s="8"/>
      <c r="L1635" s="8">
        <v>0.97566897977242151</v>
      </c>
      <c r="M1635" s="8">
        <v>1.074549587209211</v>
      </c>
      <c r="N1635" s="8">
        <v>1.0144332188472125</v>
      </c>
      <c r="O1635" s="8">
        <v>1.1658683425624567</v>
      </c>
      <c r="P1635" s="8">
        <f t="shared" si="204"/>
        <v>1.0251092834908162</v>
      </c>
      <c r="Q1635" s="8">
        <f t="shared" si="205"/>
        <v>1.0901507807048345</v>
      </c>
      <c r="R1635" s="8">
        <f t="shared" si="206"/>
        <v>1.0634483544940025</v>
      </c>
      <c r="S1635" s="22">
        <f t="shared" si="207"/>
        <v>8.8749971686375495E-2</v>
      </c>
      <c r="T1635" s="25"/>
      <c r="U1635" s="1">
        <v>0</v>
      </c>
    </row>
    <row r="1636" spans="1:21">
      <c r="A1636" s="6" t="s">
        <v>4637</v>
      </c>
      <c r="B1636" s="6" t="s">
        <v>80</v>
      </c>
      <c r="C1636" s="7">
        <v>1.1666121108890144</v>
      </c>
      <c r="D1636" s="7">
        <v>1.1657031713646622</v>
      </c>
      <c r="E1636" s="7">
        <v>1.1233008458225235</v>
      </c>
      <c r="F1636" s="8">
        <v>1.0971518962333928</v>
      </c>
      <c r="G1636" s="8">
        <f t="shared" si="200"/>
        <v>1.1661576411268384</v>
      </c>
      <c r="H1636" s="8">
        <f t="shared" si="201"/>
        <v>1.1102263710279581</v>
      </c>
      <c r="I1636" s="8">
        <f t="shared" si="202"/>
        <v>0.95203798515196036</v>
      </c>
      <c r="J1636" s="22">
        <f t="shared" si="203"/>
        <v>-7.0908958437021871E-2</v>
      </c>
      <c r="K1636" s="8"/>
      <c r="L1636" s="8">
        <v>1.2711834623241121</v>
      </c>
      <c r="M1636" s="8">
        <v>1.3795702347083731</v>
      </c>
      <c r="N1636" s="8">
        <v>1.1411033931341568</v>
      </c>
      <c r="O1636" s="8">
        <v>1.7112557193295104</v>
      </c>
      <c r="P1636" s="8">
        <f t="shared" si="204"/>
        <v>1.3253768485162425</v>
      </c>
      <c r="Q1636" s="8">
        <f t="shared" si="205"/>
        <v>1.4261795562318336</v>
      </c>
      <c r="R1636" s="8">
        <f t="shared" si="206"/>
        <v>1.0760558839008239</v>
      </c>
      <c r="S1636" s="22">
        <f t="shared" si="207"/>
        <v>0.10575300478394119</v>
      </c>
      <c r="T1636" s="25"/>
      <c r="U1636" s="1">
        <v>0</v>
      </c>
    </row>
    <row r="1637" spans="1:21">
      <c r="A1637" s="6" t="s">
        <v>4638</v>
      </c>
      <c r="B1637" s="6" t="s">
        <v>4639</v>
      </c>
      <c r="C1637" s="7">
        <v>1.1306170212175184</v>
      </c>
      <c r="D1637" s="7">
        <v>0.98585031116796928</v>
      </c>
      <c r="E1637" s="7">
        <v>0.87518746627300636</v>
      </c>
      <c r="F1637" s="8">
        <v>0.8863258703109087</v>
      </c>
      <c r="G1637" s="8">
        <f t="shared" si="200"/>
        <v>1.0582336661927438</v>
      </c>
      <c r="H1637" s="8">
        <f t="shared" si="201"/>
        <v>0.88075666829195753</v>
      </c>
      <c r="I1637" s="8">
        <f t="shared" si="202"/>
        <v>0.8322894049106343</v>
      </c>
      <c r="J1637" s="22">
        <f t="shared" si="203"/>
        <v>-0.26484282321558483</v>
      </c>
      <c r="K1637" s="8"/>
      <c r="L1637" s="8">
        <v>0.97882504599702591</v>
      </c>
      <c r="M1637" s="8">
        <v>1.0763202668491509</v>
      </c>
      <c r="N1637" s="8">
        <v>0.85789811500723112</v>
      </c>
      <c r="O1637" s="8">
        <v>1.0702350420189604</v>
      </c>
      <c r="P1637" s="8">
        <f t="shared" si="204"/>
        <v>1.0275726564230885</v>
      </c>
      <c r="Q1637" s="8">
        <f t="shared" si="205"/>
        <v>0.96406657851309574</v>
      </c>
      <c r="R1637" s="8">
        <f t="shared" si="206"/>
        <v>0.93819796827695556</v>
      </c>
      <c r="S1637" s="22">
        <f t="shared" si="207"/>
        <v>-9.2035718291300611E-2</v>
      </c>
      <c r="T1637" s="25"/>
      <c r="U1637" s="1" t="s">
        <v>4640</v>
      </c>
    </row>
    <row r="1638" spans="1:21">
      <c r="A1638" s="6" t="s">
        <v>4641</v>
      </c>
      <c r="B1638" s="6" t="s">
        <v>4642</v>
      </c>
      <c r="C1638" s="7">
        <v>1.0447263793793353</v>
      </c>
      <c r="D1638" s="7">
        <v>1.0787230303972861</v>
      </c>
      <c r="E1638" s="7">
        <v>1.0299708940851184</v>
      </c>
      <c r="F1638" s="8">
        <v>0.98599260428875923</v>
      </c>
      <c r="G1638" s="8">
        <f t="shared" si="200"/>
        <v>1.0617247048883107</v>
      </c>
      <c r="H1638" s="8">
        <f t="shared" si="201"/>
        <v>1.0079817491869387</v>
      </c>
      <c r="I1638" s="8">
        <f t="shared" si="202"/>
        <v>0.94938145881514024</v>
      </c>
      <c r="J1638" s="22">
        <f t="shared" si="203"/>
        <v>-7.4940220321882717E-2</v>
      </c>
      <c r="K1638" s="8"/>
      <c r="L1638" s="8">
        <v>0.49194626630558974</v>
      </c>
      <c r="M1638" s="8">
        <v>0.449162401998075</v>
      </c>
      <c r="N1638" s="8">
        <v>0.47506187287384349</v>
      </c>
      <c r="O1638" s="8">
        <v>0.68295802440904374</v>
      </c>
      <c r="P1638" s="8">
        <f t="shared" si="204"/>
        <v>0.47055433415183234</v>
      </c>
      <c r="Q1638" s="8">
        <f t="shared" si="205"/>
        <v>0.57900994864144362</v>
      </c>
      <c r="R1638" s="8">
        <f t="shared" si="206"/>
        <v>1.2304847848975846</v>
      </c>
      <c r="S1638" s="22">
        <f t="shared" si="207"/>
        <v>0.29922681879687518</v>
      </c>
      <c r="T1638" s="25"/>
      <c r="U1638" s="1" t="s">
        <v>4643</v>
      </c>
    </row>
    <row r="1639" spans="1:21">
      <c r="A1639" s="6" t="s">
        <v>4644</v>
      </c>
      <c r="B1639" s="6" t="s">
        <v>4645</v>
      </c>
      <c r="C1639" s="7">
        <v>1.1146894079417786</v>
      </c>
      <c r="D1639" s="7">
        <v>1.0911736864397861</v>
      </c>
      <c r="E1639" s="7">
        <v>1.0325218744413531</v>
      </c>
      <c r="F1639" s="8">
        <v>0.99372604841372314</v>
      </c>
      <c r="G1639" s="8">
        <f t="shared" si="200"/>
        <v>1.1029315471907823</v>
      </c>
      <c r="H1639" s="8">
        <f t="shared" si="201"/>
        <v>1.0131239614275382</v>
      </c>
      <c r="I1639" s="8">
        <f t="shared" si="202"/>
        <v>0.91857374467890762</v>
      </c>
      <c r="J1639" s="22">
        <f t="shared" si="203"/>
        <v>-0.1225325468639567</v>
      </c>
      <c r="K1639" s="8"/>
      <c r="L1639" s="8">
        <v>0.79986275557086672</v>
      </c>
      <c r="M1639" s="8">
        <v>1.2630004917456665</v>
      </c>
      <c r="N1639" s="8">
        <v>0.92917444769253854</v>
      </c>
      <c r="O1639" s="8">
        <v>0.89955861856877295</v>
      </c>
      <c r="P1639" s="8">
        <f t="shared" si="204"/>
        <v>1.0314316236582666</v>
      </c>
      <c r="Q1639" s="8">
        <f t="shared" si="205"/>
        <v>0.91436653313065575</v>
      </c>
      <c r="R1639" s="8">
        <f t="shared" si="206"/>
        <v>0.88650232565838338</v>
      </c>
      <c r="S1639" s="22">
        <f t="shared" si="207"/>
        <v>-0.17380367897894783</v>
      </c>
      <c r="T1639" s="25"/>
      <c r="U1639" s="1" t="s">
        <v>4646</v>
      </c>
    </row>
    <row r="1640" spans="1:21">
      <c r="A1640" s="6" t="s">
        <v>4647</v>
      </c>
      <c r="B1640" s="6" t="s">
        <v>4648</v>
      </c>
      <c r="C1640" s="7">
        <v>1.0445815828950102</v>
      </c>
      <c r="D1640" s="7">
        <v>1.086392427762334</v>
      </c>
      <c r="E1640" s="7">
        <v>1.0711746162334308</v>
      </c>
      <c r="F1640" s="8">
        <v>1.0688652819618414</v>
      </c>
      <c r="G1640" s="8">
        <f t="shared" si="200"/>
        <v>1.0654870053286722</v>
      </c>
      <c r="H1640" s="8">
        <f t="shared" si="201"/>
        <v>1.0700199490976361</v>
      </c>
      <c r="I1640" s="8">
        <f t="shared" si="202"/>
        <v>1.0042543397960688</v>
      </c>
      <c r="J1640" s="22">
        <f t="shared" si="203"/>
        <v>6.1246958755268041E-3</v>
      </c>
      <c r="K1640" s="8"/>
      <c r="L1640" s="8">
        <v>0.84360316634566568</v>
      </c>
      <c r="M1640" s="8">
        <v>0.81017025335057324</v>
      </c>
      <c r="N1640" s="8">
        <v>0.95694444744006091</v>
      </c>
      <c r="O1640" s="8">
        <v>1.0158325628707339</v>
      </c>
      <c r="P1640" s="8">
        <f t="shared" si="204"/>
        <v>0.82688670984811941</v>
      </c>
      <c r="Q1640" s="8">
        <f t="shared" si="205"/>
        <v>0.98638850515539733</v>
      </c>
      <c r="R1640" s="8">
        <f t="shared" si="206"/>
        <v>1.1928943752603967</v>
      </c>
      <c r="S1640" s="22">
        <f t="shared" si="207"/>
        <v>0.25446630536822124</v>
      </c>
      <c r="T1640" s="25"/>
      <c r="U1640" s="1" t="s">
        <v>4649</v>
      </c>
    </row>
    <row r="1641" spans="1:21">
      <c r="A1641" s="6" t="s">
        <v>4650</v>
      </c>
      <c r="B1641" s="6" t="s">
        <v>4651</v>
      </c>
      <c r="C1641" s="7">
        <v>1.0950102493903482</v>
      </c>
      <c r="D1641" s="7">
        <v>1.0426245273825239</v>
      </c>
      <c r="E1641" s="7">
        <v>1.070721907043451</v>
      </c>
      <c r="F1641" s="8">
        <v>1.1698950534014203</v>
      </c>
      <c r="G1641" s="8">
        <f t="shared" si="200"/>
        <v>1.068817388386436</v>
      </c>
      <c r="H1641" s="8">
        <f t="shared" si="201"/>
        <v>1.1203084802224357</v>
      </c>
      <c r="I1641" s="8">
        <f t="shared" si="202"/>
        <v>1.0481757617302001</v>
      </c>
      <c r="J1641" s="22">
        <f t="shared" si="203"/>
        <v>6.7880653245167177E-2</v>
      </c>
      <c r="K1641" s="8"/>
      <c r="L1641" s="8">
        <v>0.93552915159188954</v>
      </c>
      <c r="M1641" s="8">
        <v>1.2153186185844291</v>
      </c>
      <c r="N1641" s="8">
        <v>0.92464355299689016</v>
      </c>
      <c r="O1641" s="8">
        <v>1.0009450569813769</v>
      </c>
      <c r="P1641" s="8">
        <f t="shared" si="204"/>
        <v>1.0754238850881594</v>
      </c>
      <c r="Q1641" s="8">
        <f t="shared" si="205"/>
        <v>0.96279430498913354</v>
      </c>
      <c r="R1641" s="8">
        <f t="shared" si="206"/>
        <v>0.8952695940077684</v>
      </c>
      <c r="S1641" s="22">
        <f t="shared" si="207"/>
        <v>-0.15960590595089458</v>
      </c>
      <c r="T1641" s="25"/>
      <c r="U1641" s="1" t="s">
        <v>4652</v>
      </c>
    </row>
    <row r="1642" spans="1:21">
      <c r="A1642" s="6" t="s">
        <v>4653</v>
      </c>
      <c r="B1642" s="6" t="s">
        <v>4654</v>
      </c>
      <c r="C1642" s="7">
        <v>1.0845388309103061</v>
      </c>
      <c r="D1642" s="7">
        <v>1.043903837136761</v>
      </c>
      <c r="E1642" s="7">
        <v>1.013946425931868</v>
      </c>
      <c r="F1642" s="8">
        <v>1.0768498119350183</v>
      </c>
      <c r="G1642" s="8">
        <f t="shared" si="200"/>
        <v>1.0642213340235336</v>
      </c>
      <c r="H1642" s="8">
        <f t="shared" si="201"/>
        <v>1.0453981189334431</v>
      </c>
      <c r="I1642" s="8">
        <f t="shared" si="202"/>
        <v>0.98231268770103963</v>
      </c>
      <c r="J1642" s="22">
        <f t="shared" si="203"/>
        <v>-2.5745761600602594E-2</v>
      </c>
      <c r="K1642" s="8"/>
      <c r="L1642" s="8">
        <v>1.2311325374175126</v>
      </c>
      <c r="M1642" s="8">
        <v>1.2443240374482056</v>
      </c>
      <c r="N1642" s="8">
        <v>0.9724859034391129</v>
      </c>
      <c r="O1642" s="8">
        <v>1.3078800089104246</v>
      </c>
      <c r="P1642" s="8">
        <f t="shared" si="204"/>
        <v>1.237728287432859</v>
      </c>
      <c r="Q1642" s="8">
        <f t="shared" si="205"/>
        <v>1.1401829561747687</v>
      </c>
      <c r="R1642" s="8">
        <f t="shared" si="206"/>
        <v>0.92119002833779728</v>
      </c>
      <c r="S1642" s="22">
        <f t="shared" si="207"/>
        <v>-0.11842930050157979</v>
      </c>
      <c r="T1642" s="25"/>
      <c r="U1642" s="1" t="s">
        <v>4655</v>
      </c>
    </row>
    <row r="1643" spans="1:21">
      <c r="A1643" s="6" t="s">
        <v>4656</v>
      </c>
      <c r="B1643" s="6" t="s">
        <v>4657</v>
      </c>
      <c r="C1643" s="7">
        <v>1.1151303790531317</v>
      </c>
      <c r="D1643" s="7">
        <v>1.03553663445122</v>
      </c>
      <c r="E1643" s="7">
        <v>1.0760466294208315</v>
      </c>
      <c r="F1643" s="8">
        <v>1.0145948693409215</v>
      </c>
      <c r="G1643" s="8">
        <f t="shared" si="200"/>
        <v>1.0753335067521759</v>
      </c>
      <c r="H1643" s="8">
        <f t="shared" si="201"/>
        <v>1.0453207493808765</v>
      </c>
      <c r="I1643" s="8">
        <f t="shared" si="202"/>
        <v>0.97208981475714751</v>
      </c>
      <c r="J1643" s="22">
        <f t="shared" si="203"/>
        <v>-4.0838479288204721E-2</v>
      </c>
      <c r="K1643" s="8"/>
      <c r="L1643" s="8">
        <v>0.84680368420723628</v>
      </c>
      <c r="M1643" s="8">
        <v>1.3388867620288027</v>
      </c>
      <c r="N1643" s="8">
        <v>0.87879869376457687</v>
      </c>
      <c r="O1643" s="8">
        <v>0.94321181380366703</v>
      </c>
      <c r="P1643" s="8">
        <f t="shared" si="204"/>
        <v>1.0928452231180195</v>
      </c>
      <c r="Q1643" s="8">
        <f t="shared" si="205"/>
        <v>0.911005253784122</v>
      </c>
      <c r="R1643" s="8">
        <f t="shared" si="206"/>
        <v>0.83360867075477896</v>
      </c>
      <c r="S1643" s="22">
        <f t="shared" si="207"/>
        <v>-0.26255781104509807</v>
      </c>
      <c r="T1643" s="25"/>
      <c r="U1643" s="1" t="s">
        <v>4658</v>
      </c>
    </row>
    <row r="1644" spans="1:21">
      <c r="A1644" s="6" t="s">
        <v>4659</v>
      </c>
      <c r="B1644" s="6" t="s">
        <v>4660</v>
      </c>
      <c r="C1644" s="7">
        <v>1.0335046518441551</v>
      </c>
      <c r="D1644" s="7">
        <v>1.0513923220113108</v>
      </c>
      <c r="E1644" s="7">
        <v>1.0223251388765719</v>
      </c>
      <c r="F1644" s="8">
        <v>1.0548331699874172</v>
      </c>
      <c r="G1644" s="8">
        <f t="shared" si="200"/>
        <v>1.0424484869277331</v>
      </c>
      <c r="H1644" s="8">
        <f t="shared" si="201"/>
        <v>1.0385791544319947</v>
      </c>
      <c r="I1644" s="8">
        <f t="shared" si="202"/>
        <v>0.99628822666610417</v>
      </c>
      <c r="J1644" s="22">
        <f t="shared" si="203"/>
        <v>-5.364919835858145E-3</v>
      </c>
      <c r="K1644" s="8"/>
      <c r="L1644" s="8">
        <v>0.84995975043184069</v>
      </c>
      <c r="M1644" s="8">
        <v>0.93129317253026811</v>
      </c>
      <c r="N1644" s="8">
        <v>1.064711534179569</v>
      </c>
      <c r="O1644" s="8">
        <v>1.1847426720628618</v>
      </c>
      <c r="P1644" s="8">
        <f t="shared" si="204"/>
        <v>0.8906264614810544</v>
      </c>
      <c r="Q1644" s="8">
        <f t="shared" si="205"/>
        <v>1.1247271031212154</v>
      </c>
      <c r="R1644" s="8">
        <f t="shared" si="206"/>
        <v>1.2628494119194109</v>
      </c>
      <c r="S1644" s="22">
        <f t="shared" si="207"/>
        <v>0.33668261566570151</v>
      </c>
      <c r="T1644" s="25"/>
      <c r="U1644" s="1" t="s">
        <v>4661</v>
      </c>
    </row>
    <row r="1645" spans="1:21">
      <c r="A1645" s="6" t="s">
        <v>4662</v>
      </c>
      <c r="B1645" s="6" t="s">
        <v>4663</v>
      </c>
      <c r="C1645" s="7">
        <v>0.99704884608617061</v>
      </c>
      <c r="D1645" s="7">
        <v>0.95844853001786967</v>
      </c>
      <c r="E1645" s="7">
        <v>0.95618648197858325</v>
      </c>
      <c r="F1645" s="8">
        <v>0.98329522489081267</v>
      </c>
      <c r="G1645" s="8">
        <f t="shared" si="200"/>
        <v>0.97774868805202009</v>
      </c>
      <c r="H1645" s="8">
        <f t="shared" si="201"/>
        <v>0.96974085343469796</v>
      </c>
      <c r="I1645" s="8">
        <f t="shared" si="202"/>
        <v>0.9918099254796483</v>
      </c>
      <c r="J1645" s="22">
        <f t="shared" si="203"/>
        <v>-1.1864431777745564E-2</v>
      </c>
      <c r="K1645" s="8"/>
      <c r="L1645" s="8">
        <v>0.99304956982622883</v>
      </c>
      <c r="M1645" s="8">
        <v>0.93049215078839054</v>
      </c>
      <c r="N1645" s="8">
        <v>1.0369415344320465</v>
      </c>
      <c r="O1645" s="8">
        <v>0.96849534075474453</v>
      </c>
      <c r="P1645" s="8">
        <f t="shared" si="204"/>
        <v>0.96177086030730963</v>
      </c>
      <c r="Q1645" s="8">
        <f t="shared" si="205"/>
        <v>1.0027184375933955</v>
      </c>
      <c r="R1645" s="8">
        <f t="shared" si="206"/>
        <v>1.0425751901788771</v>
      </c>
      <c r="S1645" s="22">
        <f t="shared" si="207"/>
        <v>6.0151434112577673E-2</v>
      </c>
      <c r="T1645" s="25"/>
      <c r="U1645" s="1" t="s">
        <v>4664</v>
      </c>
    </row>
    <row r="1646" spans="1:21">
      <c r="A1646" s="6" t="s">
        <v>4665</v>
      </c>
      <c r="B1646" s="6" t="s">
        <v>4666</v>
      </c>
      <c r="C1646" s="7">
        <v>0.96721418865686148</v>
      </c>
      <c r="D1646" s="7">
        <v>1.0498416435213263</v>
      </c>
      <c r="E1646" s="7">
        <v>0.95370736022393243</v>
      </c>
      <c r="F1646" s="8">
        <v>0.97491613144187228</v>
      </c>
      <c r="G1646" s="8">
        <f t="shared" si="200"/>
        <v>1.0085279160890939</v>
      </c>
      <c r="H1646" s="8">
        <f t="shared" si="201"/>
        <v>0.96431174583290236</v>
      </c>
      <c r="I1646" s="8">
        <f t="shared" si="202"/>
        <v>0.95615771308775011</v>
      </c>
      <c r="J1646" s="22">
        <f t="shared" si="203"/>
        <v>-6.4679492242566541E-2</v>
      </c>
      <c r="K1646" s="8"/>
      <c r="L1646" s="8">
        <v>1.1134690543678247</v>
      </c>
      <c r="M1646" s="8">
        <v>0.8601287146203046</v>
      </c>
      <c r="N1646" s="8">
        <v>0.91782285130451624</v>
      </c>
      <c r="O1646" s="8">
        <v>0.97697364919342911</v>
      </c>
      <c r="P1646" s="8">
        <f t="shared" si="204"/>
        <v>0.98679888449406472</v>
      </c>
      <c r="Q1646" s="8">
        <f t="shared" si="205"/>
        <v>0.94739825024897262</v>
      </c>
      <c r="R1646" s="8">
        <f t="shared" si="206"/>
        <v>0.96007227524857519</v>
      </c>
      <c r="S1646" s="22">
        <f t="shared" si="207"/>
        <v>-5.8785077368381622E-2</v>
      </c>
      <c r="T1646" s="25"/>
      <c r="U1646" s="1" t="s">
        <v>4667</v>
      </c>
    </row>
    <row r="1647" spans="1:21">
      <c r="A1647" s="6" t="s">
        <v>4668</v>
      </c>
      <c r="B1647" s="13" t="s">
        <v>4669</v>
      </c>
      <c r="C1647" s="14">
        <v>1.0414421318485112</v>
      </c>
      <c r="D1647" s="14">
        <v>1.0337598153481129</v>
      </c>
      <c r="E1647" s="14">
        <v>0.97400022931127705</v>
      </c>
      <c r="F1647" s="8">
        <v>1.0664189884121078</v>
      </c>
      <c r="G1647" s="8">
        <f t="shared" si="200"/>
        <v>1.037600973598312</v>
      </c>
      <c r="H1647" s="8">
        <f t="shared" si="201"/>
        <v>1.0202096088616925</v>
      </c>
      <c r="I1647" s="8">
        <f t="shared" si="202"/>
        <v>0.98323887006745214</v>
      </c>
      <c r="J1647" s="22">
        <f t="shared" si="203"/>
        <v>-2.4386144448260833E-2</v>
      </c>
      <c r="K1647" s="8"/>
      <c r="L1647" s="8">
        <v>0.75456653750224867</v>
      </c>
      <c r="M1647" s="8">
        <v>1.1916673976795182</v>
      </c>
      <c r="N1647" s="8">
        <v>0.93370534238818692</v>
      </c>
      <c r="O1647" s="8">
        <v>0.96819254402479149</v>
      </c>
      <c r="P1647" s="8">
        <f t="shared" si="204"/>
        <v>0.97311696759088351</v>
      </c>
      <c r="Q1647" s="8">
        <f t="shared" si="205"/>
        <v>0.95094894320648926</v>
      </c>
      <c r="R1647" s="8">
        <f t="shared" si="206"/>
        <v>0.97721956853832792</v>
      </c>
      <c r="S1647" s="22">
        <f t="shared" si="207"/>
        <v>-3.324534144332883E-2</v>
      </c>
      <c r="T1647" s="25"/>
      <c r="U1647" s="1" t="s">
        <v>4670</v>
      </c>
    </row>
    <row r="1648" spans="1:21">
      <c r="A1648" s="6" t="s">
        <v>4671</v>
      </c>
      <c r="B1648" s="6" t="s">
        <v>4672</v>
      </c>
      <c r="C1648" s="7">
        <v>1.0389805916149879</v>
      </c>
      <c r="D1648" s="7">
        <v>1.0658911658926651</v>
      </c>
      <c r="E1648" s="7">
        <v>1.0111439404700888</v>
      </c>
      <c r="F1648" s="8">
        <v>0.99903472063308607</v>
      </c>
      <c r="G1648" s="8">
        <f t="shared" si="200"/>
        <v>1.0524358787538266</v>
      </c>
      <c r="H1648" s="8">
        <f t="shared" si="201"/>
        <v>1.0050893305515873</v>
      </c>
      <c r="I1648" s="8">
        <f t="shared" si="202"/>
        <v>0.95501241533279768</v>
      </c>
      <c r="J1648" s="22">
        <f t="shared" si="203"/>
        <v>-6.6408606322608379E-2</v>
      </c>
      <c r="K1648" s="8"/>
      <c r="L1648" s="8">
        <v>0.80750843712906328</v>
      </c>
      <c r="M1648" s="8">
        <v>0.83162920422508235</v>
      </c>
      <c r="N1648" s="8">
        <v>0.93161041258267208</v>
      </c>
      <c r="O1648" s="8">
        <v>0.80422811475522948</v>
      </c>
      <c r="P1648" s="8">
        <f t="shared" si="204"/>
        <v>0.81956882067707282</v>
      </c>
      <c r="Q1648" s="8">
        <f t="shared" si="205"/>
        <v>0.86791926366895078</v>
      </c>
      <c r="R1648" s="8">
        <f t="shared" si="206"/>
        <v>1.0589949761045498</v>
      </c>
      <c r="S1648" s="22">
        <f t="shared" si="207"/>
        <v>8.2695745169490159E-2</v>
      </c>
      <c r="T1648" s="25"/>
      <c r="U1648" s="1" t="s">
        <v>4673</v>
      </c>
    </row>
    <row r="1649" spans="1:21">
      <c r="A1649" s="6" t="s">
        <v>4674</v>
      </c>
      <c r="B1649" s="6" t="s">
        <v>4675</v>
      </c>
      <c r="C1649" s="7">
        <v>0.97988388103529078</v>
      </c>
      <c r="D1649" s="7">
        <v>1.0403501989305468</v>
      </c>
      <c r="E1649" s="7">
        <v>0.94424358239530881</v>
      </c>
      <c r="F1649" s="8">
        <v>0.96082662841642785</v>
      </c>
      <c r="G1649" s="8">
        <f t="shared" si="200"/>
        <v>1.0101170399829189</v>
      </c>
      <c r="H1649" s="8">
        <f t="shared" si="201"/>
        <v>0.95253510540586839</v>
      </c>
      <c r="I1649" s="8">
        <f t="shared" si="202"/>
        <v>0.94299478941764592</v>
      </c>
      <c r="J1649" s="22">
        <f t="shared" si="203"/>
        <v>-8.4678295675315998E-2</v>
      </c>
      <c r="K1649" s="8"/>
      <c r="L1649" s="8">
        <v>0.82568915664826326</v>
      </c>
      <c r="M1649" s="8">
        <v>1.0059989897201111</v>
      </c>
      <c r="N1649" s="8">
        <v>0.85780067641162572</v>
      </c>
      <c r="O1649" s="8">
        <v>1.0358171470476334</v>
      </c>
      <c r="P1649" s="8">
        <f t="shared" si="204"/>
        <v>0.91584407318418726</v>
      </c>
      <c r="Q1649" s="8">
        <f t="shared" si="205"/>
        <v>0.94680891172962955</v>
      </c>
      <c r="R1649" s="8">
        <f t="shared" si="206"/>
        <v>1.0338101642540356</v>
      </c>
      <c r="S1649" s="22">
        <f t="shared" si="207"/>
        <v>4.7971291810279086E-2</v>
      </c>
      <c r="T1649" s="25"/>
      <c r="U1649" s="1" t="s">
        <v>4676</v>
      </c>
    </row>
    <row r="1650" spans="1:21">
      <c r="A1650" s="6" t="s">
        <v>4677</v>
      </c>
      <c r="B1650" s="9" t="s">
        <v>4678</v>
      </c>
      <c r="C1650" s="10">
        <v>1.2165274080308368</v>
      </c>
      <c r="D1650" s="10">
        <v>1.1040120121047821</v>
      </c>
      <c r="E1650" s="10">
        <v>1.1414092134217122</v>
      </c>
      <c r="F1650" s="8">
        <v>1.1678720188529603</v>
      </c>
      <c r="G1650" s="8">
        <f t="shared" si="200"/>
        <v>1.1602697100678094</v>
      </c>
      <c r="H1650" s="8">
        <f t="shared" si="201"/>
        <v>1.1546406161373364</v>
      </c>
      <c r="I1650" s="8">
        <f t="shared" si="202"/>
        <v>0.99514846084351882</v>
      </c>
      <c r="J1650" s="22">
        <f t="shared" si="203"/>
        <v>-7.0163252657916633E-3</v>
      </c>
      <c r="K1650" s="8"/>
      <c r="L1650" s="8">
        <v>1.1637883074136302</v>
      </c>
      <c r="M1650" s="8">
        <v>1.2364402971465687</v>
      </c>
      <c r="N1650" s="8">
        <v>1.0558933412772855</v>
      </c>
      <c r="O1650" s="8">
        <v>1.2086131476074919</v>
      </c>
      <c r="P1650" s="8">
        <f t="shared" si="204"/>
        <v>1.2001143022800993</v>
      </c>
      <c r="Q1650" s="8">
        <f t="shared" si="205"/>
        <v>1.1322532444423887</v>
      </c>
      <c r="R1650" s="8">
        <f t="shared" si="206"/>
        <v>0.94345450453445878</v>
      </c>
      <c r="S1650" s="22">
        <f t="shared" si="207"/>
        <v>-8.3975145334087287E-2</v>
      </c>
      <c r="T1650" s="25"/>
      <c r="U1650" s="1" t="s">
        <v>4679</v>
      </c>
    </row>
    <row r="1651" spans="1:21">
      <c r="A1651" s="6" t="s">
        <v>4680</v>
      </c>
      <c r="B1651" s="6" t="s">
        <v>4681</v>
      </c>
      <c r="C1651" s="7">
        <v>1.0172347923327383</v>
      </c>
      <c r="D1651" s="7">
        <v>1.067984581854144</v>
      </c>
      <c r="E1651" s="7">
        <v>0.98738748678639154</v>
      </c>
      <c r="F1651" s="8">
        <v>0.92492852600333031</v>
      </c>
      <c r="G1651" s="8">
        <f t="shared" si="200"/>
        <v>1.0426096870934412</v>
      </c>
      <c r="H1651" s="8">
        <f t="shared" si="201"/>
        <v>0.95615800639486093</v>
      </c>
      <c r="I1651" s="8">
        <f t="shared" si="202"/>
        <v>0.91708145265790897</v>
      </c>
      <c r="J1651" s="22">
        <f t="shared" si="203"/>
        <v>-0.12487821916195047</v>
      </c>
      <c r="K1651" s="8"/>
      <c r="L1651" s="8">
        <v>0.807641792039962</v>
      </c>
      <c r="M1651" s="8">
        <v>0.91809739330881157</v>
      </c>
      <c r="N1651" s="8">
        <v>0.94759034226194816</v>
      </c>
      <c r="O1651" s="8">
        <v>1.0211315056449117</v>
      </c>
      <c r="P1651" s="8">
        <f t="shared" si="204"/>
        <v>0.86286959267438679</v>
      </c>
      <c r="Q1651" s="8">
        <f t="shared" si="205"/>
        <v>0.98436092395342989</v>
      </c>
      <c r="R1651" s="8">
        <f t="shared" si="206"/>
        <v>1.1407991802127266</v>
      </c>
      <c r="S1651" s="22">
        <f t="shared" si="207"/>
        <v>0.19004485016279526</v>
      </c>
      <c r="T1651" s="25"/>
      <c r="U1651" s="1" t="s">
        <v>4682</v>
      </c>
    </row>
    <row r="1652" spans="1:21">
      <c r="A1652" s="6" t="s">
        <v>4683</v>
      </c>
      <c r="B1652" s="6" t="s">
        <v>4684</v>
      </c>
      <c r="C1652" s="7">
        <v>1.1932085923961484</v>
      </c>
      <c r="D1652" s="7">
        <v>1.1179616573542668</v>
      </c>
      <c r="E1652" s="7">
        <v>1.0447809518715976</v>
      </c>
      <c r="F1652" s="8">
        <v>0.96786420604777257</v>
      </c>
      <c r="G1652" s="8">
        <f t="shared" si="200"/>
        <v>1.1555851248752076</v>
      </c>
      <c r="H1652" s="8">
        <f t="shared" si="201"/>
        <v>1.006322578959685</v>
      </c>
      <c r="I1652" s="8">
        <f t="shared" si="202"/>
        <v>0.87083379432420305</v>
      </c>
      <c r="J1652" s="22">
        <f t="shared" si="203"/>
        <v>-0.19953069981196239</v>
      </c>
      <c r="K1652" s="8"/>
      <c r="L1652" s="8">
        <v>1.0388347559014757</v>
      </c>
      <c r="M1652" s="8">
        <v>0.99465820821668693</v>
      </c>
      <c r="N1652" s="8">
        <v>1.0500470255409649</v>
      </c>
      <c r="O1652" s="8">
        <v>0.86347534158270434</v>
      </c>
      <c r="P1652" s="8">
        <f t="shared" si="204"/>
        <v>1.0167464820590812</v>
      </c>
      <c r="Q1652" s="8">
        <f t="shared" si="205"/>
        <v>0.95676118356183459</v>
      </c>
      <c r="R1652" s="8">
        <f t="shared" si="206"/>
        <v>0.94100269874967613</v>
      </c>
      <c r="S1652" s="22">
        <f t="shared" si="207"/>
        <v>-8.7729234348862511E-2</v>
      </c>
      <c r="T1652" s="25"/>
      <c r="U1652" s="1" t="s">
        <v>4685</v>
      </c>
    </row>
    <row r="1653" spans="1:21">
      <c r="A1653" s="6" t="s">
        <v>4686</v>
      </c>
      <c r="B1653" s="6" t="s">
        <v>4687</v>
      </c>
      <c r="C1653" s="7">
        <v>1.1224820914618099</v>
      </c>
      <c r="D1653" s="7">
        <v>1.0187117728348891</v>
      </c>
      <c r="E1653" s="7">
        <v>1.1836405135726771</v>
      </c>
      <c r="F1653" s="8">
        <v>0.94525930582721496</v>
      </c>
      <c r="G1653" s="8">
        <f t="shared" si="200"/>
        <v>1.0705969321483495</v>
      </c>
      <c r="H1653" s="8">
        <f t="shared" si="201"/>
        <v>1.064449909699946</v>
      </c>
      <c r="I1653" s="8">
        <f t="shared" si="202"/>
        <v>0.99425832237715428</v>
      </c>
      <c r="J1653" s="22">
        <f t="shared" si="203"/>
        <v>-8.3073618176518534E-3</v>
      </c>
      <c r="K1653" s="8"/>
      <c r="L1653" s="8">
        <v>0.80755288876602949</v>
      </c>
      <c r="M1653" s="8">
        <v>0.98719605830551194</v>
      </c>
      <c r="N1653" s="8">
        <v>0.90544814966263787</v>
      </c>
      <c r="O1653" s="8">
        <v>1.0657435571913239</v>
      </c>
      <c r="P1653" s="8">
        <f t="shared" si="204"/>
        <v>0.89737447353577071</v>
      </c>
      <c r="Q1653" s="8">
        <f t="shared" si="205"/>
        <v>0.98559585342698086</v>
      </c>
      <c r="R1653" s="8">
        <f t="shared" si="206"/>
        <v>1.0983105520525969</v>
      </c>
      <c r="S1653" s="22">
        <f t="shared" si="207"/>
        <v>0.13528604028006075</v>
      </c>
      <c r="T1653" s="25"/>
      <c r="U1653" s="1" t="s">
        <v>4688</v>
      </c>
    </row>
    <row r="1654" spans="1:21">
      <c r="A1654" s="6" t="s">
        <v>4689</v>
      </c>
      <c r="B1654" s="13" t="s">
        <v>4690</v>
      </c>
      <c r="C1654" s="14">
        <v>1.1034742620649769</v>
      </c>
      <c r="D1654" s="14">
        <v>1.1566187798775034</v>
      </c>
      <c r="E1654" s="14">
        <v>1.1033457121626242</v>
      </c>
      <c r="F1654" s="8">
        <v>0.93843694463719585</v>
      </c>
      <c r="G1654" s="8">
        <f t="shared" si="200"/>
        <v>1.13004652097124</v>
      </c>
      <c r="H1654" s="8">
        <f t="shared" si="201"/>
        <v>1.0208913283999101</v>
      </c>
      <c r="I1654" s="8">
        <f t="shared" si="202"/>
        <v>0.90340646110965916</v>
      </c>
      <c r="J1654" s="22">
        <f t="shared" si="203"/>
        <v>-0.14655286300530207</v>
      </c>
      <c r="K1654" s="8"/>
      <c r="L1654" s="8">
        <v>1.2429566728505377</v>
      </c>
      <c r="M1654" s="8">
        <v>0.96055154562832179</v>
      </c>
      <c r="N1654" s="8">
        <v>1.0173076574175701</v>
      </c>
      <c r="O1654" s="8">
        <v>0.879069373175285</v>
      </c>
      <c r="P1654" s="8">
        <f t="shared" si="204"/>
        <v>1.1017541092394296</v>
      </c>
      <c r="Q1654" s="8">
        <f t="shared" si="205"/>
        <v>0.94818851529642756</v>
      </c>
      <c r="R1654" s="8">
        <f t="shared" si="206"/>
        <v>0.86061718068016779</v>
      </c>
      <c r="S1654" s="22">
        <f t="shared" si="207"/>
        <v>-0.21655645349183594</v>
      </c>
      <c r="T1654" s="25"/>
      <c r="U1654" s="1" t="s">
        <v>4691</v>
      </c>
    </row>
    <row r="1655" spans="1:21">
      <c r="A1655" s="6" t="s">
        <v>4692</v>
      </c>
      <c r="B1655" s="6" t="s">
        <v>4693</v>
      </c>
      <c r="C1655" s="7">
        <v>1.0790431461643379</v>
      </c>
      <c r="D1655" s="7">
        <v>1.094565795636627</v>
      </c>
      <c r="E1655" s="7">
        <v>1.1235164216272759</v>
      </c>
      <c r="F1655" s="8">
        <v>0.9888334613142562</v>
      </c>
      <c r="G1655" s="8">
        <f t="shared" si="200"/>
        <v>1.0868044709004825</v>
      </c>
      <c r="H1655" s="8">
        <f t="shared" si="201"/>
        <v>1.0561749414707662</v>
      </c>
      <c r="I1655" s="8">
        <f t="shared" si="202"/>
        <v>0.97181689048045794</v>
      </c>
      <c r="J1655" s="22">
        <f t="shared" si="203"/>
        <v>-4.1243587724781997E-2</v>
      </c>
      <c r="K1655" s="8"/>
      <c r="L1655" s="8">
        <v>1.2391338320714393</v>
      </c>
      <c r="M1655" s="8">
        <v>1.2461790351662378</v>
      </c>
      <c r="N1655" s="8">
        <v>1.3589273736098981</v>
      </c>
      <c r="O1655" s="8">
        <v>0.97066538398607449</v>
      </c>
      <c r="P1655" s="8">
        <f t="shared" si="204"/>
        <v>1.2426564336188386</v>
      </c>
      <c r="Q1655" s="8">
        <f t="shared" si="205"/>
        <v>1.1647963787979863</v>
      </c>
      <c r="R1655" s="8">
        <f t="shared" si="206"/>
        <v>0.93734386052779695</v>
      </c>
      <c r="S1655" s="22">
        <f t="shared" si="207"/>
        <v>-9.3349703487846478E-2</v>
      </c>
      <c r="T1655" s="25"/>
      <c r="U1655" s="1" t="s">
        <v>4694</v>
      </c>
    </row>
    <row r="1656" spans="1:21">
      <c r="A1656" s="6" t="s">
        <v>4695</v>
      </c>
      <c r="B1656" s="13" t="s">
        <v>4696</v>
      </c>
      <c r="C1656" s="14">
        <v>1.0084416967391894</v>
      </c>
      <c r="D1656" s="14">
        <v>1.0959484839568632</v>
      </c>
      <c r="E1656" s="14">
        <v>1.0543165883018053</v>
      </c>
      <c r="F1656" s="8">
        <v>1.0254561257464829</v>
      </c>
      <c r="G1656" s="8">
        <f t="shared" si="200"/>
        <v>1.0521950903480262</v>
      </c>
      <c r="H1656" s="8">
        <f t="shared" si="201"/>
        <v>1.0398863570241441</v>
      </c>
      <c r="I1656" s="8">
        <f t="shared" si="202"/>
        <v>0.98830185253971226</v>
      </c>
      <c r="J1656" s="22">
        <f t="shared" si="203"/>
        <v>-1.6976349988506927E-2</v>
      </c>
      <c r="K1656" s="8"/>
      <c r="L1656" s="8">
        <v>0.94726438375098188</v>
      </c>
      <c r="M1656" s="8">
        <v>1.1784294594190154</v>
      </c>
      <c r="N1656" s="8">
        <v>0.91431506186272393</v>
      </c>
      <c r="O1656" s="8">
        <v>0.90516035807290385</v>
      </c>
      <c r="P1656" s="8">
        <f t="shared" si="204"/>
        <v>1.0628469215849987</v>
      </c>
      <c r="Q1656" s="8">
        <f t="shared" si="205"/>
        <v>0.90973770996781389</v>
      </c>
      <c r="R1656" s="8">
        <f t="shared" si="206"/>
        <v>0.85594424887748022</v>
      </c>
      <c r="S1656" s="22">
        <f t="shared" si="207"/>
        <v>-0.2244112637835492</v>
      </c>
      <c r="T1656" s="25"/>
      <c r="U1656" s="1" t="s">
        <v>4697</v>
      </c>
    </row>
    <row r="1657" spans="1:21">
      <c r="A1657" s="6" t="s">
        <v>4698</v>
      </c>
      <c r="B1657" s="6" t="s">
        <v>4699</v>
      </c>
      <c r="C1657" s="7">
        <v>1.1931822657626348</v>
      </c>
      <c r="D1657" s="7">
        <v>1.1423202319677721</v>
      </c>
      <c r="E1657" s="7">
        <v>1.1337562723530075</v>
      </c>
      <c r="F1657" s="8">
        <v>1.1446501648339362</v>
      </c>
      <c r="G1657" s="8">
        <f t="shared" si="200"/>
        <v>1.1677512488652035</v>
      </c>
      <c r="H1657" s="8">
        <f t="shared" si="201"/>
        <v>1.139203218593472</v>
      </c>
      <c r="I1657" s="8">
        <f t="shared" si="202"/>
        <v>0.97555298673456869</v>
      </c>
      <c r="J1657" s="22">
        <f t="shared" si="203"/>
        <v>-3.5707860573660891E-2</v>
      </c>
      <c r="K1657" s="8"/>
      <c r="L1657" s="8">
        <v>0.76434589763482563</v>
      </c>
      <c r="M1657" s="8">
        <v>0.82146887581495132</v>
      </c>
      <c r="N1657" s="8">
        <v>0.75310290543368608</v>
      </c>
      <c r="O1657" s="8">
        <v>1.4145149239755477</v>
      </c>
      <c r="P1657" s="8">
        <f t="shared" si="204"/>
        <v>0.79290738672488847</v>
      </c>
      <c r="Q1657" s="8">
        <f t="shared" si="205"/>
        <v>1.0838089147046168</v>
      </c>
      <c r="R1657" s="8">
        <f t="shared" si="206"/>
        <v>1.3668795786873671</v>
      </c>
      <c r="S1657" s="22">
        <f t="shared" si="207"/>
        <v>0.45088614793070353</v>
      </c>
      <c r="T1657" s="25"/>
      <c r="U1657" s="1" t="s">
        <v>4700</v>
      </c>
    </row>
    <row r="1658" spans="1:21">
      <c r="A1658" s="6" t="s">
        <v>4701</v>
      </c>
      <c r="B1658" s="13" t="s">
        <v>4702</v>
      </c>
      <c r="C1658" s="14">
        <v>1.0958790282962976</v>
      </c>
      <c r="D1658" s="14">
        <v>1.1374291335639464</v>
      </c>
      <c r="E1658" s="14">
        <v>1.0068611678156776</v>
      </c>
      <c r="F1658" s="8">
        <v>1.0329097884977236</v>
      </c>
      <c r="G1658" s="8">
        <f t="shared" si="200"/>
        <v>1.116654080930122</v>
      </c>
      <c r="H1658" s="8">
        <f t="shared" si="201"/>
        <v>1.0198854781567006</v>
      </c>
      <c r="I1658" s="8">
        <f t="shared" si="202"/>
        <v>0.91334057303330896</v>
      </c>
      <c r="J1658" s="22">
        <f t="shared" si="203"/>
        <v>-0.13077517180047449</v>
      </c>
      <c r="K1658" s="8"/>
      <c r="L1658" s="8">
        <v>0.56462469274542337</v>
      </c>
      <c r="M1658" s="8">
        <v>0.56796657403022954</v>
      </c>
      <c r="N1658" s="8">
        <v>0.53396350391727254</v>
      </c>
      <c r="O1658" s="8">
        <v>0.59544976945261996</v>
      </c>
      <c r="P1658" s="8">
        <f t="shared" si="204"/>
        <v>0.5662956333878264</v>
      </c>
      <c r="Q1658" s="8">
        <f t="shared" si="205"/>
        <v>0.56470663668494625</v>
      </c>
      <c r="R1658" s="8">
        <f t="shared" si="206"/>
        <v>0.99719405093524371</v>
      </c>
      <c r="S1658" s="22">
        <f t="shared" si="207"/>
        <v>-4.0538188688422844E-3</v>
      </c>
      <c r="T1658" s="25"/>
      <c r="U1658" s="1" t="s">
        <v>4703</v>
      </c>
    </row>
    <row r="1659" spans="1:21">
      <c r="A1659" s="6" t="s">
        <v>4704</v>
      </c>
      <c r="B1659" s="6" t="s">
        <v>80</v>
      </c>
      <c r="C1659" s="7">
        <v>1.0754100707394585</v>
      </c>
      <c r="D1659" s="7">
        <v>1.0661883792699121</v>
      </c>
      <c r="E1659" s="7">
        <v>1.0330464422329171</v>
      </c>
      <c r="F1659" s="8">
        <v>1.0807595772857654</v>
      </c>
      <c r="G1659" s="8">
        <f t="shared" si="200"/>
        <v>1.0707992250046852</v>
      </c>
      <c r="H1659" s="8">
        <f t="shared" si="201"/>
        <v>1.0569030097593413</v>
      </c>
      <c r="I1659" s="8">
        <f t="shared" si="202"/>
        <v>0.98702257629549262</v>
      </c>
      <c r="J1659" s="22">
        <f t="shared" si="203"/>
        <v>-1.8845010877372295E-2</v>
      </c>
      <c r="K1659" s="8"/>
      <c r="L1659" s="8">
        <v>0.84693703911813512</v>
      </c>
      <c r="M1659" s="8">
        <v>1.0522052965147322</v>
      </c>
      <c r="N1659" s="8">
        <v>0.88747072877345234</v>
      </c>
      <c r="O1659" s="8">
        <v>1.2079570880259269</v>
      </c>
      <c r="P1659" s="8">
        <f t="shared" si="204"/>
        <v>0.94957116781643358</v>
      </c>
      <c r="Q1659" s="8">
        <f t="shared" si="205"/>
        <v>1.0477139083996896</v>
      </c>
      <c r="R1659" s="8">
        <f t="shared" si="206"/>
        <v>1.1033548025778184</v>
      </c>
      <c r="S1659" s="22">
        <f t="shared" si="207"/>
        <v>0.14189678876257913</v>
      </c>
      <c r="T1659" s="25"/>
      <c r="U1659" s="1">
        <v>0</v>
      </c>
    </row>
    <row r="1660" spans="1:21">
      <c r="A1660" s="6" t="s">
        <v>4705</v>
      </c>
      <c r="B1660" s="6" t="s">
        <v>80</v>
      </c>
      <c r="C1660" s="7">
        <v>1.0975376062076556</v>
      </c>
      <c r="D1660" s="7">
        <v>1.145621884919364</v>
      </c>
      <c r="E1660" s="7">
        <v>1.1541210000419362</v>
      </c>
      <c r="F1660" s="8">
        <v>1.0239926539454693</v>
      </c>
      <c r="G1660" s="8">
        <f t="shared" si="200"/>
        <v>1.1215797455635097</v>
      </c>
      <c r="H1660" s="8">
        <f t="shared" si="201"/>
        <v>1.0890568269937027</v>
      </c>
      <c r="I1660" s="8">
        <f t="shared" si="202"/>
        <v>0.97100258033505527</v>
      </c>
      <c r="J1660" s="22">
        <f t="shared" si="203"/>
        <v>-4.2452965430699312E-2</v>
      </c>
      <c r="K1660" s="8"/>
      <c r="L1660" s="8">
        <v>1.2637155873137806</v>
      </c>
      <c r="M1660" s="8">
        <v>1.3275459805253786</v>
      </c>
      <c r="N1660" s="8">
        <v>1.3044591986665122</v>
      </c>
      <c r="O1660" s="8">
        <v>1.4685641402721623</v>
      </c>
      <c r="P1660" s="8">
        <f t="shared" si="204"/>
        <v>1.2956307839195795</v>
      </c>
      <c r="Q1660" s="8">
        <f t="shared" si="205"/>
        <v>1.3865116694693373</v>
      </c>
      <c r="R1660" s="8">
        <f t="shared" si="206"/>
        <v>1.0701441233704114</v>
      </c>
      <c r="S1660" s="22">
        <f t="shared" si="207"/>
        <v>9.7805106971984995E-2</v>
      </c>
      <c r="T1660" s="25"/>
      <c r="U1660" s="1">
        <v>0</v>
      </c>
    </row>
    <row r="1661" spans="1:21">
      <c r="A1661" s="6" t="s">
        <v>4706</v>
      </c>
      <c r="B1661" s="13" t="s">
        <v>4707</v>
      </c>
      <c r="C1661" s="14">
        <v>1.2827257280008326</v>
      </c>
      <c r="D1661" s="14">
        <v>0.99660814319223623</v>
      </c>
      <c r="E1661" s="14">
        <v>1.1800475834934729</v>
      </c>
      <c r="F1661" s="8">
        <v>1.1405969218556387</v>
      </c>
      <c r="G1661" s="8">
        <f t="shared" si="200"/>
        <v>1.1396669355965345</v>
      </c>
      <c r="H1661" s="8">
        <f t="shared" si="201"/>
        <v>1.1603222526745558</v>
      </c>
      <c r="I1661" s="8">
        <f t="shared" si="202"/>
        <v>1.0181239943292815</v>
      </c>
      <c r="J1661" s="22">
        <f t="shared" si="203"/>
        <v>2.5913273702910935E-2</v>
      </c>
      <c r="K1661" s="8"/>
      <c r="L1661" s="8">
        <v>1.1043120171527754</v>
      </c>
      <c r="M1661" s="8">
        <v>0.89200094813922193</v>
      </c>
      <c r="N1661" s="8">
        <v>1.1844148488807311</v>
      </c>
      <c r="O1661" s="8">
        <v>1.090774753534107</v>
      </c>
      <c r="P1661" s="8">
        <f t="shared" si="204"/>
        <v>0.99815648264599866</v>
      </c>
      <c r="Q1661" s="8">
        <f t="shared" si="205"/>
        <v>1.1375948012074191</v>
      </c>
      <c r="R1661" s="8">
        <f t="shared" si="206"/>
        <v>1.1396958502857042</v>
      </c>
      <c r="S1661" s="22">
        <f t="shared" si="207"/>
        <v>0.18864886489022151</v>
      </c>
      <c r="T1661" s="25"/>
      <c r="U1661" s="1" t="s">
        <v>4708</v>
      </c>
    </row>
    <row r="1662" spans="1:21">
      <c r="A1662" s="6" t="s">
        <v>4709</v>
      </c>
      <c r="B1662" s="6" t="s">
        <v>4710</v>
      </c>
      <c r="C1662" s="7">
        <v>1.1440830942597346</v>
      </c>
      <c r="D1662" s="7">
        <v>1.0447244045043778</v>
      </c>
      <c r="E1662" s="7">
        <v>0.9611590972082017</v>
      </c>
      <c r="F1662" s="8">
        <v>0.94518756701343976</v>
      </c>
      <c r="G1662" s="8">
        <f t="shared" si="200"/>
        <v>1.0944037493820562</v>
      </c>
      <c r="H1662" s="8">
        <f t="shared" si="201"/>
        <v>0.95317333211082067</v>
      </c>
      <c r="I1662" s="8">
        <f t="shared" si="202"/>
        <v>0.87095218071851466</v>
      </c>
      <c r="J1662" s="22">
        <f t="shared" si="203"/>
        <v>-0.19933458448356689</v>
      </c>
      <c r="K1662" s="8"/>
      <c r="L1662" s="8">
        <v>1.3672434498081982</v>
      </c>
      <c r="M1662" s="8">
        <v>1.3128746349373055</v>
      </c>
      <c r="N1662" s="8">
        <v>1.0035688154372169</v>
      </c>
      <c r="O1662" s="8">
        <v>0.95855351478795359</v>
      </c>
      <c r="P1662" s="8">
        <f t="shared" si="204"/>
        <v>1.3400590423727519</v>
      </c>
      <c r="Q1662" s="8">
        <f t="shared" si="205"/>
        <v>0.98106116511258523</v>
      </c>
      <c r="R1662" s="8">
        <f t="shared" si="206"/>
        <v>0.73210294031185863</v>
      </c>
      <c r="S1662" s="22">
        <f t="shared" si="207"/>
        <v>-0.44988157611041285</v>
      </c>
      <c r="T1662" s="25"/>
      <c r="U1662" s="1" t="s">
        <v>4711</v>
      </c>
    </row>
    <row r="1663" spans="1:21">
      <c r="A1663" s="6" t="s">
        <v>4712</v>
      </c>
      <c r="B1663" s="6" t="s">
        <v>4713</v>
      </c>
      <c r="C1663" s="7">
        <v>1.1259177171353374</v>
      </c>
      <c r="D1663" s="7">
        <v>1.0658523989304154</v>
      </c>
      <c r="E1663" s="7">
        <v>0.96401906955124816</v>
      </c>
      <c r="F1663" s="8">
        <v>1.0186552862005964</v>
      </c>
      <c r="G1663" s="8">
        <f t="shared" si="200"/>
        <v>1.0958850580328763</v>
      </c>
      <c r="H1663" s="8">
        <f t="shared" si="201"/>
        <v>0.99133717787592235</v>
      </c>
      <c r="I1663" s="8">
        <f t="shared" si="202"/>
        <v>0.90459959336920026</v>
      </c>
      <c r="J1663" s="22">
        <f t="shared" si="203"/>
        <v>-0.14464874743049688</v>
      </c>
      <c r="K1663" s="8"/>
      <c r="L1663" s="8">
        <v>0.8348461938633126</v>
      </c>
      <c r="M1663" s="8">
        <v>0.89305492411537657</v>
      </c>
      <c r="N1663" s="8">
        <v>0.89814025499223726</v>
      </c>
      <c r="O1663" s="8">
        <v>0.94230342361380803</v>
      </c>
      <c r="P1663" s="8">
        <f t="shared" si="204"/>
        <v>0.86395055898934459</v>
      </c>
      <c r="Q1663" s="8">
        <f t="shared" si="205"/>
        <v>0.92022183930302259</v>
      </c>
      <c r="R1663" s="8">
        <f t="shared" si="206"/>
        <v>1.0651325237632863</v>
      </c>
      <c r="S1663" s="22">
        <f t="shared" si="207"/>
        <v>9.1032941701429504E-2</v>
      </c>
      <c r="T1663" s="25"/>
      <c r="U1663" s="1" t="s">
        <v>4714</v>
      </c>
    </row>
    <row r="1664" spans="1:21">
      <c r="A1664" s="6" t="s">
        <v>4715</v>
      </c>
      <c r="B1664" s="6" t="s">
        <v>4716</v>
      </c>
      <c r="C1664" s="7">
        <v>5.4061741920217343E-2</v>
      </c>
      <c r="D1664" s="7">
        <v>8.3348968836662526E-2</v>
      </c>
      <c r="E1664" s="7">
        <v>0.18290169861196318</v>
      </c>
      <c r="F1664" s="8">
        <v>0.14227958936030444</v>
      </c>
      <c r="G1664" s="8">
        <f t="shared" si="200"/>
        <v>6.8705355378439942E-2</v>
      </c>
      <c r="H1664" s="8">
        <f t="shared" si="201"/>
        <v>0.16259064398613382</v>
      </c>
      <c r="I1664" s="8">
        <f t="shared" si="202"/>
        <v>2.3664915651852594</v>
      </c>
      <c r="J1664" s="22">
        <f t="shared" si="203"/>
        <v>1.2427497799308789</v>
      </c>
      <c r="K1664" s="8"/>
      <c r="L1664" s="8">
        <v>0.24835129573048972</v>
      </c>
      <c r="M1664" s="8">
        <v>0.24313117817935972</v>
      </c>
      <c r="N1664" s="8">
        <v>0.27161008524989</v>
      </c>
      <c r="O1664" s="8">
        <v>0.27019561536141429</v>
      </c>
      <c r="P1664" s="8">
        <f t="shared" si="204"/>
        <v>0.24574123695492472</v>
      </c>
      <c r="Q1664" s="8">
        <f t="shared" si="205"/>
        <v>0.27090285030565214</v>
      </c>
      <c r="R1664" s="8">
        <f t="shared" si="206"/>
        <v>1.1023906840484519</v>
      </c>
      <c r="S1664" s="22">
        <f t="shared" si="207"/>
        <v>0.14063560145138732</v>
      </c>
      <c r="T1664" s="25"/>
      <c r="U1664" s="1" t="s">
        <v>4717</v>
      </c>
    </row>
    <row r="1665" spans="1:21">
      <c r="A1665" s="6" t="s">
        <v>4718</v>
      </c>
      <c r="B1665" s="13" t="s">
        <v>4719</v>
      </c>
      <c r="C1665" s="14">
        <v>1.2185084872027365</v>
      </c>
      <c r="D1665" s="14">
        <v>1.147120874126349</v>
      </c>
      <c r="E1665" s="14">
        <v>1.1432056784613143</v>
      </c>
      <c r="F1665" s="8">
        <v>1.1691561436195359</v>
      </c>
      <c r="G1665" s="8">
        <f t="shared" si="200"/>
        <v>1.1828146806645428</v>
      </c>
      <c r="H1665" s="8">
        <f t="shared" si="201"/>
        <v>1.1561809110404251</v>
      </c>
      <c r="I1665" s="8">
        <f t="shared" si="202"/>
        <v>0.97748271977047663</v>
      </c>
      <c r="J1665" s="22">
        <f t="shared" si="203"/>
        <v>-3.2856896632895032E-2</v>
      </c>
      <c r="K1665" s="8"/>
      <c r="L1665" s="8">
        <v>0.91952656228403629</v>
      </c>
      <c r="M1665" s="8">
        <v>0.76282565250170531</v>
      </c>
      <c r="N1665" s="8">
        <v>1.1112384635811194</v>
      </c>
      <c r="O1665" s="8">
        <v>0.91550591301296547</v>
      </c>
      <c r="P1665" s="8">
        <f t="shared" si="204"/>
        <v>0.84117610739287074</v>
      </c>
      <c r="Q1665" s="8">
        <f t="shared" si="205"/>
        <v>1.0133721882970423</v>
      </c>
      <c r="R1665" s="8">
        <f t="shared" si="206"/>
        <v>1.2047087160355441</v>
      </c>
      <c r="S1665" s="22">
        <f t="shared" si="207"/>
        <v>0.26868436244639687</v>
      </c>
      <c r="T1665" s="25"/>
      <c r="U1665" s="1" t="s">
        <v>4720</v>
      </c>
    </row>
    <row r="1666" spans="1:21">
      <c r="A1666" s="6" t="s">
        <v>4721</v>
      </c>
      <c r="B1666" s="6" t="s">
        <v>4722</v>
      </c>
      <c r="C1666" s="7">
        <v>1.3197409747209814</v>
      </c>
      <c r="D1666" s="7">
        <v>1.191496123581403</v>
      </c>
      <c r="E1666" s="7">
        <v>1.4609859722465988</v>
      </c>
      <c r="F1666" s="8">
        <v>1.5123904981268603</v>
      </c>
      <c r="G1666" s="8">
        <f t="shared" si="200"/>
        <v>1.2556185491511922</v>
      </c>
      <c r="H1666" s="8">
        <f t="shared" si="201"/>
        <v>1.4866882351867297</v>
      </c>
      <c r="I1666" s="8">
        <f t="shared" si="202"/>
        <v>1.1840285699759232</v>
      </c>
      <c r="J1666" s="22">
        <f t="shared" si="203"/>
        <v>0.24370389284633692</v>
      </c>
      <c r="K1666" s="8"/>
      <c r="L1666" s="8">
        <v>1.1652996630704828</v>
      </c>
      <c r="M1666" s="8">
        <v>1.109710225773731</v>
      </c>
      <c r="N1666" s="8">
        <v>0.91528944781877741</v>
      </c>
      <c r="O1666" s="8">
        <v>1.292588774047797</v>
      </c>
      <c r="P1666" s="8">
        <f t="shared" si="204"/>
        <v>1.137504944422107</v>
      </c>
      <c r="Q1666" s="8">
        <f t="shared" si="205"/>
        <v>1.1039391109332872</v>
      </c>
      <c r="R1666" s="8">
        <f t="shared" si="206"/>
        <v>0.97049170321991662</v>
      </c>
      <c r="S1666" s="22">
        <f t="shared" si="207"/>
        <v>-4.3212215564751362E-2</v>
      </c>
      <c r="T1666" s="25"/>
      <c r="U1666" s="1" t="s">
        <v>4723</v>
      </c>
    </row>
    <row r="1667" spans="1:21">
      <c r="A1667" s="6" t="s">
        <v>4724</v>
      </c>
      <c r="B1667" s="13" t="s">
        <v>4725</v>
      </c>
      <c r="C1667" s="14">
        <v>1.0406260062095889</v>
      </c>
      <c r="D1667" s="14">
        <v>1.0488530859839613</v>
      </c>
      <c r="E1667" s="14">
        <v>1.1028714453921693</v>
      </c>
      <c r="F1667" s="8">
        <v>1.0346028245028178</v>
      </c>
      <c r="G1667" s="8">
        <f t="shared" si="200"/>
        <v>1.0447395460967752</v>
      </c>
      <c r="H1667" s="8">
        <f t="shared" si="201"/>
        <v>1.0687371349474937</v>
      </c>
      <c r="I1667" s="8">
        <f t="shared" si="202"/>
        <v>1.0229699248395212</v>
      </c>
      <c r="J1667" s="22">
        <f t="shared" si="203"/>
        <v>3.2763730691560626E-2</v>
      </c>
      <c r="K1667" s="8"/>
      <c r="L1667" s="8">
        <v>1.1637883074136302</v>
      </c>
      <c r="M1667" s="8">
        <v>1.1543988071626889</v>
      </c>
      <c r="N1667" s="8">
        <v>1.530809056257721</v>
      </c>
      <c r="O1667" s="8">
        <v>1.4575120596288769</v>
      </c>
      <c r="P1667" s="8">
        <f t="shared" si="204"/>
        <v>1.1590935572881595</v>
      </c>
      <c r="Q1667" s="8">
        <f t="shared" si="205"/>
        <v>1.4941605579432991</v>
      </c>
      <c r="R1667" s="8">
        <f t="shared" si="206"/>
        <v>1.28907675187072</v>
      </c>
      <c r="S1667" s="22">
        <f t="shared" si="207"/>
        <v>0.36633816458922447</v>
      </c>
      <c r="T1667" s="25"/>
      <c r="U1667" s="1" t="s">
        <v>4726</v>
      </c>
    </row>
    <row r="1668" spans="1:21">
      <c r="A1668" s="6" t="s">
        <v>4727</v>
      </c>
      <c r="B1668" s="6" t="s">
        <v>4728</v>
      </c>
      <c r="C1668" s="7">
        <v>1.0312142347284701</v>
      </c>
      <c r="D1668" s="7">
        <v>1.1212116210228593</v>
      </c>
      <c r="E1668" s="7">
        <v>1.044737836710647</v>
      </c>
      <c r="F1668" s="8">
        <v>1.1311489200814482</v>
      </c>
      <c r="G1668" s="8">
        <f t="shared" si="200"/>
        <v>1.0762129278756647</v>
      </c>
      <c r="H1668" s="8">
        <f t="shared" si="201"/>
        <v>1.0879433783960475</v>
      </c>
      <c r="I1668" s="8">
        <f t="shared" si="202"/>
        <v>1.0108997487546796</v>
      </c>
      <c r="J1668" s="22">
        <f t="shared" si="203"/>
        <v>1.5639931814786359E-2</v>
      </c>
      <c r="K1668" s="8"/>
      <c r="L1668" s="8">
        <v>1.2672272666341151</v>
      </c>
      <c r="M1668" s="8">
        <v>1.2764492252014001</v>
      </c>
      <c r="N1668" s="8">
        <v>0.97467827184023315</v>
      </c>
      <c r="O1668" s="8">
        <v>1.4191578071681605</v>
      </c>
      <c r="P1668" s="8">
        <f t="shared" si="204"/>
        <v>1.2718382459177575</v>
      </c>
      <c r="Q1668" s="8">
        <f t="shared" si="205"/>
        <v>1.196918039504197</v>
      </c>
      <c r="R1668" s="8">
        <f t="shared" si="206"/>
        <v>0.94109297573489925</v>
      </c>
      <c r="S1668" s="22">
        <f t="shared" si="207"/>
        <v>-8.7590833139239252E-2</v>
      </c>
      <c r="T1668" s="25"/>
      <c r="U1668" s="1" t="s">
        <v>4729</v>
      </c>
    </row>
    <row r="1669" spans="1:21">
      <c r="A1669" s="6" t="s">
        <v>4730</v>
      </c>
      <c r="B1669" s="6" t="s">
        <v>4731</v>
      </c>
      <c r="C1669" s="7">
        <v>0.99502827696400031</v>
      </c>
      <c r="D1669" s="7">
        <v>1.0548813486137758</v>
      </c>
      <c r="E1669" s="7">
        <v>1.0583909710116226</v>
      </c>
      <c r="F1669" s="8">
        <v>1.0247817808969963</v>
      </c>
      <c r="G1669" s="8">
        <f t="shared" si="200"/>
        <v>1.0249548127888881</v>
      </c>
      <c r="H1669" s="8">
        <f t="shared" si="201"/>
        <v>1.0415863759543096</v>
      </c>
      <c r="I1669" s="8">
        <f t="shared" si="202"/>
        <v>1.0162266306357128</v>
      </c>
      <c r="J1669" s="22">
        <f t="shared" si="203"/>
        <v>2.322217615897958E-2</v>
      </c>
      <c r="K1669" s="8"/>
      <c r="L1669" s="8">
        <v>1.0976442716078365</v>
      </c>
      <c r="M1669" s="8">
        <v>0.98167322419046144</v>
      </c>
      <c r="N1669" s="8">
        <v>0.88591171124376689</v>
      </c>
      <c r="O1669" s="8">
        <v>0.85898385675506783</v>
      </c>
      <c r="P1669" s="8">
        <f t="shared" si="204"/>
        <v>1.039658747899149</v>
      </c>
      <c r="Q1669" s="8">
        <f t="shared" si="205"/>
        <v>0.87244778399941736</v>
      </c>
      <c r="R1669" s="8">
        <f t="shared" si="206"/>
        <v>0.83916745351528388</v>
      </c>
      <c r="S1669" s="22">
        <f t="shared" si="207"/>
        <v>-0.25296936973986189</v>
      </c>
      <c r="T1669" s="25"/>
      <c r="U1669" s="1" t="s">
        <v>4732</v>
      </c>
    </row>
    <row r="1670" spans="1:21">
      <c r="A1670" s="6" t="s">
        <v>4733</v>
      </c>
      <c r="B1670" s="6" t="s">
        <v>4734</v>
      </c>
      <c r="C1670" s="7">
        <v>1.3012728413111774</v>
      </c>
      <c r="D1670" s="7">
        <v>0.81195464083696656</v>
      </c>
      <c r="E1670" s="7">
        <v>1.0614377757187876</v>
      </c>
      <c r="F1670" s="8">
        <v>1.0231389620615448</v>
      </c>
      <c r="G1670" s="8">
        <f t="shared" ref="G1670:G1733" si="208">AVERAGE(C1670:D1670)</f>
        <v>1.0566137410740719</v>
      </c>
      <c r="H1670" s="8">
        <f t="shared" ref="H1670:H1733" si="209">AVERAGE(E1670:F1670)</f>
        <v>1.0422883688901661</v>
      </c>
      <c r="I1670" s="8">
        <f t="shared" ref="I1670:I1733" si="210">H1670/G1670</f>
        <v>0.98644218636666248</v>
      </c>
      <c r="J1670" s="22">
        <f t="shared" ref="J1670:J1733" si="211">LOG(I1670,2)</f>
        <v>-1.9693595267717877E-2</v>
      </c>
      <c r="K1670" s="8"/>
      <c r="L1670" s="8">
        <v>0.77630338797874932</v>
      </c>
      <c r="M1670" s="8">
        <v>0.69406425981737452</v>
      </c>
      <c r="N1670" s="8">
        <v>1.3006590934379039</v>
      </c>
      <c r="O1670" s="8">
        <v>1.3936724157304479</v>
      </c>
      <c r="P1670" s="8">
        <f t="shared" ref="P1670:P1733" si="212">AVERAGE(L1670:M1670)</f>
        <v>0.73518382389806192</v>
      </c>
      <c r="Q1670" s="8">
        <f t="shared" ref="Q1670:Q1733" si="213">AVERAGE(N1670:O1670)</f>
        <v>1.347165754584176</v>
      </c>
      <c r="R1670" s="8">
        <f t="shared" ref="R1670:R1733" si="214">Q1670/P1670</f>
        <v>1.8324202883590233</v>
      </c>
      <c r="S1670" s="22">
        <f t="shared" ref="S1670:S1733" si="215">LOG(R1670,2)</f>
        <v>0.87375044142026825</v>
      </c>
      <c r="T1670" s="25"/>
      <c r="U1670" s="1" t="s">
        <v>4735</v>
      </c>
    </row>
    <row r="1671" spans="1:21">
      <c r="A1671" s="6" t="s">
        <v>4736</v>
      </c>
      <c r="B1671" s="13" t="s">
        <v>4737</v>
      </c>
      <c r="C1671" s="14">
        <v>0.67924688962651458</v>
      </c>
      <c r="D1671" s="14">
        <v>0.69148630564630209</v>
      </c>
      <c r="E1671" s="14">
        <v>0.78055687384692918</v>
      </c>
      <c r="F1671" s="8">
        <v>0.7770174397616747</v>
      </c>
      <c r="G1671" s="8">
        <f t="shared" si="208"/>
        <v>0.68536659763640828</v>
      </c>
      <c r="H1671" s="8">
        <f t="shared" si="209"/>
        <v>0.77878715680430188</v>
      </c>
      <c r="I1671" s="8">
        <f t="shared" si="210"/>
        <v>1.1363074294692339</v>
      </c>
      <c r="J1671" s="22">
        <f t="shared" si="211"/>
        <v>0.18435321069371535</v>
      </c>
      <c r="K1671" s="8"/>
      <c r="L1671" s="8">
        <v>0.15278027625303262</v>
      </c>
      <c r="M1671" s="8">
        <v>0.13516187918207512</v>
      </c>
      <c r="N1671" s="8">
        <v>0.16165063010926189</v>
      </c>
      <c r="O1671" s="8">
        <v>0.17799401109071877</v>
      </c>
      <c r="P1671" s="8">
        <f t="shared" si="212"/>
        <v>0.14397107771755385</v>
      </c>
      <c r="Q1671" s="8">
        <f t="shared" si="213"/>
        <v>0.16982232059999033</v>
      </c>
      <c r="R1671" s="8">
        <f t="shared" si="214"/>
        <v>1.1795585842119771</v>
      </c>
      <c r="S1671" s="22">
        <f t="shared" si="215"/>
        <v>0.23824707356100061</v>
      </c>
      <c r="T1671" s="25"/>
      <c r="U1671" s="1" t="s">
        <v>4738</v>
      </c>
    </row>
    <row r="1672" spans="1:21">
      <c r="A1672" s="6" t="s">
        <v>4739</v>
      </c>
      <c r="B1672" s="13" t="s">
        <v>4740</v>
      </c>
      <c r="C1672" s="14">
        <v>0.99261280833912569</v>
      </c>
      <c r="D1672" s="14">
        <v>0.98030663556627506</v>
      </c>
      <c r="E1672" s="14">
        <v>0.66892453628605819</v>
      </c>
      <c r="F1672" s="8">
        <v>0.66851965780810008</v>
      </c>
      <c r="G1672" s="8">
        <f t="shared" si="208"/>
        <v>0.98645972195270037</v>
      </c>
      <c r="H1672" s="8">
        <f t="shared" si="209"/>
        <v>0.66872209704707908</v>
      </c>
      <c r="I1672" s="8">
        <f t="shared" si="210"/>
        <v>0.67790106596885824</v>
      </c>
      <c r="J1672" s="22">
        <f t="shared" si="211"/>
        <v>-0.56085335552404003</v>
      </c>
      <c r="K1672" s="8"/>
      <c r="L1672" s="8">
        <v>0.86138382113216927</v>
      </c>
      <c r="M1672" s="8">
        <v>1.0259823742280039</v>
      </c>
      <c r="N1672" s="8">
        <v>0.84118739586091495</v>
      </c>
      <c r="O1672" s="8">
        <v>1.0091205686901084</v>
      </c>
      <c r="P1672" s="8">
        <f t="shared" si="212"/>
        <v>0.94368309768008651</v>
      </c>
      <c r="Q1672" s="8">
        <f t="shared" si="213"/>
        <v>0.92515398227551171</v>
      </c>
      <c r="R1672" s="8">
        <f t="shared" si="214"/>
        <v>0.98036510831853818</v>
      </c>
      <c r="S1672" s="22">
        <f t="shared" si="215"/>
        <v>-2.8608956002459669E-2</v>
      </c>
      <c r="T1672" s="25"/>
      <c r="U1672" s="1" t="s">
        <v>4741</v>
      </c>
    </row>
    <row r="1673" spans="1:21" ht="14.5">
      <c r="A1673" s="6" t="s">
        <v>4742</v>
      </c>
      <c r="B1673" s="6" t="s">
        <v>4743</v>
      </c>
      <c r="C1673" s="7">
        <v>1.0188078086851771</v>
      </c>
      <c r="D1673" s="7">
        <v>1.0165214394677862</v>
      </c>
      <c r="E1673" s="7">
        <v>0.64613817372374593</v>
      </c>
      <c r="F1673" s="8">
        <v>0.6355484989970297</v>
      </c>
      <c r="G1673" s="8">
        <f t="shared" si="208"/>
        <v>1.0176646240764815</v>
      </c>
      <c r="H1673" s="8">
        <f t="shared" si="209"/>
        <v>0.64084333636038782</v>
      </c>
      <c r="I1673" s="8">
        <f t="shared" si="210"/>
        <v>0.62971957676326373</v>
      </c>
      <c r="J1673" s="22">
        <f t="shared" si="211"/>
        <v>-0.66721857624146219</v>
      </c>
      <c r="K1673" s="8"/>
      <c r="L1673" s="8">
        <v>0.91837081972291346</v>
      </c>
      <c r="M1673" s="8">
        <v>1.0872816170011594</v>
      </c>
      <c r="N1673" s="8">
        <v>0.86559576406005312</v>
      </c>
      <c r="O1673" s="8">
        <v>1.0584259695507923</v>
      </c>
      <c r="P1673" s="8">
        <f t="shared" si="212"/>
        <v>1.0028262183620364</v>
      </c>
      <c r="Q1673" s="8">
        <f t="shared" si="213"/>
        <v>0.96201086680542269</v>
      </c>
      <c r="R1673" s="8">
        <f t="shared" si="214"/>
        <v>0.95929967644515779</v>
      </c>
      <c r="S1673" s="22">
        <f t="shared" si="215"/>
        <v>-5.9946524498525972E-2</v>
      </c>
      <c r="T1673" s="25"/>
      <c r="U1673" s="1" t="s">
        <v>4744</v>
      </c>
    </row>
    <row r="1674" spans="1:21">
      <c r="A1674" s="6" t="s">
        <v>4745</v>
      </c>
      <c r="B1674" s="6" t="s">
        <v>4746</v>
      </c>
      <c r="C1674" s="7">
        <v>1.0996371552303668</v>
      </c>
      <c r="D1674" s="7">
        <v>1.00071098003032</v>
      </c>
      <c r="E1674" s="7">
        <v>1.0453917499850622</v>
      </c>
      <c r="F1674" s="8">
        <v>0.99279344383464585</v>
      </c>
      <c r="G1674" s="8">
        <f t="shared" si="208"/>
        <v>1.0501740676303433</v>
      </c>
      <c r="H1674" s="8">
        <f t="shared" si="209"/>
        <v>1.0190925969098541</v>
      </c>
      <c r="I1674" s="8">
        <f t="shared" si="210"/>
        <v>0.97040350578202461</v>
      </c>
      <c r="J1674" s="22">
        <f t="shared" si="211"/>
        <v>-4.3343332387301439E-2</v>
      </c>
      <c r="K1674" s="8"/>
      <c r="L1674" s="8">
        <v>0.64308183199087077</v>
      </c>
      <c r="M1674" s="8">
        <v>0.68811983531186216</v>
      </c>
      <c r="N1674" s="8">
        <v>0.69829369540568142</v>
      </c>
      <c r="O1674" s="8">
        <v>0.72060575116653625</v>
      </c>
      <c r="P1674" s="8">
        <f t="shared" si="212"/>
        <v>0.66560083365136646</v>
      </c>
      <c r="Q1674" s="8">
        <f t="shared" si="213"/>
        <v>0.70944972328610878</v>
      </c>
      <c r="R1674" s="8">
        <f t="shared" si="214"/>
        <v>1.0658786579250437</v>
      </c>
      <c r="S1674" s="22">
        <f t="shared" si="215"/>
        <v>9.2043207727476567E-2</v>
      </c>
      <c r="T1674" s="25"/>
      <c r="U1674" s="1" t="s">
        <v>4747</v>
      </c>
    </row>
    <row r="1675" spans="1:21">
      <c r="A1675" s="6" t="s">
        <v>4748</v>
      </c>
      <c r="B1675" s="6" t="s">
        <v>4749</v>
      </c>
      <c r="C1675" s="7">
        <v>1.0157473375392188</v>
      </c>
      <c r="D1675" s="7">
        <v>1.0299541918872761</v>
      </c>
      <c r="E1675" s="7">
        <v>0.92926824982518619</v>
      </c>
      <c r="F1675" s="8">
        <v>0.95639316972512212</v>
      </c>
      <c r="G1675" s="8">
        <f t="shared" si="208"/>
        <v>1.0228507647132474</v>
      </c>
      <c r="H1675" s="8">
        <f t="shared" si="209"/>
        <v>0.94283070977515415</v>
      </c>
      <c r="I1675" s="8">
        <f t="shared" si="210"/>
        <v>0.92176761488707826</v>
      </c>
      <c r="J1675" s="22">
        <f t="shared" si="211"/>
        <v>-0.11752501354666577</v>
      </c>
      <c r="K1675" s="8"/>
      <c r="L1675" s="8">
        <v>1.2795403700737689</v>
      </c>
      <c r="M1675" s="8">
        <v>1.1168351033725366</v>
      </c>
      <c r="N1675" s="8">
        <v>1.3126927599951634</v>
      </c>
      <c r="O1675" s="8">
        <v>1.0384918514955517</v>
      </c>
      <c r="P1675" s="8">
        <f t="shared" si="212"/>
        <v>1.1981877367231526</v>
      </c>
      <c r="Q1675" s="8">
        <f t="shared" si="213"/>
        <v>1.1755923057453574</v>
      </c>
      <c r="R1675" s="8">
        <f t="shared" si="214"/>
        <v>0.98114199445940753</v>
      </c>
      <c r="S1675" s="22">
        <f t="shared" si="215"/>
        <v>-2.7466151227716069E-2</v>
      </c>
      <c r="T1675" s="25"/>
      <c r="U1675" s="1" t="s">
        <v>4750</v>
      </c>
    </row>
    <row r="1676" spans="1:21">
      <c r="A1676" s="6" t="s">
        <v>4751</v>
      </c>
      <c r="B1676" s="13" t="s">
        <v>4752</v>
      </c>
      <c r="C1676" s="14">
        <v>0.17505236789043349</v>
      </c>
      <c r="D1676" s="14">
        <v>0.17233206952026844</v>
      </c>
      <c r="E1676" s="14">
        <v>0.39323901130872874</v>
      </c>
      <c r="F1676" s="8">
        <v>0.36966293350209889</v>
      </c>
      <c r="G1676" s="8">
        <f t="shared" si="208"/>
        <v>0.17369221870535095</v>
      </c>
      <c r="H1676" s="8">
        <f t="shared" si="209"/>
        <v>0.38145097240541381</v>
      </c>
      <c r="I1676" s="8">
        <f t="shared" si="210"/>
        <v>2.1961316128530886</v>
      </c>
      <c r="J1676" s="22">
        <f t="shared" si="211"/>
        <v>1.1349645167842504</v>
      </c>
      <c r="K1676" s="8"/>
      <c r="L1676" s="8">
        <v>0.61481059088032997</v>
      </c>
      <c r="M1676" s="8">
        <v>0.50599278663233493</v>
      </c>
      <c r="N1676" s="8">
        <v>0.57630057370779353</v>
      </c>
      <c r="O1676" s="8">
        <v>0.503702360276854</v>
      </c>
      <c r="P1676" s="8">
        <f t="shared" si="212"/>
        <v>0.56040168875633245</v>
      </c>
      <c r="Q1676" s="8">
        <f t="shared" si="213"/>
        <v>0.54000146699232376</v>
      </c>
      <c r="R1676" s="8">
        <f t="shared" si="214"/>
        <v>0.96359714438177058</v>
      </c>
      <c r="S1676" s="22">
        <f t="shared" si="215"/>
        <v>-5.3497976728540723E-2</v>
      </c>
      <c r="T1676" s="25"/>
      <c r="U1676" s="1" t="s">
        <v>4753</v>
      </c>
    </row>
    <row r="1677" spans="1:21">
      <c r="A1677" s="6" t="s">
        <v>4754</v>
      </c>
      <c r="B1677" s="6" t="s">
        <v>4755</v>
      </c>
      <c r="C1677" s="7">
        <v>1.1240616894726272</v>
      </c>
      <c r="D1677" s="7">
        <v>1.1163786730624079</v>
      </c>
      <c r="E1677" s="7">
        <v>1.0169141861772908</v>
      </c>
      <c r="F1677" s="8">
        <v>1.0439288702935905</v>
      </c>
      <c r="G1677" s="8">
        <f t="shared" si="208"/>
        <v>1.1202201812675177</v>
      </c>
      <c r="H1677" s="8">
        <f t="shared" si="209"/>
        <v>1.0304215282354408</v>
      </c>
      <c r="I1677" s="8">
        <f t="shared" si="210"/>
        <v>0.91983839022568703</v>
      </c>
      <c r="J1677" s="22">
        <f t="shared" si="211"/>
        <v>-0.12054768382702448</v>
      </c>
      <c r="K1677" s="8"/>
      <c r="L1677" s="8">
        <v>0.86680692084205291</v>
      </c>
      <c r="M1677" s="8">
        <v>0.88605652363370957</v>
      </c>
      <c r="N1677" s="8">
        <v>1.0073689206658252</v>
      </c>
      <c r="O1677" s="8">
        <v>1.0413684204301055</v>
      </c>
      <c r="P1677" s="8">
        <f t="shared" si="212"/>
        <v>0.87643172223788124</v>
      </c>
      <c r="Q1677" s="8">
        <f t="shared" si="213"/>
        <v>1.0243686705479653</v>
      </c>
      <c r="R1677" s="8">
        <f t="shared" si="214"/>
        <v>1.1687946072197635</v>
      </c>
      <c r="S1677" s="22">
        <f t="shared" si="215"/>
        <v>0.22502142672149208</v>
      </c>
      <c r="T1677" s="25"/>
      <c r="U1677" s="1" t="s">
        <v>4756</v>
      </c>
    </row>
    <row r="1678" spans="1:21">
      <c r="A1678" s="6" t="s">
        <v>4757</v>
      </c>
      <c r="B1678" s="13" t="s">
        <v>4758</v>
      </c>
      <c r="C1678" s="14">
        <v>1.2634085606602143</v>
      </c>
      <c r="D1678" s="14">
        <v>1.192600982005517</v>
      </c>
      <c r="E1678" s="14">
        <v>1.2314767846472003</v>
      </c>
      <c r="F1678" s="8">
        <v>1.4202348179512707</v>
      </c>
      <c r="G1678" s="8">
        <f t="shared" si="208"/>
        <v>1.2280047713328657</v>
      </c>
      <c r="H1678" s="8">
        <f t="shared" si="209"/>
        <v>1.3258558012992356</v>
      </c>
      <c r="I1678" s="8">
        <f t="shared" si="210"/>
        <v>1.0796829395541869</v>
      </c>
      <c r="J1678" s="22">
        <f t="shared" si="211"/>
        <v>0.11060771175020084</v>
      </c>
      <c r="K1678" s="8"/>
      <c r="L1678" s="8">
        <v>1.2722058499743361</v>
      </c>
      <c r="M1678" s="8">
        <v>1.1584882339501692</v>
      </c>
      <c r="N1678" s="8">
        <v>0.70910937951787434</v>
      </c>
      <c r="O1678" s="8">
        <v>1.4414133668197078</v>
      </c>
      <c r="P1678" s="8">
        <f t="shared" si="212"/>
        <v>1.2153470419622527</v>
      </c>
      <c r="Q1678" s="8">
        <f t="shared" si="213"/>
        <v>1.075261373168791</v>
      </c>
      <c r="R1678" s="8">
        <f t="shared" si="214"/>
        <v>0.88473607623441874</v>
      </c>
      <c r="S1678" s="22">
        <f t="shared" si="215"/>
        <v>-0.17668094284903163</v>
      </c>
      <c r="T1678" s="25"/>
      <c r="U1678" s="1" t="s">
        <v>4759</v>
      </c>
    </row>
    <row r="1679" spans="1:21">
      <c r="A1679" s="6" t="s">
        <v>4760</v>
      </c>
      <c r="B1679" s="6" t="s">
        <v>4761</v>
      </c>
      <c r="C1679" s="7">
        <v>1.1025923198422705</v>
      </c>
      <c r="D1679" s="7">
        <v>1.156767386566127</v>
      </c>
      <c r="E1679" s="7">
        <v>1.190136531155878</v>
      </c>
      <c r="F1679" s="8">
        <v>1.0524155719631938</v>
      </c>
      <c r="G1679" s="8">
        <f t="shared" si="208"/>
        <v>1.1296798532041987</v>
      </c>
      <c r="H1679" s="8">
        <f t="shared" si="209"/>
        <v>1.1212760515595359</v>
      </c>
      <c r="I1679" s="8">
        <f t="shared" si="210"/>
        <v>0.99256089977985673</v>
      </c>
      <c r="J1679" s="22">
        <f t="shared" si="211"/>
        <v>-1.0772471609134462E-2</v>
      </c>
      <c r="K1679" s="8"/>
      <c r="L1679" s="8">
        <v>1.1080015030209749</v>
      </c>
      <c r="M1679" s="8">
        <v>1.0681835723132369</v>
      </c>
      <c r="N1679" s="8">
        <v>1.2424882518615148</v>
      </c>
      <c r="O1679" s="8">
        <v>0.94472579745343221</v>
      </c>
      <c r="P1679" s="8">
        <f t="shared" si="212"/>
        <v>1.088092537667106</v>
      </c>
      <c r="Q1679" s="8">
        <f t="shared" si="213"/>
        <v>1.0936070246574734</v>
      </c>
      <c r="R1679" s="8">
        <f t="shared" si="214"/>
        <v>1.005068031256046</v>
      </c>
      <c r="S1679" s="22">
        <f t="shared" si="215"/>
        <v>7.2931581543580152E-3</v>
      </c>
      <c r="T1679" s="25"/>
      <c r="U1679" s="1" t="s">
        <v>4762</v>
      </c>
    </row>
    <row r="1680" spans="1:21">
      <c r="A1680" s="6" t="s">
        <v>4763</v>
      </c>
      <c r="B1680" s="13" t="s">
        <v>4764</v>
      </c>
      <c r="C1680" s="14">
        <v>1.2758544766537778</v>
      </c>
      <c r="D1680" s="14">
        <v>1.314516617120167</v>
      </c>
      <c r="E1680" s="14">
        <v>1.4523126390354002</v>
      </c>
      <c r="F1680" s="8">
        <v>1.5017229365184919</v>
      </c>
      <c r="G1680" s="8">
        <f t="shared" si="208"/>
        <v>1.2951855468869724</v>
      </c>
      <c r="H1680" s="8">
        <f t="shared" si="209"/>
        <v>1.4770177877769459</v>
      </c>
      <c r="I1680" s="8">
        <f t="shared" si="210"/>
        <v>1.140390881698004</v>
      </c>
      <c r="J1680" s="22">
        <f t="shared" si="211"/>
        <v>0.18952840897841666</v>
      </c>
      <c r="K1680" s="8"/>
      <c r="L1680" s="8">
        <v>0.56484695093025472</v>
      </c>
      <c r="M1680" s="8">
        <v>0.29650452161183227</v>
      </c>
      <c r="N1680" s="8">
        <v>0.33012196191089771</v>
      </c>
      <c r="O1680" s="8">
        <v>0.33216801275846636</v>
      </c>
      <c r="P1680" s="8">
        <f t="shared" si="212"/>
        <v>0.4306757362710435</v>
      </c>
      <c r="Q1680" s="8">
        <f t="shared" si="213"/>
        <v>0.33114498733468201</v>
      </c>
      <c r="R1680" s="8">
        <f t="shared" si="214"/>
        <v>0.76889631675529935</v>
      </c>
      <c r="S1680" s="22">
        <f t="shared" si="215"/>
        <v>-0.37913902646348296</v>
      </c>
      <c r="T1680" s="25"/>
      <c r="U1680" s="1" t="s">
        <v>4765</v>
      </c>
    </row>
    <row r="1681" spans="1:21">
      <c r="A1681" s="6" t="s">
        <v>4766</v>
      </c>
      <c r="B1681" s="6" t="s">
        <v>4767</v>
      </c>
      <c r="C1681" s="7">
        <v>1.2838906815338103</v>
      </c>
      <c r="D1681" s="7">
        <v>1.127504791228046</v>
      </c>
      <c r="E1681" s="7">
        <v>1.0143129047999468</v>
      </c>
      <c r="F1681" s="8">
        <v>0.99764298764584769</v>
      </c>
      <c r="G1681" s="8">
        <f t="shared" si="208"/>
        <v>1.205697736380928</v>
      </c>
      <c r="H1681" s="8">
        <f t="shared" si="209"/>
        <v>1.0059779462228973</v>
      </c>
      <c r="I1681" s="8">
        <f t="shared" si="210"/>
        <v>0.83435335065194871</v>
      </c>
      <c r="J1681" s="22">
        <f t="shared" si="211"/>
        <v>-0.26126959698231911</v>
      </c>
      <c r="K1681" s="8"/>
      <c r="L1681" s="8">
        <v>0.75127711636674543</v>
      </c>
      <c r="M1681" s="8">
        <v>0.79533027160631542</v>
      </c>
      <c r="N1681" s="8">
        <v>0.81814316800025166</v>
      </c>
      <c r="O1681" s="8">
        <v>0.82315291037729343</v>
      </c>
      <c r="P1681" s="8">
        <f t="shared" si="212"/>
        <v>0.77330369398653043</v>
      </c>
      <c r="Q1681" s="8">
        <f t="shared" si="213"/>
        <v>0.82064803918877249</v>
      </c>
      <c r="R1681" s="8">
        <f t="shared" si="214"/>
        <v>1.0612234825339741</v>
      </c>
      <c r="S1681" s="22">
        <f t="shared" si="215"/>
        <v>8.572850469025757E-2</v>
      </c>
      <c r="T1681" s="25"/>
      <c r="U1681" s="1" t="s">
        <v>4768</v>
      </c>
    </row>
    <row r="1682" spans="1:21">
      <c r="A1682" s="6" t="s">
        <v>4769</v>
      </c>
      <c r="B1682" s="6" t="s">
        <v>4770</v>
      </c>
      <c r="C1682" s="7">
        <v>0.27619929384975905</v>
      </c>
      <c r="D1682" s="7">
        <v>0.29712292100176457</v>
      </c>
      <c r="E1682" s="7">
        <v>0.51648369888558732</v>
      </c>
      <c r="F1682" s="8">
        <v>0.53679284795412396</v>
      </c>
      <c r="G1682" s="8">
        <f t="shared" si="208"/>
        <v>0.28666110742576179</v>
      </c>
      <c r="H1682" s="8">
        <f t="shared" si="209"/>
        <v>0.52663827341985558</v>
      </c>
      <c r="I1682" s="8">
        <f t="shared" si="210"/>
        <v>1.8371458833362737</v>
      </c>
      <c r="J1682" s="22">
        <f t="shared" si="211"/>
        <v>0.87746619194153408</v>
      </c>
      <c r="K1682" s="8"/>
      <c r="L1682" s="8">
        <v>1.3204358760827273</v>
      </c>
      <c r="M1682" s="8">
        <v>1.3081106635250863</v>
      </c>
      <c r="N1682" s="8">
        <v>1.5851797926055016</v>
      </c>
      <c r="O1682" s="8">
        <v>1.6739107893019707</v>
      </c>
      <c r="P1682" s="8">
        <f t="shared" si="212"/>
        <v>1.3142732698039068</v>
      </c>
      <c r="Q1682" s="8">
        <f t="shared" si="213"/>
        <v>1.629545290953736</v>
      </c>
      <c r="R1682" s="8">
        <f t="shared" si="214"/>
        <v>1.239883157021727</v>
      </c>
      <c r="S1682" s="22">
        <f t="shared" si="215"/>
        <v>0.31020417163813169</v>
      </c>
      <c r="T1682" s="25"/>
      <c r="U1682" s="1" t="s">
        <v>4771</v>
      </c>
    </row>
    <row r="1683" spans="1:21">
      <c r="A1683" s="6" t="s">
        <v>4772</v>
      </c>
      <c r="B1683" s="6" t="s">
        <v>80</v>
      </c>
      <c r="C1683" s="7">
        <v>1.0362426217295715</v>
      </c>
      <c r="D1683" s="7">
        <v>1.0989787681727077</v>
      </c>
      <c r="E1683" s="7">
        <v>1.033010512932125</v>
      </c>
      <c r="F1683" s="8">
        <v>1.0184185481151384</v>
      </c>
      <c r="G1683" s="8">
        <f t="shared" si="208"/>
        <v>1.0676106949511395</v>
      </c>
      <c r="H1683" s="8">
        <f t="shared" si="209"/>
        <v>1.0257145305236317</v>
      </c>
      <c r="I1683" s="8">
        <f t="shared" si="210"/>
        <v>0.96075707687676803</v>
      </c>
      <c r="J1683" s="22">
        <f t="shared" si="211"/>
        <v>-5.7756396758362256E-2</v>
      </c>
      <c r="K1683" s="8"/>
      <c r="L1683" s="8">
        <v>1.2458015776163782</v>
      </c>
      <c r="M1683" s="8">
        <v>1.0900641135782079</v>
      </c>
      <c r="N1683" s="8">
        <v>0.90140444794501617</v>
      </c>
      <c r="O1683" s="8">
        <v>1.1690981743486224</v>
      </c>
      <c r="P1683" s="8">
        <f t="shared" si="212"/>
        <v>1.167932845597293</v>
      </c>
      <c r="Q1683" s="8">
        <f t="shared" si="213"/>
        <v>1.0352513111468193</v>
      </c>
      <c r="R1683" s="8">
        <f t="shared" si="214"/>
        <v>0.88639626417679951</v>
      </c>
      <c r="S1683" s="22">
        <f t="shared" si="215"/>
        <v>-0.17397629389845901</v>
      </c>
      <c r="T1683" s="25"/>
      <c r="U1683" s="1">
        <v>0</v>
      </c>
    </row>
    <row r="1684" spans="1:21">
      <c r="A1684" s="6" t="s">
        <v>4773</v>
      </c>
      <c r="B1684" s="6" t="s">
        <v>80</v>
      </c>
      <c r="C1684" s="7">
        <v>1.0691706585967309</v>
      </c>
      <c r="D1684" s="7">
        <v>1.1293462219349024</v>
      </c>
      <c r="E1684" s="7">
        <v>1.0081618085043496</v>
      </c>
      <c r="F1684" s="8">
        <v>1.002320358303989</v>
      </c>
      <c r="G1684" s="8">
        <f t="shared" si="208"/>
        <v>1.0992584402658165</v>
      </c>
      <c r="H1684" s="8">
        <f t="shared" si="209"/>
        <v>1.0052410834041692</v>
      </c>
      <c r="I1684" s="8">
        <f t="shared" si="210"/>
        <v>0.91447201730021499</v>
      </c>
      <c r="J1684" s="22">
        <f t="shared" si="211"/>
        <v>-0.12898907047911112</v>
      </c>
      <c r="K1684" s="8"/>
      <c r="L1684" s="8">
        <v>1.3083005791909386</v>
      </c>
      <c r="M1684" s="8">
        <v>1.2470643749862078</v>
      </c>
      <c r="N1684" s="8">
        <v>1.3201468125589721</v>
      </c>
      <c r="O1684" s="8">
        <v>1.6526140859619414</v>
      </c>
      <c r="P1684" s="8">
        <f t="shared" si="212"/>
        <v>1.2776824770885731</v>
      </c>
      <c r="Q1684" s="8">
        <f t="shared" si="213"/>
        <v>1.4863804492604569</v>
      </c>
      <c r="R1684" s="8">
        <f t="shared" si="214"/>
        <v>1.1633410302749392</v>
      </c>
      <c r="S1684" s="22">
        <f t="shared" si="215"/>
        <v>0.21827408095968842</v>
      </c>
      <c r="T1684" s="25"/>
      <c r="U1684" s="1">
        <v>0</v>
      </c>
    </row>
    <row r="1685" spans="1:21">
      <c r="A1685" s="6" t="s">
        <v>4774</v>
      </c>
      <c r="B1685" s="6" t="s">
        <v>4775</v>
      </c>
      <c r="C1685" s="7">
        <v>1.0544277438291039</v>
      </c>
      <c r="D1685" s="7">
        <v>1.1880781697430625</v>
      </c>
      <c r="E1685" s="7">
        <v>0.78058561728756282</v>
      </c>
      <c r="F1685" s="8">
        <v>1.3286602221672599</v>
      </c>
      <c r="G1685" s="8">
        <f t="shared" si="208"/>
        <v>1.1212529567860832</v>
      </c>
      <c r="H1685" s="8">
        <f t="shared" si="209"/>
        <v>1.0546229197274113</v>
      </c>
      <c r="I1685" s="8">
        <f t="shared" si="210"/>
        <v>0.94057537449028661</v>
      </c>
      <c r="J1685" s="22">
        <f t="shared" si="211"/>
        <v>-8.8384533864986903E-2</v>
      </c>
      <c r="K1685" s="8"/>
      <c r="L1685" s="8">
        <v>1.0101189984212724</v>
      </c>
      <c r="M1685" s="8">
        <v>0.86232098465070639</v>
      </c>
      <c r="N1685" s="8">
        <v>1.0255899380440241</v>
      </c>
      <c r="O1685" s="8">
        <v>0.89123170849506472</v>
      </c>
      <c r="P1685" s="8">
        <f t="shared" si="212"/>
        <v>0.93621999153598945</v>
      </c>
      <c r="Q1685" s="8">
        <f t="shared" si="213"/>
        <v>0.95841082326954441</v>
      </c>
      <c r="R1685" s="8">
        <f t="shared" si="214"/>
        <v>1.0237025826559718</v>
      </c>
      <c r="S1685" s="22">
        <f t="shared" si="215"/>
        <v>3.3796628568227294E-2</v>
      </c>
      <c r="T1685" s="25"/>
      <c r="U1685" s="1" t="s">
        <v>4776</v>
      </c>
    </row>
    <row r="1686" spans="1:21">
      <c r="A1686" s="6" t="s">
        <v>4777</v>
      </c>
      <c r="B1686" s="6" t="s">
        <v>4778</v>
      </c>
      <c r="C1686" s="7">
        <v>1.1356124999267276</v>
      </c>
      <c r="D1686" s="7">
        <v>0.97811630219917201</v>
      </c>
      <c r="E1686" s="7">
        <v>0.96708743183888846</v>
      </c>
      <c r="F1686" s="8">
        <v>0.98656651479896063</v>
      </c>
      <c r="G1686" s="8">
        <f t="shared" si="208"/>
        <v>1.0568644010629498</v>
      </c>
      <c r="H1686" s="8">
        <f t="shared" si="209"/>
        <v>0.97682697331892454</v>
      </c>
      <c r="I1686" s="8">
        <f t="shared" si="210"/>
        <v>0.92426897181556411</v>
      </c>
      <c r="J1686" s="22">
        <f t="shared" si="211"/>
        <v>-0.11361534299004956</v>
      </c>
      <c r="K1686" s="8"/>
      <c r="L1686" s="8">
        <v>0.9818922089476978</v>
      </c>
      <c r="M1686" s="8">
        <v>1.0939427451704571</v>
      </c>
      <c r="N1686" s="8">
        <v>1.1731606910883141</v>
      </c>
      <c r="O1686" s="8">
        <v>0.90919764780561085</v>
      </c>
      <c r="P1686" s="8">
        <f t="shared" si="212"/>
        <v>1.0379174770590773</v>
      </c>
      <c r="Q1686" s="8">
        <f t="shared" si="213"/>
        <v>1.0411791694469625</v>
      </c>
      <c r="R1686" s="8">
        <f t="shared" si="214"/>
        <v>1.0031425353749002</v>
      </c>
      <c r="S1686" s="22">
        <f t="shared" si="215"/>
        <v>4.5266114023381331E-3</v>
      </c>
      <c r="T1686" s="25"/>
      <c r="U1686" s="1" t="s">
        <v>4779</v>
      </c>
    </row>
    <row r="1687" spans="1:21">
      <c r="A1687" s="6" t="s">
        <v>4780</v>
      </c>
      <c r="B1687" s="6" t="s">
        <v>4781</v>
      </c>
      <c r="C1687" s="7">
        <v>1.1121357244909575</v>
      </c>
      <c r="D1687" s="7">
        <v>1.0231118230502199</v>
      </c>
      <c r="E1687" s="7">
        <v>1.0790934341279965</v>
      </c>
      <c r="F1687" s="8">
        <v>1.0441727822604261</v>
      </c>
      <c r="G1687" s="8">
        <f t="shared" si="208"/>
        <v>1.0676237737705887</v>
      </c>
      <c r="H1687" s="8">
        <f t="shared" si="209"/>
        <v>1.0616331081942114</v>
      </c>
      <c r="I1687" s="8">
        <f t="shared" si="210"/>
        <v>0.99438878589672119</v>
      </c>
      <c r="J1687" s="22">
        <f t="shared" si="211"/>
        <v>-8.1180682298825219E-3</v>
      </c>
      <c r="K1687" s="8"/>
      <c r="L1687" s="8">
        <v>1.0279885564817084</v>
      </c>
      <c r="M1687" s="8">
        <v>1.1858072912520983</v>
      </c>
      <c r="N1687" s="8">
        <v>0.9041327286219657</v>
      </c>
      <c r="O1687" s="8">
        <v>0.94891448555111568</v>
      </c>
      <c r="P1687" s="8">
        <f t="shared" si="212"/>
        <v>1.1068979238669034</v>
      </c>
      <c r="Q1687" s="8">
        <f t="shared" si="213"/>
        <v>0.92652360708654069</v>
      </c>
      <c r="R1687" s="8">
        <f t="shared" si="214"/>
        <v>0.83704521176602054</v>
      </c>
      <c r="S1687" s="22">
        <f t="shared" si="215"/>
        <v>-0.2566225449563892</v>
      </c>
      <c r="T1687" s="25"/>
      <c r="U1687" s="1" t="s">
        <v>4782</v>
      </c>
    </row>
    <row r="1688" spans="1:21">
      <c r="A1688" s="6" t="s">
        <v>4783</v>
      </c>
      <c r="B1688" s="13" t="s">
        <v>4784</v>
      </c>
      <c r="C1688" s="14">
        <v>1.1728317780566071</v>
      </c>
      <c r="D1688" s="14">
        <v>1.2466744331833486</v>
      </c>
      <c r="E1688" s="14">
        <v>1.0945861486295245</v>
      </c>
      <c r="F1688" s="8">
        <v>1.1400301852268149</v>
      </c>
      <c r="G1688" s="8">
        <f t="shared" si="208"/>
        <v>1.2097531056199777</v>
      </c>
      <c r="H1688" s="8">
        <f t="shared" si="209"/>
        <v>1.1173081669281697</v>
      </c>
      <c r="I1688" s="8">
        <f t="shared" si="210"/>
        <v>0.92358363184822612</v>
      </c>
      <c r="J1688" s="22">
        <f t="shared" si="211"/>
        <v>-0.11468548961925198</v>
      </c>
      <c r="K1688" s="8"/>
      <c r="L1688" s="8">
        <v>1.3127012912505982</v>
      </c>
      <c r="M1688" s="8">
        <v>0.91324910381850011</v>
      </c>
      <c r="N1688" s="8">
        <v>0.96454465789727761</v>
      </c>
      <c r="O1688" s="8">
        <v>0.92130951700373176</v>
      </c>
      <c r="P1688" s="8">
        <f t="shared" si="212"/>
        <v>1.1129751975345492</v>
      </c>
      <c r="Q1688" s="8">
        <f t="shared" si="213"/>
        <v>0.94292708745050469</v>
      </c>
      <c r="R1688" s="8">
        <f t="shared" si="214"/>
        <v>0.84721302823213551</v>
      </c>
      <c r="S1688" s="22">
        <f t="shared" si="215"/>
        <v>-0.23920331997947553</v>
      </c>
      <c r="T1688" s="25"/>
      <c r="U1688" s="1" t="s">
        <v>4785</v>
      </c>
    </row>
    <row r="1689" spans="1:21">
      <c r="A1689" s="6" t="s">
        <v>4786</v>
      </c>
      <c r="B1689" s="6" t="s">
        <v>4787</v>
      </c>
      <c r="C1689" s="7">
        <v>1.1033952821644359</v>
      </c>
      <c r="D1689" s="7">
        <v>1.129003780435031</v>
      </c>
      <c r="E1689" s="7">
        <v>1.1216193545454562</v>
      </c>
      <c r="F1689" s="8">
        <v>1.1213852675266469</v>
      </c>
      <c r="G1689" s="8">
        <f t="shared" si="208"/>
        <v>1.1161995312997335</v>
      </c>
      <c r="H1689" s="8">
        <f t="shared" si="209"/>
        <v>1.1215023110360516</v>
      </c>
      <c r="I1689" s="8">
        <f t="shared" si="210"/>
        <v>1.0047507453529776</v>
      </c>
      <c r="J1689" s="22">
        <f t="shared" si="211"/>
        <v>6.8376476296968369E-3</v>
      </c>
      <c r="K1689" s="8"/>
      <c r="L1689" s="8">
        <v>1.2262873089881905</v>
      </c>
      <c r="M1689" s="8">
        <v>1.246642784595746</v>
      </c>
      <c r="N1689" s="8">
        <v>0.96322923685660544</v>
      </c>
      <c r="O1689" s="8">
        <v>1.1403829511247441</v>
      </c>
      <c r="P1689" s="8">
        <f t="shared" si="212"/>
        <v>1.2364650467919682</v>
      </c>
      <c r="Q1689" s="8">
        <f t="shared" si="213"/>
        <v>1.0518060939906748</v>
      </c>
      <c r="R1689" s="8">
        <f t="shared" si="214"/>
        <v>0.85065574374270059</v>
      </c>
      <c r="S1689" s="22">
        <f t="shared" si="215"/>
        <v>-0.23335269655890442</v>
      </c>
      <c r="T1689" s="25"/>
      <c r="U1689" s="1" t="s">
        <v>4652</v>
      </c>
    </row>
    <row r="1690" spans="1:21">
      <c r="A1690" s="6" t="s">
        <v>4788</v>
      </c>
      <c r="B1690" s="6" t="s">
        <v>4789</v>
      </c>
      <c r="C1690" s="7">
        <v>1.0895145646443802</v>
      </c>
      <c r="D1690" s="7">
        <v>1.1310519682738853</v>
      </c>
      <c r="E1690" s="7">
        <v>1.1060116662813937</v>
      </c>
      <c r="F1690" s="8">
        <v>1.0565046843483787</v>
      </c>
      <c r="G1690" s="8">
        <f t="shared" si="208"/>
        <v>1.1102832664591329</v>
      </c>
      <c r="H1690" s="8">
        <f t="shared" si="209"/>
        <v>1.0812581753148862</v>
      </c>
      <c r="I1690" s="8">
        <f t="shared" si="210"/>
        <v>0.97385794056249064</v>
      </c>
      <c r="J1690" s="22">
        <f t="shared" si="211"/>
        <v>-3.8216757275316586E-2</v>
      </c>
      <c r="K1690" s="8"/>
      <c r="L1690" s="8">
        <v>1.3569306700320261</v>
      </c>
      <c r="M1690" s="8">
        <v>0.96059370466736793</v>
      </c>
      <c r="N1690" s="8">
        <v>0.90559430755604586</v>
      </c>
      <c r="O1690" s="8">
        <v>1.0187595979269464</v>
      </c>
      <c r="P1690" s="8">
        <f t="shared" si="212"/>
        <v>1.1587621873496969</v>
      </c>
      <c r="Q1690" s="8">
        <f t="shared" si="213"/>
        <v>0.96217695274149606</v>
      </c>
      <c r="R1690" s="8">
        <f t="shared" si="214"/>
        <v>0.830348938932994</v>
      </c>
      <c r="S1690" s="22">
        <f t="shared" si="215"/>
        <v>-0.26821036483930705</v>
      </c>
      <c r="T1690" s="25"/>
      <c r="U1690" s="1" t="s">
        <v>4790</v>
      </c>
    </row>
    <row r="1691" spans="1:21">
      <c r="A1691" s="6" t="s">
        <v>4791</v>
      </c>
      <c r="B1691" s="6" t="s">
        <v>4792</v>
      </c>
      <c r="C1691" s="7">
        <v>1.02061118308086</v>
      </c>
      <c r="D1691" s="7">
        <v>1.0698389348817505</v>
      </c>
      <c r="E1691" s="7">
        <v>1.03014335472892</v>
      </c>
      <c r="F1691" s="8">
        <v>0.99653820991371</v>
      </c>
      <c r="G1691" s="8">
        <f t="shared" si="208"/>
        <v>1.0452250589813052</v>
      </c>
      <c r="H1691" s="8">
        <f t="shared" si="209"/>
        <v>1.013340782321315</v>
      </c>
      <c r="I1691" s="8">
        <f t="shared" si="210"/>
        <v>0.96949530018820518</v>
      </c>
      <c r="J1691" s="22">
        <f t="shared" si="211"/>
        <v>-4.4694190275360722E-2</v>
      </c>
      <c r="K1691" s="8"/>
      <c r="L1691" s="8">
        <v>0.74803214686820851</v>
      </c>
      <c r="M1691" s="8">
        <v>1.1185636239734302</v>
      </c>
      <c r="N1691" s="8">
        <v>0.95894193864997046</v>
      </c>
      <c r="O1691" s="8">
        <v>0.99519191911226934</v>
      </c>
      <c r="P1691" s="8">
        <f t="shared" si="212"/>
        <v>0.93329788542081937</v>
      </c>
      <c r="Q1691" s="8">
        <f t="shared" si="213"/>
        <v>0.9770669288811199</v>
      </c>
      <c r="R1691" s="8">
        <f t="shared" si="214"/>
        <v>1.0468971848581499</v>
      </c>
      <c r="S1691" s="22">
        <f t="shared" si="215"/>
        <v>6.6119763014871338E-2</v>
      </c>
      <c r="T1691" s="25"/>
      <c r="U1691" s="1" t="s">
        <v>4793</v>
      </c>
    </row>
    <row r="1692" spans="1:21">
      <c r="A1692" s="6" t="s">
        <v>4794</v>
      </c>
      <c r="B1692" s="6" t="s">
        <v>4795</v>
      </c>
      <c r="C1692" s="7">
        <v>0.88130380184354307</v>
      </c>
      <c r="D1692" s="7">
        <v>1.1084185234804877</v>
      </c>
      <c r="E1692" s="7">
        <v>1.0758094960356039</v>
      </c>
      <c r="F1692" s="8">
        <v>0.97369657160769429</v>
      </c>
      <c r="G1692" s="8">
        <f t="shared" si="208"/>
        <v>0.99486116266201541</v>
      </c>
      <c r="H1692" s="8">
        <f t="shared" si="209"/>
        <v>1.0247530338216491</v>
      </c>
      <c r="I1692" s="8">
        <f t="shared" si="210"/>
        <v>1.0300462740747161</v>
      </c>
      <c r="J1692" s="22">
        <f t="shared" si="211"/>
        <v>4.2709150882798565E-2</v>
      </c>
      <c r="K1692" s="8"/>
      <c r="L1692" s="8">
        <v>0.87831989481631401</v>
      </c>
      <c r="M1692" s="8">
        <v>1.2644338990732369</v>
      </c>
      <c r="N1692" s="8">
        <v>0.92288965827599401</v>
      </c>
      <c r="O1692" s="8">
        <v>0.97172517254091006</v>
      </c>
      <c r="P1692" s="8">
        <f t="shared" si="212"/>
        <v>1.0713768969447754</v>
      </c>
      <c r="Q1692" s="8">
        <f t="shared" si="213"/>
        <v>0.94730741540845198</v>
      </c>
      <c r="R1692" s="8">
        <f t="shared" si="214"/>
        <v>0.88419623207283082</v>
      </c>
      <c r="S1692" s="22">
        <f t="shared" si="215"/>
        <v>-0.17756150850470662</v>
      </c>
      <c r="T1692" s="25"/>
      <c r="U1692" s="1" t="s">
        <v>4796</v>
      </c>
    </row>
    <row r="1693" spans="1:21">
      <c r="A1693" s="6" t="s">
        <v>4797</v>
      </c>
      <c r="B1693" s="6" t="s">
        <v>4798</v>
      </c>
      <c r="C1693" s="7">
        <v>0.95379418722329401</v>
      </c>
      <c r="D1693" s="7">
        <v>1.0233250413425927</v>
      </c>
      <c r="E1693" s="7">
        <v>0.99474580758860143</v>
      </c>
      <c r="F1693" s="8">
        <v>1.0523438331494186</v>
      </c>
      <c r="G1693" s="8">
        <f t="shared" si="208"/>
        <v>0.98855961428294337</v>
      </c>
      <c r="H1693" s="8">
        <f t="shared" si="209"/>
        <v>1.0235448203690101</v>
      </c>
      <c r="I1693" s="8">
        <f t="shared" si="210"/>
        <v>1.0353900822778841</v>
      </c>
      <c r="J1693" s="22">
        <f t="shared" si="211"/>
        <v>5.0174404191291891E-2</v>
      </c>
      <c r="K1693" s="8"/>
      <c r="L1693" s="8">
        <v>0.85431601085453412</v>
      </c>
      <c r="M1693" s="8">
        <v>1.047441325102513</v>
      </c>
      <c r="N1693" s="8">
        <v>0.88099106216569711</v>
      </c>
      <c r="O1693" s="8">
        <v>1.0470710921775541</v>
      </c>
      <c r="P1693" s="8">
        <f t="shared" si="212"/>
        <v>0.9508786679785235</v>
      </c>
      <c r="Q1693" s="8">
        <f t="shared" si="213"/>
        <v>0.96403107717162562</v>
      </c>
      <c r="R1693" s="8">
        <f t="shared" si="214"/>
        <v>1.0138318479907251</v>
      </c>
      <c r="S1693" s="22">
        <f t="shared" si="215"/>
        <v>1.9818389829726401E-2</v>
      </c>
      <c r="T1693" s="25"/>
      <c r="U1693" s="1" t="s">
        <v>4799</v>
      </c>
    </row>
    <row r="1694" spans="1:21">
      <c r="A1694" s="6" t="s">
        <v>4800</v>
      </c>
      <c r="B1694" s="6" t="s">
        <v>4801</v>
      </c>
      <c r="C1694" s="7">
        <v>0.87052304541971592</v>
      </c>
      <c r="D1694" s="7">
        <v>0.89674444843723966</v>
      </c>
      <c r="E1694" s="7">
        <v>0.89269940747904708</v>
      </c>
      <c r="F1694" s="8">
        <v>0.97889763560639442</v>
      </c>
      <c r="G1694" s="8">
        <f t="shared" si="208"/>
        <v>0.88363374692847785</v>
      </c>
      <c r="H1694" s="8">
        <f t="shared" si="209"/>
        <v>0.9357985215427207</v>
      </c>
      <c r="I1694" s="8">
        <f t="shared" si="210"/>
        <v>1.0590343847726145</v>
      </c>
      <c r="J1694" s="22">
        <f t="shared" si="211"/>
        <v>8.274943157350477E-2</v>
      </c>
      <c r="K1694" s="8"/>
      <c r="L1694" s="8">
        <v>1.2542029370030012</v>
      </c>
      <c r="M1694" s="8">
        <v>0.87589619522357853</v>
      </c>
      <c r="N1694" s="8">
        <v>0.89336576380757549</v>
      </c>
      <c r="O1694" s="8">
        <v>0.94815749372623315</v>
      </c>
      <c r="P1694" s="8">
        <f t="shared" si="212"/>
        <v>1.0650495661132899</v>
      </c>
      <c r="Q1694" s="8">
        <f t="shared" si="213"/>
        <v>0.92076162876690426</v>
      </c>
      <c r="R1694" s="8">
        <f t="shared" si="214"/>
        <v>0.86452467383941667</v>
      </c>
      <c r="S1694" s="22">
        <f t="shared" si="215"/>
        <v>-0.21002095540640064</v>
      </c>
      <c r="T1694" s="25"/>
      <c r="U1694" s="1" t="s">
        <v>4802</v>
      </c>
    </row>
    <row r="1695" spans="1:21">
      <c r="A1695" s="6" t="s">
        <v>4803</v>
      </c>
      <c r="B1695" s="13" t="s">
        <v>4804</v>
      </c>
      <c r="C1695" s="14">
        <v>0.84904709413098101</v>
      </c>
      <c r="D1695" s="14">
        <v>0.85229166505768628</v>
      </c>
      <c r="E1695" s="14">
        <v>0.91578039030785408</v>
      </c>
      <c r="F1695" s="8">
        <v>0.91004989602635911</v>
      </c>
      <c r="G1695" s="8">
        <f t="shared" si="208"/>
        <v>0.85066937959433364</v>
      </c>
      <c r="H1695" s="8">
        <f t="shared" si="209"/>
        <v>0.91291514316710654</v>
      </c>
      <c r="I1695" s="8">
        <f t="shared" si="210"/>
        <v>1.0731726861997273</v>
      </c>
      <c r="J1695" s="22">
        <f t="shared" si="211"/>
        <v>0.10188224149856671</v>
      </c>
      <c r="K1695" s="8"/>
      <c r="L1695" s="8">
        <v>1.0784411644384126</v>
      </c>
      <c r="M1695" s="8">
        <v>0.83495976830973107</v>
      </c>
      <c r="N1695" s="8">
        <v>0.9836913419337272</v>
      </c>
      <c r="O1695" s="8">
        <v>1.0940550514419314</v>
      </c>
      <c r="P1695" s="8">
        <f t="shared" si="212"/>
        <v>0.95670046637407191</v>
      </c>
      <c r="Q1695" s="8">
        <f t="shared" si="213"/>
        <v>1.0388731966878293</v>
      </c>
      <c r="R1695" s="8">
        <f t="shared" si="214"/>
        <v>1.0858918054312181</v>
      </c>
      <c r="S1695" s="22">
        <f t="shared" si="215"/>
        <v>0.11888036507247604</v>
      </c>
      <c r="T1695" s="25"/>
      <c r="U1695" s="1" t="s">
        <v>4805</v>
      </c>
    </row>
    <row r="1696" spans="1:21">
      <c r="A1696" s="6" t="s">
        <v>4806</v>
      </c>
      <c r="B1696" s="6" t="s">
        <v>4807</v>
      </c>
      <c r="C1696" s="7">
        <v>0.88485131570950326</v>
      </c>
      <c r="D1696" s="7">
        <v>0.88893290554394311</v>
      </c>
      <c r="E1696" s="7">
        <v>0.91407734145031139</v>
      </c>
      <c r="F1696" s="8">
        <v>0.85034168132128096</v>
      </c>
      <c r="G1696" s="8">
        <f t="shared" si="208"/>
        <v>0.88689211062672313</v>
      </c>
      <c r="H1696" s="8">
        <f t="shared" si="209"/>
        <v>0.88220951138579617</v>
      </c>
      <c r="I1696" s="8">
        <f t="shared" si="210"/>
        <v>0.99472021547511791</v>
      </c>
      <c r="J1696" s="22">
        <f t="shared" si="211"/>
        <v>-7.637298384437094E-3</v>
      </c>
      <c r="K1696" s="8"/>
      <c r="L1696" s="8">
        <v>0.86222840223452824</v>
      </c>
      <c r="M1696" s="8">
        <v>0.73824693273777842</v>
      </c>
      <c r="N1696" s="8">
        <v>0.75885178257440122</v>
      </c>
      <c r="O1696" s="8">
        <v>0.89824649940564316</v>
      </c>
      <c r="P1696" s="8">
        <f t="shared" si="212"/>
        <v>0.80023766748615333</v>
      </c>
      <c r="Q1696" s="8">
        <f t="shared" si="213"/>
        <v>0.82854914099002219</v>
      </c>
      <c r="R1696" s="8">
        <f t="shared" si="214"/>
        <v>1.035378831382439</v>
      </c>
      <c r="S1696" s="22">
        <f t="shared" si="215"/>
        <v>5.015872729856162E-2</v>
      </c>
      <c r="T1696" s="25"/>
      <c r="U1696" s="1" t="s">
        <v>4808</v>
      </c>
    </row>
    <row r="1697" spans="1:21">
      <c r="A1697" s="6" t="s">
        <v>4809</v>
      </c>
      <c r="B1697" s="6" t="s">
        <v>4810</v>
      </c>
      <c r="C1697" s="7">
        <v>0.9705050178460638</v>
      </c>
      <c r="D1697" s="7">
        <v>0.87887287884016918</v>
      </c>
      <c r="E1697" s="7">
        <v>0.8738508962835424</v>
      </c>
      <c r="F1697" s="8">
        <v>0.86562204865539327</v>
      </c>
      <c r="G1697" s="8">
        <f t="shared" si="208"/>
        <v>0.92468894834311643</v>
      </c>
      <c r="H1697" s="8">
        <f t="shared" si="209"/>
        <v>0.86973647246946784</v>
      </c>
      <c r="I1697" s="8">
        <f t="shared" si="210"/>
        <v>0.94057193397616146</v>
      </c>
      <c r="J1697" s="22">
        <f t="shared" si="211"/>
        <v>-8.8389811083463235E-2</v>
      </c>
      <c r="K1697" s="8"/>
      <c r="L1697" s="8">
        <v>1.088620589303686</v>
      </c>
      <c r="M1697" s="8">
        <v>1.2045259045886052</v>
      </c>
      <c r="N1697" s="8">
        <v>0.88235520250417188</v>
      </c>
      <c r="O1697" s="8">
        <v>0.89481480313284223</v>
      </c>
      <c r="P1697" s="8">
        <f t="shared" si="212"/>
        <v>1.1465732469461456</v>
      </c>
      <c r="Q1697" s="8">
        <f t="shared" si="213"/>
        <v>0.88858500281850705</v>
      </c>
      <c r="R1697" s="8">
        <f t="shared" si="214"/>
        <v>0.77499192065157596</v>
      </c>
      <c r="S1697" s="22">
        <f t="shared" si="215"/>
        <v>-0.36774682462521263</v>
      </c>
      <c r="T1697" s="25"/>
      <c r="U1697" s="1" t="s">
        <v>4811</v>
      </c>
    </row>
    <row r="1698" spans="1:21">
      <c r="A1698" s="6" t="s">
        <v>4812</v>
      </c>
      <c r="B1698" s="6" t="s">
        <v>4813</v>
      </c>
      <c r="C1698" s="7">
        <v>0.97218992239093549</v>
      </c>
      <c r="D1698" s="7">
        <v>0.91108822446959548</v>
      </c>
      <c r="E1698" s="7">
        <v>0.8673979938612919</v>
      </c>
      <c r="F1698" s="8">
        <v>0.92748242777372658</v>
      </c>
      <c r="G1698" s="8">
        <f t="shared" si="208"/>
        <v>0.94163907343026554</v>
      </c>
      <c r="H1698" s="8">
        <f t="shared" si="209"/>
        <v>0.89744021081750924</v>
      </c>
      <c r="I1698" s="8">
        <f t="shared" si="210"/>
        <v>0.95306177933786695</v>
      </c>
      <c r="J1698" s="22">
        <f t="shared" si="211"/>
        <v>-6.9358359392693483E-2</v>
      </c>
      <c r="K1698" s="8"/>
      <c r="L1698" s="8">
        <v>0.78781636195301041</v>
      </c>
      <c r="M1698" s="8">
        <v>0.83829033239437989</v>
      </c>
      <c r="N1698" s="8">
        <v>0.82208943112226807</v>
      </c>
      <c r="O1698" s="8">
        <v>0.89955861856877295</v>
      </c>
      <c r="P1698" s="8">
        <f t="shared" si="212"/>
        <v>0.81305334717369515</v>
      </c>
      <c r="Q1698" s="8">
        <f t="shared" si="213"/>
        <v>0.86082402484552056</v>
      </c>
      <c r="R1698" s="8">
        <f t="shared" si="214"/>
        <v>1.0587546657767095</v>
      </c>
      <c r="S1698" s="22">
        <f t="shared" si="215"/>
        <v>8.2368327317179968E-2</v>
      </c>
      <c r="T1698" s="25"/>
      <c r="U1698" s="1" t="s">
        <v>4814</v>
      </c>
    </row>
    <row r="1699" spans="1:21">
      <c r="A1699" s="6" t="s">
        <v>4815</v>
      </c>
      <c r="B1699" s="6" t="s">
        <v>4816</v>
      </c>
      <c r="C1699" s="7">
        <v>1.0110611967737946</v>
      </c>
      <c r="D1699" s="7">
        <v>0.93317893179149858</v>
      </c>
      <c r="E1699" s="7">
        <v>0.87526651073474881</v>
      </c>
      <c r="F1699" s="8">
        <v>0.86986181254950612</v>
      </c>
      <c r="G1699" s="8">
        <f t="shared" si="208"/>
        <v>0.97212006428264663</v>
      </c>
      <c r="H1699" s="8">
        <f t="shared" si="209"/>
        <v>0.87256416164212747</v>
      </c>
      <c r="I1699" s="8">
        <f t="shared" si="210"/>
        <v>0.89758888197212128</v>
      </c>
      <c r="J1699" s="22">
        <f t="shared" si="211"/>
        <v>-0.15587328884153034</v>
      </c>
      <c r="K1699" s="8"/>
      <c r="L1699" s="8">
        <v>1.1308940960585985</v>
      </c>
      <c r="M1699" s="8">
        <v>0.91919352832401247</v>
      </c>
      <c r="N1699" s="8">
        <v>0.94003885110253416</v>
      </c>
      <c r="O1699" s="8">
        <v>0.94997427410595126</v>
      </c>
      <c r="P1699" s="8">
        <f t="shared" si="212"/>
        <v>1.0250438121913055</v>
      </c>
      <c r="Q1699" s="8">
        <f t="shared" si="213"/>
        <v>0.94500656260424276</v>
      </c>
      <c r="R1699" s="8">
        <f t="shared" si="214"/>
        <v>0.92191821594829038</v>
      </c>
      <c r="S1699" s="22">
        <f t="shared" si="215"/>
        <v>-0.1172893211081681</v>
      </c>
      <c r="T1699" s="25"/>
      <c r="U1699" s="1" t="s">
        <v>4817</v>
      </c>
    </row>
    <row r="1700" spans="1:21">
      <c r="A1700" s="6" t="s">
        <v>4818</v>
      </c>
      <c r="B1700" s="13" t="s">
        <v>4819</v>
      </c>
      <c r="C1700" s="14">
        <v>0.1864978718104795</v>
      </c>
      <c r="D1700" s="14">
        <v>0.17124659457727934</v>
      </c>
      <c r="E1700" s="14">
        <v>0.40491603406614202</v>
      </c>
      <c r="F1700" s="8">
        <v>0.39726085516140869</v>
      </c>
      <c r="G1700" s="8">
        <f t="shared" si="208"/>
        <v>0.1788722331938794</v>
      </c>
      <c r="H1700" s="8">
        <f t="shared" si="209"/>
        <v>0.40108844461377535</v>
      </c>
      <c r="I1700" s="8">
        <f t="shared" si="210"/>
        <v>2.2423180918138148</v>
      </c>
      <c r="J1700" s="22">
        <f t="shared" si="211"/>
        <v>1.1649909511721979</v>
      </c>
      <c r="K1700" s="8"/>
      <c r="L1700" s="8">
        <v>1.2798515315325327</v>
      </c>
      <c r="M1700" s="8">
        <v>1.2681438945093013</v>
      </c>
      <c r="N1700" s="8">
        <v>1.2486268833846514</v>
      </c>
      <c r="O1700" s="8">
        <v>0.99766475907355245</v>
      </c>
      <c r="P1700" s="8">
        <f t="shared" si="212"/>
        <v>1.273997713020917</v>
      </c>
      <c r="Q1700" s="8">
        <f t="shared" si="213"/>
        <v>1.1231458212291019</v>
      </c>
      <c r="R1700" s="8">
        <f t="shared" si="214"/>
        <v>0.88159170911373652</v>
      </c>
      <c r="S1700" s="22">
        <f t="shared" si="215"/>
        <v>-0.18181743866969499</v>
      </c>
      <c r="T1700" s="25"/>
      <c r="U1700" s="1" t="s">
        <v>4820</v>
      </c>
    </row>
    <row r="1701" spans="1:21">
      <c r="A1701" s="6" t="s">
        <v>4821</v>
      </c>
      <c r="B1701" s="6" t="s">
        <v>4822</v>
      </c>
      <c r="C1701" s="7">
        <v>1.0303257108473853</v>
      </c>
      <c r="D1701" s="7">
        <v>1.0584802149426145</v>
      </c>
      <c r="E1701" s="7">
        <v>1.0213119325942366</v>
      </c>
      <c r="F1701" s="8">
        <v>0.91968441871636508</v>
      </c>
      <c r="G1701" s="8">
        <f t="shared" si="208"/>
        <v>1.044402962895</v>
      </c>
      <c r="H1701" s="8">
        <f t="shared" si="209"/>
        <v>0.97049817565530083</v>
      </c>
      <c r="I1701" s="8">
        <f t="shared" si="210"/>
        <v>0.92923728688509166</v>
      </c>
      <c r="J1701" s="22">
        <f t="shared" si="211"/>
        <v>-0.10588104951708663</v>
      </c>
      <c r="K1701" s="8"/>
      <c r="L1701" s="8">
        <v>1.2618041669242315</v>
      </c>
      <c r="M1701" s="8">
        <v>1.2222327009880036</v>
      </c>
      <c r="N1701" s="8">
        <v>0.82881269421903658</v>
      </c>
      <c r="O1701" s="8">
        <v>0.98535102538879615</v>
      </c>
      <c r="P1701" s="8">
        <f t="shared" si="212"/>
        <v>1.2420184339561176</v>
      </c>
      <c r="Q1701" s="8">
        <f t="shared" si="213"/>
        <v>0.90708185980391631</v>
      </c>
      <c r="R1701" s="8">
        <f t="shared" si="214"/>
        <v>0.73032882202452476</v>
      </c>
      <c r="S1701" s="22">
        <f t="shared" si="215"/>
        <v>-0.45338192802644983</v>
      </c>
      <c r="T1701" s="25"/>
      <c r="U1701" s="1" t="s">
        <v>4823</v>
      </c>
    </row>
    <row r="1702" spans="1:21">
      <c r="A1702" s="6" t="s">
        <v>4824</v>
      </c>
      <c r="B1702" s="13" t="s">
        <v>4825</v>
      </c>
      <c r="C1702" s="14">
        <v>1.130643347851032</v>
      </c>
      <c r="D1702" s="14">
        <v>1.020708271390744</v>
      </c>
      <c r="E1702" s="14">
        <v>1.0753639727057827</v>
      </c>
      <c r="F1702" s="8">
        <v>1.0082172887963086</v>
      </c>
      <c r="G1702" s="8">
        <f t="shared" si="208"/>
        <v>1.075675809620888</v>
      </c>
      <c r="H1702" s="8">
        <f t="shared" si="209"/>
        <v>1.0417906307510456</v>
      </c>
      <c r="I1702" s="8">
        <f t="shared" si="210"/>
        <v>0.96849870698330109</v>
      </c>
      <c r="J1702" s="22">
        <f t="shared" si="211"/>
        <v>-4.6177972161078579E-2</v>
      </c>
      <c r="K1702" s="8"/>
      <c r="L1702" s="8">
        <v>1.1948600016530453</v>
      </c>
      <c r="M1702" s="8">
        <v>1.2975709037635397</v>
      </c>
      <c r="N1702" s="8">
        <v>0.83875143097078142</v>
      </c>
      <c r="O1702" s="8">
        <v>0.81871189167131575</v>
      </c>
      <c r="P1702" s="8">
        <f t="shared" si="212"/>
        <v>1.2462154527082925</v>
      </c>
      <c r="Q1702" s="8">
        <f t="shared" si="213"/>
        <v>0.82873166132104858</v>
      </c>
      <c r="R1702" s="8">
        <f t="shared" si="214"/>
        <v>0.66499870429309604</v>
      </c>
      <c r="S1702" s="22">
        <f t="shared" si="215"/>
        <v>-0.58857656526864166</v>
      </c>
      <c r="T1702" s="25"/>
      <c r="U1702" s="1" t="s">
        <v>4826</v>
      </c>
    </row>
    <row r="1703" spans="1:21">
      <c r="A1703" s="6" t="s">
        <v>4827</v>
      </c>
      <c r="B1703" s="6" t="s">
        <v>4828</v>
      </c>
      <c r="C1703" s="7">
        <v>1.1645717967917089</v>
      </c>
      <c r="D1703" s="7">
        <v>1.1116167978660807</v>
      </c>
      <c r="E1703" s="7">
        <v>1.1127160738091884</v>
      </c>
      <c r="F1703" s="8">
        <v>1.0111872756866007</v>
      </c>
      <c r="G1703" s="8">
        <f t="shared" si="208"/>
        <v>1.1380942973288948</v>
      </c>
      <c r="H1703" s="8">
        <f t="shared" si="209"/>
        <v>1.0619516747478945</v>
      </c>
      <c r="I1703" s="8">
        <f t="shared" si="210"/>
        <v>0.93309638510648296</v>
      </c>
      <c r="J1703" s="22">
        <f t="shared" si="211"/>
        <v>-9.9901981513420196E-2</v>
      </c>
      <c r="K1703" s="8"/>
      <c r="L1703" s="8">
        <v>1.0315002358020429</v>
      </c>
      <c r="M1703" s="8">
        <v>0.97893288665245926</v>
      </c>
      <c r="N1703" s="8">
        <v>0.90564302685384857</v>
      </c>
      <c r="O1703" s="8">
        <v>0.8304704980178248</v>
      </c>
      <c r="P1703" s="8">
        <f t="shared" si="212"/>
        <v>1.005216561227251</v>
      </c>
      <c r="Q1703" s="8">
        <f t="shared" si="213"/>
        <v>0.86805676243583663</v>
      </c>
      <c r="R1703" s="8">
        <f t="shared" si="214"/>
        <v>0.86355199060393673</v>
      </c>
      <c r="S1703" s="22">
        <f t="shared" si="215"/>
        <v>-0.21164505630105923</v>
      </c>
      <c r="T1703" s="25"/>
      <c r="U1703" s="1" t="s">
        <v>4829</v>
      </c>
    </row>
    <row r="1704" spans="1:21">
      <c r="A1704" s="6" t="s">
        <v>4830</v>
      </c>
      <c r="B1704" s="13" t="s">
        <v>4831</v>
      </c>
      <c r="C1704" s="14">
        <v>9.5809201014439238E-2</v>
      </c>
      <c r="D1704" s="14">
        <v>9.0727613984838376E-2</v>
      </c>
      <c r="E1704" s="14">
        <v>0.14192073812856137</v>
      </c>
      <c r="F1704" s="8">
        <v>0.15032868426587906</v>
      </c>
      <c r="G1704" s="8">
        <f t="shared" si="208"/>
        <v>9.32684074996388E-2</v>
      </c>
      <c r="H1704" s="8">
        <f t="shared" si="209"/>
        <v>0.1461247111972202</v>
      </c>
      <c r="I1704" s="8">
        <f t="shared" si="210"/>
        <v>1.5667117635495824</v>
      </c>
      <c r="J1704" s="22">
        <f t="shared" si="211"/>
        <v>0.64773978380079611</v>
      </c>
      <c r="K1704" s="8"/>
      <c r="L1704" s="8">
        <v>0.89356680629574092</v>
      </c>
      <c r="M1704" s="8">
        <v>0.83592942620779342</v>
      </c>
      <c r="N1704" s="8">
        <v>1.1217618319064964</v>
      </c>
      <c r="O1704" s="8">
        <v>1.1750027105827063</v>
      </c>
      <c r="P1704" s="8">
        <f t="shared" si="212"/>
        <v>0.86474811625176717</v>
      </c>
      <c r="Q1704" s="8">
        <f t="shared" si="213"/>
        <v>1.1483822712446012</v>
      </c>
      <c r="R1704" s="8">
        <f t="shared" si="214"/>
        <v>1.3279962681182127</v>
      </c>
      <c r="S1704" s="22">
        <f t="shared" si="215"/>
        <v>0.40925109248686131</v>
      </c>
      <c r="T1704" s="25"/>
      <c r="U1704" s="1" t="s">
        <v>4832</v>
      </c>
    </row>
    <row r="1705" spans="1:21">
      <c r="A1705" s="6" t="s">
        <v>4833</v>
      </c>
      <c r="B1705" s="6" t="s">
        <v>4834</v>
      </c>
      <c r="C1705" s="7">
        <v>1.199704689215634</v>
      </c>
      <c r="D1705" s="7">
        <v>1.1769972797000487</v>
      </c>
      <c r="E1705" s="7">
        <v>1.0853810617666038</v>
      </c>
      <c r="F1705" s="8">
        <v>1.0410951871494711</v>
      </c>
      <c r="G1705" s="8">
        <f t="shared" si="208"/>
        <v>1.1883509844578413</v>
      </c>
      <c r="H1705" s="8">
        <f t="shared" si="209"/>
        <v>1.0632381244580373</v>
      </c>
      <c r="I1705" s="8">
        <f t="shared" si="210"/>
        <v>0.89471724967107769</v>
      </c>
      <c r="J1705" s="22">
        <f t="shared" si="211"/>
        <v>-0.16049626384767227</v>
      </c>
      <c r="K1705" s="8"/>
      <c r="L1705" s="8">
        <v>0.43407023497552033</v>
      </c>
      <c r="M1705" s="8">
        <v>0.36505511910093214</v>
      </c>
      <c r="N1705" s="8">
        <v>0.5317711355161524</v>
      </c>
      <c r="O1705" s="8">
        <v>0.64727847639624581</v>
      </c>
      <c r="P1705" s="8">
        <f t="shared" si="212"/>
        <v>0.39956267703822623</v>
      </c>
      <c r="Q1705" s="8">
        <f t="shared" si="213"/>
        <v>0.58952480595619905</v>
      </c>
      <c r="R1705" s="8">
        <f t="shared" si="214"/>
        <v>1.4754251080858563</v>
      </c>
      <c r="S1705" s="22">
        <f t="shared" si="215"/>
        <v>0.56113069207776178</v>
      </c>
      <c r="T1705" s="25"/>
      <c r="U1705" s="1" t="s">
        <v>4835</v>
      </c>
    </row>
    <row r="1706" spans="1:21">
      <c r="A1706" s="6" t="s">
        <v>4836</v>
      </c>
      <c r="B1706" s="13" t="s">
        <v>4837</v>
      </c>
      <c r="C1706" s="14">
        <v>1.0559678518896507</v>
      </c>
      <c r="D1706" s="14">
        <v>1.15745226956587</v>
      </c>
      <c r="E1706" s="14">
        <v>1.0910794488722215</v>
      </c>
      <c r="F1706" s="8">
        <v>1.1244198193493369</v>
      </c>
      <c r="G1706" s="8">
        <f t="shared" si="208"/>
        <v>1.1067100607277602</v>
      </c>
      <c r="H1706" s="8">
        <f t="shared" si="209"/>
        <v>1.1077496341107791</v>
      </c>
      <c r="I1706" s="8">
        <f t="shared" si="210"/>
        <v>1.0009393367060704</v>
      </c>
      <c r="J1706" s="22">
        <f t="shared" si="211"/>
        <v>1.3545403224022308E-3</v>
      </c>
      <c r="K1706" s="8"/>
      <c r="L1706" s="8">
        <v>0.84787052349442649</v>
      </c>
      <c r="M1706" s="8">
        <v>1.0245489669004335</v>
      </c>
      <c r="N1706" s="8">
        <v>0.7902270103593213</v>
      </c>
      <c r="O1706" s="8">
        <v>0.86680610561218752</v>
      </c>
      <c r="P1706" s="8">
        <f t="shared" si="212"/>
        <v>0.93620974519743005</v>
      </c>
      <c r="Q1706" s="8">
        <f t="shared" si="213"/>
        <v>0.82851655798575441</v>
      </c>
      <c r="R1706" s="8">
        <f t="shared" si="214"/>
        <v>0.88496895298930578</v>
      </c>
      <c r="S1706" s="22">
        <f t="shared" si="215"/>
        <v>-0.17630125229517651</v>
      </c>
      <c r="T1706" s="25"/>
      <c r="U1706" s="1" t="s">
        <v>4838</v>
      </c>
    </row>
    <row r="1707" spans="1:21">
      <c r="A1707" s="6" t="s">
        <v>4839</v>
      </c>
      <c r="B1707" s="6" t="s">
        <v>80</v>
      </c>
      <c r="C1707" s="7">
        <v>1.0799777416540715</v>
      </c>
      <c r="D1707" s="7">
        <v>1.0928277434957694</v>
      </c>
      <c r="E1707" s="7">
        <v>1.1227762780309598</v>
      </c>
      <c r="F1707" s="8">
        <v>1.0984001515930808</v>
      </c>
      <c r="G1707" s="8">
        <f t="shared" si="208"/>
        <v>1.0864027425749203</v>
      </c>
      <c r="H1707" s="8">
        <f t="shared" si="209"/>
        <v>1.1105882148120203</v>
      </c>
      <c r="I1707" s="8">
        <f t="shared" si="210"/>
        <v>1.0222619764193315</v>
      </c>
      <c r="J1707" s="22">
        <f t="shared" si="211"/>
        <v>3.1764965011076111E-2</v>
      </c>
      <c r="K1707" s="8"/>
      <c r="L1707" s="8">
        <v>0.94784225503154329</v>
      </c>
      <c r="M1707" s="8">
        <v>0.93104021829599093</v>
      </c>
      <c r="N1707" s="8">
        <v>0.8775319920217074</v>
      </c>
      <c r="O1707" s="8">
        <v>1.1211048926510683</v>
      </c>
      <c r="P1707" s="8">
        <f t="shared" si="212"/>
        <v>0.93944123666376711</v>
      </c>
      <c r="Q1707" s="8">
        <f t="shared" si="213"/>
        <v>0.99931844233638789</v>
      </c>
      <c r="R1707" s="8">
        <f t="shared" si="214"/>
        <v>1.0637370421222538</v>
      </c>
      <c r="S1707" s="22">
        <f t="shared" si="215"/>
        <v>8.9141557876148733E-2</v>
      </c>
      <c r="T1707" s="25"/>
      <c r="U1707" s="1">
        <v>0</v>
      </c>
    </row>
    <row r="1708" spans="1:21">
      <c r="A1708" s="6" t="s">
        <v>4840</v>
      </c>
      <c r="B1708" s="6" t="s">
        <v>80</v>
      </c>
      <c r="C1708" s="7">
        <v>1.1969930459637312</v>
      </c>
      <c r="D1708" s="7">
        <v>1.0663822140811601</v>
      </c>
      <c r="E1708" s="7">
        <v>1.2254765914149295</v>
      </c>
      <c r="F1708" s="8">
        <v>1.0710389680192292</v>
      </c>
      <c r="G1708" s="8">
        <f t="shared" si="208"/>
        <v>1.1316876300224457</v>
      </c>
      <c r="H1708" s="8">
        <f t="shared" si="209"/>
        <v>1.1482577797170794</v>
      </c>
      <c r="I1708" s="8">
        <f t="shared" si="210"/>
        <v>1.0146419818110985</v>
      </c>
      <c r="J1708" s="22">
        <f t="shared" si="211"/>
        <v>2.0970759744565574E-2</v>
      </c>
      <c r="K1708" s="8"/>
      <c r="L1708" s="8">
        <v>1.3719553233266215</v>
      </c>
      <c r="M1708" s="8">
        <v>1.2890126188371638</v>
      </c>
      <c r="N1708" s="8">
        <v>1.0714835165741401</v>
      </c>
      <c r="O1708" s="8">
        <v>1.6382312412891729</v>
      </c>
      <c r="P1708" s="8">
        <f t="shared" si="212"/>
        <v>1.3304839710818928</v>
      </c>
      <c r="Q1708" s="8">
        <f t="shared" si="213"/>
        <v>1.3548573789316565</v>
      </c>
      <c r="R1708" s="8">
        <f t="shared" si="214"/>
        <v>1.0183192044244955</v>
      </c>
      <c r="S1708" s="22">
        <f t="shared" si="215"/>
        <v>2.6189862450715678E-2</v>
      </c>
      <c r="T1708" s="25"/>
      <c r="U1708" s="1">
        <v>0</v>
      </c>
    </row>
    <row r="1709" spans="1:21">
      <c r="A1709" s="6" t="s">
        <v>4841</v>
      </c>
      <c r="B1709" s="6" t="s">
        <v>4842</v>
      </c>
      <c r="C1709" s="7">
        <v>0.71979648689586673</v>
      </c>
      <c r="D1709" s="7">
        <v>0.70215368142531986</v>
      </c>
      <c r="E1709" s="7">
        <v>0.275606480515587</v>
      </c>
      <c r="F1709" s="8">
        <v>0.2942080491733699</v>
      </c>
      <c r="G1709" s="8">
        <f t="shared" si="208"/>
        <v>0.7109750841605933</v>
      </c>
      <c r="H1709" s="8">
        <f t="shared" si="209"/>
        <v>0.28490726484447848</v>
      </c>
      <c r="I1709" s="8">
        <f t="shared" si="210"/>
        <v>0.40072749550830156</v>
      </c>
      <c r="J1709" s="22">
        <f t="shared" si="211"/>
        <v>-1.3193065926740166</v>
      </c>
      <c r="K1709" s="8"/>
      <c r="L1709" s="8">
        <v>1.1305384829628684</v>
      </c>
      <c r="M1709" s="8">
        <v>0.99048446335111451</v>
      </c>
      <c r="N1709" s="8">
        <v>1.3025591460522079</v>
      </c>
      <c r="O1709" s="8">
        <v>1.3402287928937393</v>
      </c>
      <c r="P1709" s="8">
        <f t="shared" si="212"/>
        <v>1.0605114731569913</v>
      </c>
      <c r="Q1709" s="8">
        <f t="shared" si="213"/>
        <v>1.3213939694729735</v>
      </c>
      <c r="R1709" s="8">
        <f t="shared" si="214"/>
        <v>1.2459968637014103</v>
      </c>
      <c r="S1709" s="22">
        <f t="shared" si="215"/>
        <v>0.3173004369589319</v>
      </c>
      <c r="T1709" s="25"/>
      <c r="U1709" s="1" t="s">
        <v>4843</v>
      </c>
    </row>
    <row r="1710" spans="1:21">
      <c r="A1710" s="6" t="s">
        <v>4844</v>
      </c>
      <c r="B1710" s="6" t="s">
        <v>4845</v>
      </c>
      <c r="C1710" s="7">
        <v>1.3279943743275011</v>
      </c>
      <c r="D1710" s="7">
        <v>1.3903124894785304</v>
      </c>
      <c r="E1710" s="7">
        <v>1.0059198201349262</v>
      </c>
      <c r="F1710" s="8">
        <v>1.2521866466829235</v>
      </c>
      <c r="G1710" s="8">
        <f t="shared" si="208"/>
        <v>1.3591534319030156</v>
      </c>
      <c r="H1710" s="8">
        <f t="shared" si="209"/>
        <v>1.1290532334089249</v>
      </c>
      <c r="I1710" s="8">
        <f t="shared" si="210"/>
        <v>0.83070329434998635</v>
      </c>
      <c r="J1710" s="22">
        <f t="shared" si="211"/>
        <v>-0.26759481910231114</v>
      </c>
      <c r="K1710" s="8"/>
      <c r="L1710" s="8">
        <v>1.0657724479030288</v>
      </c>
      <c r="M1710" s="8">
        <v>0.91877193793355061</v>
      </c>
      <c r="N1710" s="8">
        <v>0.62243774872692281</v>
      </c>
      <c r="O1710" s="8">
        <v>0.69618014828365904</v>
      </c>
      <c r="P1710" s="8">
        <f t="shared" si="212"/>
        <v>0.99227219291828972</v>
      </c>
      <c r="Q1710" s="8">
        <f t="shared" si="213"/>
        <v>0.65930894850529098</v>
      </c>
      <c r="R1710" s="8">
        <f t="shared" si="214"/>
        <v>0.66444364077789175</v>
      </c>
      <c r="S1710" s="22">
        <f t="shared" si="215"/>
        <v>-0.58978126200522996</v>
      </c>
      <c r="T1710" s="25"/>
      <c r="U1710" s="1" t="s">
        <v>4846</v>
      </c>
    </row>
    <row r="1711" spans="1:21">
      <c r="A1711" s="6" t="s">
        <v>4847</v>
      </c>
      <c r="B1711" s="6" t="s">
        <v>4848</v>
      </c>
      <c r="C1711" s="7">
        <v>1.1005914956952354</v>
      </c>
      <c r="D1711" s="7">
        <v>1.2829926156508586</v>
      </c>
      <c r="E1711" s="7">
        <v>1.0920710975740817</v>
      </c>
      <c r="F1711" s="8">
        <v>1.1624987817011996</v>
      </c>
      <c r="G1711" s="8">
        <f t="shared" si="208"/>
        <v>1.191792055673047</v>
      </c>
      <c r="H1711" s="8">
        <f t="shared" si="209"/>
        <v>1.1272849396376405</v>
      </c>
      <c r="I1711" s="8">
        <f t="shared" si="210"/>
        <v>0.94587384961298715</v>
      </c>
      <c r="J1711" s="22">
        <f t="shared" si="211"/>
        <v>-8.0280309497714586E-2</v>
      </c>
      <c r="K1711" s="8"/>
      <c r="L1711" s="8">
        <v>1.4112061187678284</v>
      </c>
      <c r="M1711" s="8">
        <v>0.83415874656785349</v>
      </c>
      <c r="N1711" s="8">
        <v>0.90690972859671792</v>
      </c>
      <c r="O1711" s="8">
        <v>1.2488851126912439</v>
      </c>
      <c r="P1711" s="8">
        <f t="shared" si="212"/>
        <v>1.1226824326678408</v>
      </c>
      <c r="Q1711" s="8">
        <f t="shared" si="213"/>
        <v>1.0778974206439809</v>
      </c>
      <c r="R1711" s="8">
        <f t="shared" si="214"/>
        <v>0.96010892241589907</v>
      </c>
      <c r="S1711" s="22">
        <f t="shared" si="215"/>
        <v>-5.8730008933557329E-2</v>
      </c>
      <c r="T1711" s="25"/>
      <c r="U1711" s="1" t="s">
        <v>4849</v>
      </c>
    </row>
    <row r="1712" spans="1:21">
      <c r="A1712" s="6" t="s">
        <v>4850</v>
      </c>
      <c r="B1712" s="6" t="s">
        <v>4851</v>
      </c>
      <c r="C1712" s="7">
        <v>1.0976429127417102</v>
      </c>
      <c r="D1712" s="7">
        <v>1.0922656225431502</v>
      </c>
      <c r="E1712" s="7">
        <v>1.0344404991036482</v>
      </c>
      <c r="F1712" s="8">
        <v>1.144026037154092</v>
      </c>
      <c r="G1712" s="8">
        <f t="shared" si="208"/>
        <v>1.0949542676424302</v>
      </c>
      <c r="H1712" s="8">
        <f t="shared" si="209"/>
        <v>1.0892332681288701</v>
      </c>
      <c r="I1712" s="8">
        <f t="shared" si="210"/>
        <v>0.99477512469458829</v>
      </c>
      <c r="J1712" s="22">
        <f t="shared" si="211"/>
        <v>-7.5576628537076217E-3</v>
      </c>
      <c r="K1712" s="8"/>
      <c r="L1712" s="8">
        <v>0.72145006796238553</v>
      </c>
      <c r="M1712" s="8">
        <v>0.61653378701143691</v>
      </c>
      <c r="N1712" s="8">
        <v>0.6836779060648801</v>
      </c>
      <c r="O1712" s="8">
        <v>0.7312541028365509</v>
      </c>
      <c r="P1712" s="8">
        <f t="shared" si="212"/>
        <v>0.66899192748691116</v>
      </c>
      <c r="Q1712" s="8">
        <f t="shared" si="213"/>
        <v>0.7074660044507155</v>
      </c>
      <c r="R1712" s="8">
        <f t="shared" si="214"/>
        <v>1.0575105249899404</v>
      </c>
      <c r="S1712" s="22">
        <f t="shared" si="215"/>
        <v>8.0672021997924948E-2</v>
      </c>
      <c r="T1712" s="25"/>
      <c r="U1712" s="1" t="s">
        <v>4852</v>
      </c>
    </row>
    <row r="1713" spans="1:21">
      <c r="A1713" s="6" t="s">
        <v>4853</v>
      </c>
      <c r="B1713" s="6" t="s">
        <v>4854</v>
      </c>
      <c r="C1713" s="7">
        <v>1.1518757777797659</v>
      </c>
      <c r="D1713" s="7">
        <v>1.1364534983473311</v>
      </c>
      <c r="E1713" s="7">
        <v>1.1593738638177327</v>
      </c>
      <c r="F1713" s="8">
        <v>1.3101013910436221</v>
      </c>
      <c r="G1713" s="8">
        <f t="shared" si="208"/>
        <v>1.1441646380635486</v>
      </c>
      <c r="H1713" s="8">
        <f t="shared" si="209"/>
        <v>1.2347376274306774</v>
      </c>
      <c r="I1713" s="8">
        <f t="shared" si="210"/>
        <v>1.0791608011242331</v>
      </c>
      <c r="J1713" s="22">
        <f t="shared" si="211"/>
        <v>0.10990985064608644</v>
      </c>
      <c r="K1713" s="8"/>
      <c r="L1713" s="8">
        <v>1.0918655588022228</v>
      </c>
      <c r="M1713" s="8">
        <v>0.80106390091659685</v>
      </c>
      <c r="N1713" s="8">
        <v>0.98812479803377029</v>
      </c>
      <c r="O1713" s="8">
        <v>0.77828852822258709</v>
      </c>
      <c r="P1713" s="8">
        <f t="shared" si="212"/>
        <v>0.94646472985940977</v>
      </c>
      <c r="Q1713" s="8">
        <f t="shared" si="213"/>
        <v>0.88320666312817875</v>
      </c>
      <c r="R1713" s="8">
        <f t="shared" si="214"/>
        <v>0.93316384146651976</v>
      </c>
      <c r="S1713" s="22">
        <f t="shared" si="215"/>
        <v>-9.9797688494945913E-2</v>
      </c>
      <c r="T1713" s="25"/>
      <c r="U1713" s="1" t="s">
        <v>4855</v>
      </c>
    </row>
    <row r="1714" spans="1:21">
      <c r="A1714" s="6" t="s">
        <v>4856</v>
      </c>
      <c r="B1714" s="6" t="s">
        <v>4857</v>
      </c>
      <c r="C1714" s="7">
        <v>1.1700411549041634</v>
      </c>
      <c r="D1714" s="7">
        <v>1.3174176781285127</v>
      </c>
      <c r="E1714" s="7">
        <v>1.2142163485467039</v>
      </c>
      <c r="F1714" s="8">
        <v>1.2559816299316302</v>
      </c>
      <c r="G1714" s="8">
        <f t="shared" si="208"/>
        <v>1.2437294165163379</v>
      </c>
      <c r="H1714" s="8">
        <f t="shared" si="209"/>
        <v>1.2350989892391671</v>
      </c>
      <c r="I1714" s="8">
        <f t="shared" si="210"/>
        <v>0.99306084815349582</v>
      </c>
      <c r="J1714" s="22">
        <f t="shared" si="211"/>
        <v>-1.004597568377294E-2</v>
      </c>
      <c r="K1714" s="8"/>
      <c r="L1714" s="8">
        <v>1.2674050731819801</v>
      </c>
      <c r="M1714" s="8">
        <v>1.1318858803120253</v>
      </c>
      <c r="N1714" s="8">
        <v>0.82959220298387937</v>
      </c>
      <c r="O1714" s="8">
        <v>0.9899434424597503</v>
      </c>
      <c r="P1714" s="8">
        <f t="shared" si="212"/>
        <v>1.1996454767470026</v>
      </c>
      <c r="Q1714" s="8">
        <f t="shared" si="213"/>
        <v>0.90976782272181489</v>
      </c>
      <c r="R1714" s="8">
        <f t="shared" si="214"/>
        <v>0.75836390029892053</v>
      </c>
      <c r="S1714" s="22">
        <f t="shared" si="215"/>
        <v>-0.39903780430530944</v>
      </c>
      <c r="T1714" s="25"/>
      <c r="U1714" s="1" t="s">
        <v>4858</v>
      </c>
    </row>
    <row r="1715" spans="1:21">
      <c r="A1715" s="6" t="s">
        <v>4859</v>
      </c>
      <c r="B1715" s="6" t="s">
        <v>4860</v>
      </c>
      <c r="C1715" s="7">
        <v>1.0312010714117132</v>
      </c>
      <c r="D1715" s="7">
        <v>1.0692703527687561</v>
      </c>
      <c r="E1715" s="7">
        <v>0.9908151420819522</v>
      </c>
      <c r="F1715" s="8">
        <v>1.0851141232819184</v>
      </c>
      <c r="G1715" s="8">
        <f t="shared" si="208"/>
        <v>1.0502357120902346</v>
      </c>
      <c r="H1715" s="8">
        <f t="shared" si="209"/>
        <v>1.0379646326819354</v>
      </c>
      <c r="I1715" s="8">
        <f t="shared" si="210"/>
        <v>0.98831588064751996</v>
      </c>
      <c r="J1715" s="22">
        <f t="shared" si="211"/>
        <v>-1.6955872299545854E-2</v>
      </c>
      <c r="K1715" s="8"/>
      <c r="L1715" s="8">
        <v>0.97117936443882935</v>
      </c>
      <c r="M1715" s="8">
        <v>1.2753109311471531</v>
      </c>
      <c r="N1715" s="8">
        <v>1.0220821486022318</v>
      </c>
      <c r="O1715" s="8">
        <v>1.0441440571213414</v>
      </c>
      <c r="P1715" s="8">
        <f t="shared" si="212"/>
        <v>1.1232451477929912</v>
      </c>
      <c r="Q1715" s="8">
        <f t="shared" si="213"/>
        <v>1.0331131028617866</v>
      </c>
      <c r="R1715" s="8">
        <f t="shared" si="214"/>
        <v>0.91975745890529714</v>
      </c>
      <c r="S1715" s="22">
        <f t="shared" si="215"/>
        <v>-0.12067462389889903</v>
      </c>
      <c r="T1715" s="25"/>
      <c r="U1715" s="1" t="s">
        <v>4861</v>
      </c>
    </row>
    <row r="1716" spans="1:21">
      <c r="A1716" s="6" t="s">
        <v>4862</v>
      </c>
      <c r="B1716" s="13" t="s">
        <v>4863</v>
      </c>
      <c r="C1716" s="14">
        <v>0.92987644067617081</v>
      </c>
      <c r="D1716" s="14">
        <v>1.0393616413931817</v>
      </c>
      <c r="E1716" s="14">
        <v>0.94661491624758354</v>
      </c>
      <c r="F1716" s="8">
        <v>1.0681048505358244</v>
      </c>
      <c r="G1716" s="8">
        <f t="shared" si="208"/>
        <v>0.98461904103467623</v>
      </c>
      <c r="H1716" s="8">
        <f t="shared" si="209"/>
        <v>1.0073598833917039</v>
      </c>
      <c r="I1716" s="8">
        <f t="shared" si="210"/>
        <v>1.0230960822503805</v>
      </c>
      <c r="J1716" s="22">
        <f t="shared" si="211"/>
        <v>3.2941639586599285E-2</v>
      </c>
      <c r="K1716" s="8"/>
      <c r="L1716" s="8">
        <v>1.4889964834587819</v>
      </c>
      <c r="M1716" s="8">
        <v>1.2895185273057179</v>
      </c>
      <c r="N1716" s="8">
        <v>0.72528418638836101</v>
      </c>
      <c r="O1716" s="8">
        <v>0.88991958933193505</v>
      </c>
      <c r="P1716" s="8">
        <f t="shared" si="212"/>
        <v>1.38925750538225</v>
      </c>
      <c r="Q1716" s="8">
        <f t="shared" si="213"/>
        <v>0.80760188786014808</v>
      </c>
      <c r="R1716" s="8">
        <f t="shared" si="214"/>
        <v>0.58131907492408241</v>
      </c>
      <c r="S1716" s="22">
        <f t="shared" si="215"/>
        <v>-0.78259784613714667</v>
      </c>
      <c r="T1716" s="25"/>
      <c r="U1716" s="1" t="s">
        <v>4864</v>
      </c>
    </row>
    <row r="1717" spans="1:21">
      <c r="A1717" s="6" t="s">
        <v>4865</v>
      </c>
      <c r="B1717" s="6" t="s">
        <v>4866</v>
      </c>
      <c r="C1717" s="7">
        <v>0.94255271471297852</v>
      </c>
      <c r="D1717" s="7">
        <v>0.97911778205728695</v>
      </c>
      <c r="E1717" s="7">
        <v>1.0623719375393808</v>
      </c>
      <c r="F1717" s="8">
        <v>1.113859865961631</v>
      </c>
      <c r="G1717" s="8">
        <f t="shared" si="208"/>
        <v>0.96083524838513279</v>
      </c>
      <c r="H1717" s="8">
        <f t="shared" si="209"/>
        <v>1.088115901750506</v>
      </c>
      <c r="I1717" s="8">
        <f t="shared" si="210"/>
        <v>1.1324687594249823</v>
      </c>
      <c r="J1717" s="22">
        <f t="shared" si="211"/>
        <v>0.17947125226328806</v>
      </c>
      <c r="K1717" s="8"/>
      <c r="L1717" s="8">
        <v>1.3336380122617062</v>
      </c>
      <c r="M1717" s="8">
        <v>1.2147705510768287</v>
      </c>
      <c r="N1717" s="8">
        <v>1.2975897776763357</v>
      </c>
      <c r="O1717" s="8">
        <v>1.0554484683729211</v>
      </c>
      <c r="P1717" s="8">
        <f t="shared" si="212"/>
        <v>1.2742042816692676</v>
      </c>
      <c r="Q1717" s="8">
        <f t="shared" si="213"/>
        <v>1.1765191230246284</v>
      </c>
      <c r="R1717" s="8">
        <f t="shared" si="214"/>
        <v>0.92333634406198428</v>
      </c>
      <c r="S1717" s="22">
        <f t="shared" si="215"/>
        <v>-0.11507182023418788</v>
      </c>
      <c r="T1717" s="25"/>
      <c r="U1717" s="1" t="s">
        <v>4867</v>
      </c>
    </row>
    <row r="1718" spans="1:21">
      <c r="A1718" s="6" t="s">
        <v>4868</v>
      </c>
      <c r="B1718" s="6" t="s">
        <v>4869</v>
      </c>
      <c r="C1718" s="7">
        <v>0.78336214351450073</v>
      </c>
      <c r="D1718" s="7">
        <v>0.98502328263997763</v>
      </c>
      <c r="E1718" s="7">
        <v>0.97093186702363676</v>
      </c>
      <c r="F1718" s="8">
        <v>0.90412427000852968</v>
      </c>
      <c r="G1718" s="8">
        <f t="shared" si="208"/>
        <v>0.88419271307723912</v>
      </c>
      <c r="H1718" s="8">
        <f t="shared" si="209"/>
        <v>0.93752806851608317</v>
      </c>
      <c r="I1718" s="8">
        <f t="shared" si="210"/>
        <v>1.0603209624440604</v>
      </c>
      <c r="J1718" s="22">
        <f t="shared" si="211"/>
        <v>8.4501039161879329E-2</v>
      </c>
      <c r="K1718" s="8"/>
      <c r="L1718" s="8">
        <v>0.92646101765077271</v>
      </c>
      <c r="M1718" s="8">
        <v>0.76936030355386431</v>
      </c>
      <c r="N1718" s="8">
        <v>0.70823243215742626</v>
      </c>
      <c r="O1718" s="8">
        <v>0.84288516394589874</v>
      </c>
      <c r="P1718" s="8">
        <f t="shared" si="212"/>
        <v>0.84791066060231857</v>
      </c>
      <c r="Q1718" s="8">
        <f t="shared" si="213"/>
        <v>0.7755587980516625</v>
      </c>
      <c r="R1718" s="8">
        <f t="shared" si="214"/>
        <v>0.91467041763661694</v>
      </c>
      <c r="S1718" s="22">
        <f t="shared" si="215"/>
        <v>-0.12867610285330655</v>
      </c>
      <c r="T1718" s="25"/>
      <c r="U1718" s="1" t="s">
        <v>4870</v>
      </c>
    </row>
    <row r="1719" spans="1:21">
      <c r="A1719" s="6" t="s">
        <v>4871</v>
      </c>
      <c r="B1719" s="6" t="s">
        <v>4872</v>
      </c>
      <c r="C1719" s="7">
        <v>0.77534568360960354</v>
      </c>
      <c r="D1719" s="7">
        <v>0.76100839128060349</v>
      </c>
      <c r="E1719" s="7">
        <v>0.76310960538231409</v>
      </c>
      <c r="F1719" s="8">
        <v>0.84230693417846136</v>
      </c>
      <c r="G1719" s="8">
        <f t="shared" si="208"/>
        <v>0.76817703744510357</v>
      </c>
      <c r="H1719" s="8">
        <f t="shared" si="209"/>
        <v>0.80270826978038778</v>
      </c>
      <c r="I1719" s="8">
        <f t="shared" si="210"/>
        <v>1.0449521798388199</v>
      </c>
      <c r="J1719" s="22">
        <f t="shared" si="211"/>
        <v>6.3436921743518823E-2</v>
      </c>
      <c r="K1719" s="8"/>
      <c r="L1719" s="8">
        <v>0.97758040016197068</v>
      </c>
      <c r="M1719" s="8">
        <v>0.8266965966566785</v>
      </c>
      <c r="N1719" s="8">
        <v>0.92050241268366317</v>
      </c>
      <c r="O1719" s="8">
        <v>0.87942263602689685</v>
      </c>
      <c r="P1719" s="8">
        <f t="shared" si="212"/>
        <v>0.90213849840932459</v>
      </c>
      <c r="Q1719" s="8">
        <f t="shared" si="213"/>
        <v>0.89996252435528001</v>
      </c>
      <c r="R1719" s="8">
        <f t="shared" si="214"/>
        <v>0.99758798226892953</v>
      </c>
      <c r="S1719" s="22">
        <f t="shared" si="215"/>
        <v>-3.4840094565985139E-3</v>
      </c>
      <c r="T1719" s="25"/>
      <c r="U1719" s="1" t="s">
        <v>4873</v>
      </c>
    </row>
    <row r="1720" spans="1:21">
      <c r="A1720" s="6" t="s">
        <v>4874</v>
      </c>
      <c r="B1720" s="6" t="s">
        <v>4875</v>
      </c>
      <c r="C1720" s="7">
        <v>0.90580731598634434</v>
      </c>
      <c r="D1720" s="7">
        <v>0.85952170351723867</v>
      </c>
      <c r="E1720" s="7">
        <v>0.78372583817678709</v>
      </c>
      <c r="F1720" s="8">
        <v>0.80769295653193951</v>
      </c>
      <c r="G1720" s="8">
        <f t="shared" si="208"/>
        <v>0.88266450975179156</v>
      </c>
      <c r="H1720" s="8">
        <f t="shared" si="209"/>
        <v>0.7957093973543633</v>
      </c>
      <c r="I1720" s="8">
        <f t="shared" si="210"/>
        <v>0.90148565911879663</v>
      </c>
      <c r="J1720" s="22">
        <f t="shared" si="211"/>
        <v>-0.14962355351566686</v>
      </c>
      <c r="K1720" s="8"/>
      <c r="L1720" s="8">
        <v>0.87325240820216044</v>
      </c>
      <c r="M1720" s="8">
        <v>1.1917095567185645</v>
      </c>
      <c r="N1720" s="8">
        <v>1.0329465520122274</v>
      </c>
      <c r="O1720" s="8">
        <v>0.93241206376867591</v>
      </c>
      <c r="P1720" s="8">
        <f t="shared" si="212"/>
        <v>1.0324809824603625</v>
      </c>
      <c r="Q1720" s="8">
        <f t="shared" si="213"/>
        <v>0.98267930789045166</v>
      </c>
      <c r="R1720" s="8">
        <f t="shared" si="214"/>
        <v>0.95176504418392738</v>
      </c>
      <c r="S1720" s="22">
        <f t="shared" si="215"/>
        <v>-7.1322625794061234E-2</v>
      </c>
      <c r="T1720" s="25"/>
      <c r="U1720" s="1" t="s">
        <v>4876</v>
      </c>
    </row>
    <row r="1721" spans="1:21">
      <c r="A1721" s="6" t="s">
        <v>4877</v>
      </c>
      <c r="B1721" s="6" t="s">
        <v>4878</v>
      </c>
      <c r="C1721" s="7">
        <v>0.90360904208795712</v>
      </c>
      <c r="D1721" s="7">
        <v>0.80217244402931487</v>
      </c>
      <c r="E1721" s="7">
        <v>0.89091731415976183</v>
      </c>
      <c r="F1721" s="8">
        <v>0.87456070485178006</v>
      </c>
      <c r="G1721" s="8">
        <f t="shared" si="208"/>
        <v>0.85289074305863599</v>
      </c>
      <c r="H1721" s="8">
        <f t="shared" si="209"/>
        <v>0.882739009505771</v>
      </c>
      <c r="I1721" s="8">
        <f t="shared" si="210"/>
        <v>1.0349965885901085</v>
      </c>
      <c r="J1721" s="22">
        <f t="shared" si="211"/>
        <v>4.9626012524364847E-2</v>
      </c>
      <c r="K1721" s="8"/>
      <c r="L1721" s="8">
        <v>1.1410290692869054</v>
      </c>
      <c r="M1721" s="8">
        <v>0.71312014546625102</v>
      </c>
      <c r="N1721" s="8">
        <v>0.7293766074037854</v>
      </c>
      <c r="O1721" s="8">
        <v>0.79751612057460408</v>
      </c>
      <c r="P1721" s="8">
        <f t="shared" si="212"/>
        <v>0.92707460737657821</v>
      </c>
      <c r="Q1721" s="8">
        <f t="shared" si="213"/>
        <v>0.76344636398919474</v>
      </c>
      <c r="R1721" s="8">
        <f t="shared" si="214"/>
        <v>0.82350045823127849</v>
      </c>
      <c r="S1721" s="22">
        <f t="shared" si="215"/>
        <v>-0.28015864215757907</v>
      </c>
      <c r="T1721" s="25"/>
      <c r="U1721" s="1" t="s">
        <v>4879</v>
      </c>
    </row>
    <row r="1722" spans="1:21">
      <c r="A1722" s="6" t="s">
        <v>4880</v>
      </c>
      <c r="B1722" s="6" t="s">
        <v>4881</v>
      </c>
      <c r="C1722" s="7">
        <v>0.94662676124921108</v>
      </c>
      <c r="D1722" s="7">
        <v>0.9511538799545679</v>
      </c>
      <c r="E1722" s="7">
        <v>0.98540418938267083</v>
      </c>
      <c r="F1722" s="8">
        <v>0.89357866438357891</v>
      </c>
      <c r="G1722" s="8">
        <f t="shared" si="208"/>
        <v>0.94889032060188949</v>
      </c>
      <c r="H1722" s="8">
        <f t="shared" si="209"/>
        <v>0.93949142688312492</v>
      </c>
      <c r="I1722" s="8">
        <f t="shared" si="210"/>
        <v>0.9900948576303289</v>
      </c>
      <c r="J1722" s="22">
        <f t="shared" si="211"/>
        <v>-1.4361343354651328E-2</v>
      </c>
      <c r="K1722" s="8"/>
      <c r="L1722" s="8">
        <v>0.84827058822712287</v>
      </c>
      <c r="M1722" s="8">
        <v>0.98344390383040126</v>
      </c>
      <c r="N1722" s="8">
        <v>0.69644236208917987</v>
      </c>
      <c r="O1722" s="8">
        <v>0.90480709522129199</v>
      </c>
      <c r="P1722" s="8">
        <f t="shared" si="212"/>
        <v>0.91585724602876206</v>
      </c>
      <c r="Q1722" s="8">
        <f t="shared" si="213"/>
        <v>0.80062472865523593</v>
      </c>
      <c r="R1722" s="8">
        <f t="shared" si="214"/>
        <v>0.87418070024211247</v>
      </c>
      <c r="S1722" s="22">
        <f t="shared" si="215"/>
        <v>-0.19399656756720346</v>
      </c>
      <c r="T1722" s="25"/>
      <c r="U1722" s="1" t="s">
        <v>4882</v>
      </c>
    </row>
    <row r="1723" spans="1:21">
      <c r="A1723" s="6" t="s">
        <v>4883</v>
      </c>
      <c r="B1723" s="13" t="s">
        <v>4884</v>
      </c>
      <c r="C1723" s="14">
        <v>0.20763815852191583</v>
      </c>
      <c r="D1723" s="14">
        <v>0.18699244241099613</v>
      </c>
      <c r="E1723" s="14">
        <v>0.90496567076944978</v>
      </c>
      <c r="F1723" s="8">
        <v>0.94208845025835219</v>
      </c>
      <c r="G1723" s="8">
        <f t="shared" si="208"/>
        <v>0.19731530046645598</v>
      </c>
      <c r="H1723" s="8">
        <f t="shared" si="209"/>
        <v>0.92352706051390099</v>
      </c>
      <c r="I1723" s="8">
        <f t="shared" si="210"/>
        <v>4.6804634933564238</v>
      </c>
      <c r="J1723" s="22">
        <f t="shared" si="211"/>
        <v>2.226651402983244</v>
      </c>
      <c r="K1723" s="8"/>
      <c r="L1723" s="8">
        <v>0.67748739900275534</v>
      </c>
      <c r="M1723" s="8">
        <v>1.0493806408986375</v>
      </c>
      <c r="N1723" s="8">
        <v>0.64543325728978351</v>
      </c>
      <c r="O1723" s="8">
        <v>0.66756585730309836</v>
      </c>
      <c r="P1723" s="8">
        <f t="shared" si="212"/>
        <v>0.86343401995069646</v>
      </c>
      <c r="Q1723" s="8">
        <f t="shared" si="213"/>
        <v>0.65649955729644094</v>
      </c>
      <c r="R1723" s="8">
        <f t="shared" si="214"/>
        <v>0.76033552318673769</v>
      </c>
      <c r="S1723" s="22">
        <f t="shared" si="215"/>
        <v>-0.39529189893814159</v>
      </c>
      <c r="T1723" s="25"/>
      <c r="U1723" s="1" t="s">
        <v>4885</v>
      </c>
    </row>
    <row r="1724" spans="1:21">
      <c r="A1724" s="6" t="s">
        <v>4886</v>
      </c>
      <c r="B1724" s="6" t="s">
        <v>4887</v>
      </c>
      <c r="C1724" s="7">
        <v>0.10479974635934024</v>
      </c>
      <c r="D1724" s="7">
        <v>0.1633381342783588</v>
      </c>
      <c r="E1724" s="7">
        <v>0.71561825559539449</v>
      </c>
      <c r="F1724" s="8">
        <v>0.67222138059889913</v>
      </c>
      <c r="G1724" s="8">
        <f t="shared" si="208"/>
        <v>0.13406894031884953</v>
      </c>
      <c r="H1724" s="8">
        <f t="shared" si="209"/>
        <v>0.69391981809714687</v>
      </c>
      <c r="I1724" s="8">
        <f t="shared" si="210"/>
        <v>5.1758432374182393</v>
      </c>
      <c r="J1724" s="22">
        <f t="shared" si="211"/>
        <v>2.3717939225807738</v>
      </c>
      <c r="K1724" s="8"/>
      <c r="L1724" s="8">
        <v>0.28271241110540801</v>
      </c>
      <c r="M1724" s="8">
        <v>0.28288715199991393</v>
      </c>
      <c r="N1724" s="8">
        <v>0.34819682139568858</v>
      </c>
      <c r="O1724" s="8">
        <v>0.33378292865154918</v>
      </c>
      <c r="P1724" s="8">
        <f t="shared" si="212"/>
        <v>0.28279978155266094</v>
      </c>
      <c r="Q1724" s="8">
        <f t="shared" si="213"/>
        <v>0.34098987502361888</v>
      </c>
      <c r="R1724" s="8">
        <f t="shared" si="214"/>
        <v>1.2057642801259456</v>
      </c>
      <c r="S1724" s="22">
        <f t="shared" si="215"/>
        <v>0.26994789634893829</v>
      </c>
      <c r="T1724" s="25"/>
      <c r="U1724" s="1" t="s">
        <v>4888</v>
      </c>
    </row>
    <row r="1725" spans="1:21">
      <c r="A1725" s="6" t="s">
        <v>4889</v>
      </c>
      <c r="B1725" s="6" t="s">
        <v>4890</v>
      </c>
      <c r="C1725" s="7">
        <v>1.0332150588755051</v>
      </c>
      <c r="D1725" s="7">
        <v>1.0054340882643975</v>
      </c>
      <c r="E1725" s="7">
        <v>0.99910762470475523</v>
      </c>
      <c r="F1725" s="8">
        <v>0.9019577578325193</v>
      </c>
      <c r="G1725" s="8">
        <f t="shared" si="208"/>
        <v>1.0193245735699512</v>
      </c>
      <c r="H1725" s="8">
        <f t="shared" si="209"/>
        <v>0.95053269126863726</v>
      </c>
      <c r="I1725" s="8">
        <f t="shared" si="210"/>
        <v>0.93251228893620597</v>
      </c>
      <c r="J1725" s="22">
        <f t="shared" si="211"/>
        <v>-0.10080535711144266</v>
      </c>
      <c r="K1725" s="8"/>
      <c r="L1725" s="8">
        <v>0.76127873468415375</v>
      </c>
      <c r="M1725" s="8">
        <v>0.82610637011003185</v>
      </c>
      <c r="N1725" s="8">
        <v>0.76835204564592208</v>
      </c>
      <c r="O1725" s="8">
        <v>0.89723717697246641</v>
      </c>
      <c r="P1725" s="8">
        <f t="shared" si="212"/>
        <v>0.7936925523970928</v>
      </c>
      <c r="Q1725" s="8">
        <f t="shared" si="213"/>
        <v>0.83279461130919419</v>
      </c>
      <c r="R1725" s="8">
        <f t="shared" si="214"/>
        <v>1.049266002048282</v>
      </c>
      <c r="S1725" s="22">
        <f t="shared" si="215"/>
        <v>6.9380465510846687E-2</v>
      </c>
      <c r="T1725" s="25"/>
      <c r="U1725" s="1" t="s">
        <v>4891</v>
      </c>
    </row>
    <row r="1726" spans="1:21">
      <c r="A1726" s="6" t="s">
        <v>4892</v>
      </c>
      <c r="B1726" s="6" t="s">
        <v>4893</v>
      </c>
      <c r="C1726" s="7">
        <v>1.0482278216366465</v>
      </c>
      <c r="D1726" s="7">
        <v>1.0790654718971577</v>
      </c>
      <c r="E1726" s="7">
        <v>0.95058869691518322</v>
      </c>
      <c r="F1726" s="8">
        <v>0.96988724059623244</v>
      </c>
      <c r="G1726" s="8">
        <f t="shared" si="208"/>
        <v>1.0636466467669021</v>
      </c>
      <c r="H1726" s="8">
        <f t="shared" si="209"/>
        <v>0.96023796875570788</v>
      </c>
      <c r="I1726" s="8">
        <f t="shared" si="210"/>
        <v>0.90277910589431287</v>
      </c>
      <c r="J1726" s="22">
        <f t="shared" si="211"/>
        <v>-0.14755506600258828</v>
      </c>
      <c r="K1726" s="8"/>
      <c r="L1726" s="8">
        <v>0.79648443116143097</v>
      </c>
      <c r="M1726" s="8">
        <v>0.97387380196691686</v>
      </c>
      <c r="N1726" s="8">
        <v>0.70701444971235949</v>
      </c>
      <c r="O1726" s="8">
        <v>0.79943383319763994</v>
      </c>
      <c r="P1726" s="8">
        <f t="shared" si="212"/>
        <v>0.88517911656417392</v>
      </c>
      <c r="Q1726" s="8">
        <f t="shared" si="213"/>
        <v>0.75322414145499972</v>
      </c>
      <c r="R1726" s="8">
        <f t="shared" si="214"/>
        <v>0.85092850402824916</v>
      </c>
      <c r="S1726" s="22">
        <f t="shared" si="215"/>
        <v>-0.23289017474701257</v>
      </c>
      <c r="T1726" s="25"/>
      <c r="U1726" s="1" t="s">
        <v>4894</v>
      </c>
    </row>
    <row r="1727" spans="1:21">
      <c r="A1727" s="6" t="s">
        <v>4895</v>
      </c>
      <c r="B1727" s="6" t="s">
        <v>4896</v>
      </c>
      <c r="C1727" s="7">
        <v>1.0884878259373489</v>
      </c>
      <c r="D1727" s="7">
        <v>1.1833615226693597</v>
      </c>
      <c r="E1727" s="7">
        <v>1.1258877554795506</v>
      </c>
      <c r="F1727" s="8">
        <v>1.1214283108149121</v>
      </c>
      <c r="G1727" s="8">
        <f t="shared" si="208"/>
        <v>1.1359246743033542</v>
      </c>
      <c r="H1727" s="8">
        <f t="shared" si="209"/>
        <v>1.1236580331472314</v>
      </c>
      <c r="I1727" s="8">
        <f t="shared" si="210"/>
        <v>0.98920118434468751</v>
      </c>
      <c r="J1727" s="22">
        <f t="shared" si="211"/>
        <v>-1.5664127857464943E-2</v>
      </c>
      <c r="K1727" s="8"/>
      <c r="L1727" s="8">
        <v>1.0435910810568654</v>
      </c>
      <c r="M1727" s="8">
        <v>1.2024601116753422</v>
      </c>
      <c r="N1727" s="8">
        <v>1.1230285336493659</v>
      </c>
      <c r="O1727" s="8">
        <v>0.946037916616562</v>
      </c>
      <c r="P1727" s="8">
        <f t="shared" si="212"/>
        <v>1.1230255963661038</v>
      </c>
      <c r="Q1727" s="8">
        <f t="shared" si="213"/>
        <v>1.034533225132964</v>
      </c>
      <c r="R1727" s="8">
        <f t="shared" si="214"/>
        <v>0.92120182165082953</v>
      </c>
      <c r="S1727" s="22">
        <f t="shared" si="215"/>
        <v>-0.11841083086470246</v>
      </c>
      <c r="T1727" s="25"/>
      <c r="U1727" s="1" t="s">
        <v>4897</v>
      </c>
    </row>
    <row r="1728" spans="1:21">
      <c r="A1728" s="6" t="s">
        <v>4898</v>
      </c>
      <c r="B1728" s="6" t="s">
        <v>4899</v>
      </c>
      <c r="C1728" s="7">
        <v>1.1614915806706154</v>
      </c>
      <c r="D1728" s="7">
        <v>1.2196215546934954</v>
      </c>
      <c r="E1728" s="7">
        <v>0.99287029808725691</v>
      </c>
      <c r="F1728" s="8">
        <v>1.1028336102843868</v>
      </c>
      <c r="G1728" s="8">
        <f t="shared" si="208"/>
        <v>1.1905565676820555</v>
      </c>
      <c r="H1728" s="8">
        <f t="shared" si="209"/>
        <v>1.0478519541858218</v>
      </c>
      <c r="I1728" s="8">
        <f t="shared" si="210"/>
        <v>0.88013621748853865</v>
      </c>
      <c r="J1728" s="22">
        <f t="shared" si="211"/>
        <v>-0.18420126990240165</v>
      </c>
      <c r="K1728" s="8"/>
      <c r="L1728" s="8">
        <v>1.0643944471570748</v>
      </c>
      <c r="M1728" s="8">
        <v>1.1374930325051682</v>
      </c>
      <c r="N1728" s="8">
        <v>1.214182339838163</v>
      </c>
      <c r="O1728" s="8">
        <v>0.98348377888741911</v>
      </c>
      <c r="P1728" s="8">
        <f t="shared" si="212"/>
        <v>1.1009437398311215</v>
      </c>
      <c r="Q1728" s="8">
        <f t="shared" si="213"/>
        <v>1.0988330593627911</v>
      </c>
      <c r="R1728" s="8">
        <f t="shared" si="214"/>
        <v>0.99808284438889294</v>
      </c>
      <c r="S1728" s="22">
        <f t="shared" si="215"/>
        <v>-2.7685255887269023E-3</v>
      </c>
      <c r="T1728" s="25"/>
      <c r="U1728" s="1" t="s">
        <v>4900</v>
      </c>
    </row>
    <row r="1729" spans="1:21">
      <c r="A1729" s="6" t="s">
        <v>4901</v>
      </c>
      <c r="B1729" s="6" t="s">
        <v>4902</v>
      </c>
      <c r="C1729" s="7">
        <v>1.0865988899827468</v>
      </c>
      <c r="D1729" s="7">
        <v>1.1870185394415731</v>
      </c>
      <c r="E1729" s="7">
        <v>1.1512610276988899</v>
      </c>
      <c r="F1729" s="8">
        <v>1.1469099374678542</v>
      </c>
      <c r="G1729" s="8">
        <f t="shared" si="208"/>
        <v>1.1368087147121599</v>
      </c>
      <c r="H1729" s="8">
        <f t="shared" si="209"/>
        <v>1.1490854825833721</v>
      </c>
      <c r="I1729" s="8">
        <f t="shared" si="210"/>
        <v>1.0107993259660404</v>
      </c>
      <c r="J1729" s="22">
        <f t="shared" si="211"/>
        <v>1.5496607359537071E-2</v>
      </c>
      <c r="K1729" s="8"/>
      <c r="L1729" s="8">
        <v>0.86436208080890864</v>
      </c>
      <c r="M1729" s="8">
        <v>0.8070926435002016</v>
      </c>
      <c r="N1729" s="8">
        <v>0.83514620293338382</v>
      </c>
      <c r="O1729" s="8">
        <v>0.83672829710352059</v>
      </c>
      <c r="P1729" s="8">
        <f t="shared" si="212"/>
        <v>0.83572736215455512</v>
      </c>
      <c r="Q1729" s="8">
        <f t="shared" si="213"/>
        <v>0.8359372500184522</v>
      </c>
      <c r="R1729" s="8">
        <f t="shared" si="214"/>
        <v>1.000251143941675</v>
      </c>
      <c r="S1729" s="22">
        <f t="shared" si="215"/>
        <v>3.6227862906635744E-4</v>
      </c>
      <c r="T1729" s="25"/>
      <c r="U1729" s="1" t="s">
        <v>4903</v>
      </c>
    </row>
    <row r="1730" spans="1:21">
      <c r="A1730" s="6" t="s">
        <v>4904</v>
      </c>
      <c r="B1730" s="6" t="s">
        <v>4905</v>
      </c>
      <c r="C1730" s="7">
        <v>1.0896396161535697</v>
      </c>
      <c r="D1730" s="7">
        <v>1.2030809841336616</v>
      </c>
      <c r="E1730" s="7">
        <v>1.1294519421181211</v>
      </c>
      <c r="F1730" s="8">
        <v>1.2908179979008552</v>
      </c>
      <c r="G1730" s="8">
        <f t="shared" si="208"/>
        <v>1.1463603001436158</v>
      </c>
      <c r="H1730" s="8">
        <f t="shared" si="209"/>
        <v>1.2101349700094881</v>
      </c>
      <c r="I1730" s="8">
        <f t="shared" si="210"/>
        <v>1.0556323084966241</v>
      </c>
      <c r="J1730" s="22">
        <f t="shared" si="211"/>
        <v>7.810741132301284E-2</v>
      </c>
      <c r="K1730" s="8"/>
      <c r="L1730" s="8">
        <v>0.942641413506491</v>
      </c>
      <c r="M1730" s="8">
        <v>0.885255501891832</v>
      </c>
      <c r="N1730" s="8">
        <v>1.023251411749496</v>
      </c>
      <c r="O1730" s="8">
        <v>1.1700570306601403</v>
      </c>
      <c r="P1730" s="8">
        <f t="shared" si="212"/>
        <v>0.91394845769916144</v>
      </c>
      <c r="Q1730" s="8">
        <f t="shared" si="213"/>
        <v>1.096654221204818</v>
      </c>
      <c r="R1730" s="8">
        <f t="shared" si="214"/>
        <v>1.1999081698388254</v>
      </c>
      <c r="S1730" s="22">
        <f t="shared" si="215"/>
        <v>0.26292399917752235</v>
      </c>
      <c r="T1730" s="25"/>
      <c r="U1730" s="1" t="s">
        <v>4906</v>
      </c>
    </row>
    <row r="1731" spans="1:21">
      <c r="A1731" s="6" t="s">
        <v>4907</v>
      </c>
      <c r="B1731" s="6" t="s">
        <v>80</v>
      </c>
      <c r="C1731" s="7">
        <v>1.0084022067889189</v>
      </c>
      <c r="D1731" s="7">
        <v>1.1477863736449672</v>
      </c>
      <c r="E1731" s="7">
        <v>1.0770382781226919</v>
      </c>
      <c r="F1731" s="8">
        <v>1.1000501443099098</v>
      </c>
      <c r="G1731" s="8">
        <f t="shared" si="208"/>
        <v>1.078094290216943</v>
      </c>
      <c r="H1731" s="8">
        <f t="shared" si="209"/>
        <v>1.0885442112163008</v>
      </c>
      <c r="I1731" s="8">
        <f t="shared" si="210"/>
        <v>1.0096929564456325</v>
      </c>
      <c r="J1731" s="22">
        <f t="shared" si="211"/>
        <v>1.3916641928432385E-2</v>
      </c>
      <c r="K1731" s="8"/>
      <c r="L1731" s="8">
        <v>1.1752568297509249</v>
      </c>
      <c r="M1731" s="8">
        <v>1.1013205770035397</v>
      </c>
      <c r="N1731" s="8">
        <v>0.87149079909417626</v>
      </c>
      <c r="O1731" s="8">
        <v>1.0910270841424012</v>
      </c>
      <c r="P1731" s="8">
        <f t="shared" si="212"/>
        <v>1.1382887033772322</v>
      </c>
      <c r="Q1731" s="8">
        <f t="shared" si="213"/>
        <v>0.98125894161828875</v>
      </c>
      <c r="R1731" s="8">
        <f t="shared" si="214"/>
        <v>0.8620475093066936</v>
      </c>
      <c r="S1731" s="22">
        <f t="shared" si="215"/>
        <v>-0.21416071333123191</v>
      </c>
      <c r="T1731" s="25"/>
      <c r="U1731" s="1">
        <v>0</v>
      </c>
    </row>
    <row r="1732" spans="1:21">
      <c r="A1732" s="6" t="s">
        <v>4908</v>
      </c>
      <c r="B1732" s="6" t="s">
        <v>80</v>
      </c>
      <c r="C1732" s="7">
        <v>1.0880929264346446</v>
      </c>
      <c r="D1732" s="7">
        <v>1.1141754173745548</v>
      </c>
      <c r="E1732" s="7">
        <v>1.071706369885153</v>
      </c>
      <c r="F1732" s="8">
        <v>0.94860950843051561</v>
      </c>
      <c r="G1732" s="8">
        <f t="shared" si="208"/>
        <v>1.1011341719045997</v>
      </c>
      <c r="H1732" s="8">
        <f t="shared" si="209"/>
        <v>1.0101579391578344</v>
      </c>
      <c r="I1732" s="8">
        <f t="shared" si="210"/>
        <v>0.91737952098116582</v>
      </c>
      <c r="J1732" s="22">
        <f t="shared" si="211"/>
        <v>-0.12440939294894036</v>
      </c>
      <c r="K1732" s="8"/>
      <c r="L1732" s="8">
        <v>1.3046555449597053</v>
      </c>
      <c r="M1732" s="8">
        <v>1.3119892951173355</v>
      </c>
      <c r="N1732" s="8">
        <v>1.1136257091734505</v>
      </c>
      <c r="O1732" s="8">
        <v>1.5010643226204534</v>
      </c>
      <c r="P1732" s="8">
        <f t="shared" si="212"/>
        <v>1.3083224200385204</v>
      </c>
      <c r="Q1732" s="8">
        <f t="shared" si="213"/>
        <v>1.307345015896952</v>
      </c>
      <c r="R1732" s="8">
        <f t="shared" si="214"/>
        <v>0.99925293327806786</v>
      </c>
      <c r="S1732" s="22">
        <f t="shared" si="215"/>
        <v>-1.0781922458824949E-3</v>
      </c>
      <c r="T1732" s="25"/>
      <c r="U1732" s="1">
        <v>0</v>
      </c>
    </row>
    <row r="1733" spans="1:21">
      <c r="A1733" s="6" t="s">
        <v>4909</v>
      </c>
      <c r="B1733" s="6" t="s">
        <v>4910</v>
      </c>
      <c r="C1733" s="7">
        <v>1.0814257064973205</v>
      </c>
      <c r="D1733" s="7">
        <v>1.0816757806886315</v>
      </c>
      <c r="E1733" s="7">
        <v>1.0057401736309659</v>
      </c>
      <c r="F1733" s="8">
        <v>0.97613569127605027</v>
      </c>
      <c r="G1733" s="8">
        <f t="shared" si="208"/>
        <v>1.0815507435929761</v>
      </c>
      <c r="H1733" s="8">
        <f t="shared" si="209"/>
        <v>0.99093793245350814</v>
      </c>
      <c r="I1733" s="8">
        <f t="shared" si="210"/>
        <v>0.91621954709360487</v>
      </c>
      <c r="J1733" s="22">
        <f t="shared" si="211"/>
        <v>-0.12623475251366884</v>
      </c>
      <c r="K1733" s="8"/>
      <c r="L1733" s="8">
        <v>1.2766065620339957</v>
      </c>
      <c r="M1733" s="8">
        <v>1.1053678447519737</v>
      </c>
      <c r="N1733" s="8">
        <v>1.3074797951302777</v>
      </c>
      <c r="O1733" s="8">
        <v>1.1681393180371045</v>
      </c>
      <c r="P1733" s="8">
        <f t="shared" si="212"/>
        <v>1.1909872033929847</v>
      </c>
      <c r="Q1733" s="8">
        <f t="shared" si="213"/>
        <v>1.2378095565836911</v>
      </c>
      <c r="R1733" s="8">
        <f t="shared" si="214"/>
        <v>1.0393139011547017</v>
      </c>
      <c r="S1733" s="22">
        <f t="shared" si="215"/>
        <v>5.5631453321762697E-2</v>
      </c>
      <c r="T1733" s="25"/>
      <c r="U1733" s="1" t="s">
        <v>4911</v>
      </c>
    </row>
    <row r="1734" spans="1:21">
      <c r="A1734" s="6" t="s">
        <v>4912</v>
      </c>
      <c r="B1734" s="6" t="s">
        <v>4913</v>
      </c>
      <c r="C1734" s="7">
        <v>1.0744557302745898</v>
      </c>
      <c r="D1734" s="7">
        <v>0.93315308714999878</v>
      </c>
      <c r="E1734" s="7">
        <v>0.87861512156856703</v>
      </c>
      <c r="F1734" s="8">
        <v>0.82938677381755244</v>
      </c>
      <c r="G1734" s="8">
        <f t="shared" ref="G1734:G1797" si="216">AVERAGE(C1734:D1734)</f>
        <v>1.0038044087122944</v>
      </c>
      <c r="H1734" s="8">
        <f t="shared" ref="H1734:H1797" si="217">AVERAGE(E1734:F1734)</f>
        <v>0.85400094769305968</v>
      </c>
      <c r="I1734" s="8">
        <f t="shared" ref="I1734:I1797" si="218">H1734/G1734</f>
        <v>0.85076429260615982</v>
      </c>
      <c r="J1734" s="22">
        <f t="shared" ref="J1734:J1797" si="219">LOG(I1734,2)</f>
        <v>-0.23316861161353689</v>
      </c>
      <c r="K1734" s="8"/>
      <c r="L1734" s="8">
        <v>1.0246991353462054</v>
      </c>
      <c r="M1734" s="8">
        <v>0.88348482225189218</v>
      </c>
      <c r="N1734" s="8">
        <v>1.069144990279612</v>
      </c>
      <c r="O1734" s="8">
        <v>0.89955861856877295</v>
      </c>
      <c r="P1734" s="8">
        <f t="shared" ref="P1734:P1797" si="220">AVERAGE(L1734:M1734)</f>
        <v>0.95409197879904872</v>
      </c>
      <c r="Q1734" s="8">
        <f t="shared" ref="Q1734:Q1797" si="221">AVERAGE(N1734:O1734)</f>
        <v>0.98435180442419246</v>
      </c>
      <c r="R1734" s="8">
        <f t="shared" ref="R1734:R1797" si="222">Q1734/P1734</f>
        <v>1.0317158369397812</v>
      </c>
      <c r="S1734" s="22">
        <f t="shared" ref="S1734:S1797" si="223">LOG(R1734,2)</f>
        <v>4.5045667379534506E-2</v>
      </c>
      <c r="T1734" s="25"/>
      <c r="U1734" s="1" t="s">
        <v>4914</v>
      </c>
    </row>
    <row r="1735" spans="1:21">
      <c r="A1735" s="6" t="s">
        <v>4915</v>
      </c>
      <c r="B1735" s="6" t="s">
        <v>4916</v>
      </c>
      <c r="C1735" s="7">
        <v>1.1311435538877908</v>
      </c>
      <c r="D1735" s="7">
        <v>0.91301365026132619</v>
      </c>
      <c r="E1735" s="7">
        <v>0.91100179330251263</v>
      </c>
      <c r="F1735" s="8">
        <v>0.90653469415137555</v>
      </c>
      <c r="G1735" s="8">
        <f t="shared" si="216"/>
        <v>1.0220786020745585</v>
      </c>
      <c r="H1735" s="8">
        <f t="shared" si="217"/>
        <v>0.90876824372694409</v>
      </c>
      <c r="I1735" s="8">
        <f t="shared" si="218"/>
        <v>0.88913733433258135</v>
      </c>
      <c r="J1735" s="22">
        <f t="shared" si="219"/>
        <v>-0.16952182289837625</v>
      </c>
      <c r="K1735" s="8"/>
      <c r="L1735" s="8">
        <v>0.93481792540042941</v>
      </c>
      <c r="M1735" s="8">
        <v>1.2477389196109467</v>
      </c>
      <c r="N1735" s="8">
        <v>1.3013411636071412</v>
      </c>
      <c r="O1735" s="8">
        <v>0.93533909882488853</v>
      </c>
      <c r="P1735" s="8">
        <f t="shared" si="220"/>
        <v>1.0912784225056882</v>
      </c>
      <c r="Q1735" s="8">
        <f t="shared" si="221"/>
        <v>1.1183401312160148</v>
      </c>
      <c r="R1735" s="8">
        <f t="shared" si="222"/>
        <v>1.0247981707987868</v>
      </c>
      <c r="S1735" s="22">
        <f t="shared" si="223"/>
        <v>3.533980567327219E-2</v>
      </c>
      <c r="T1735" s="25"/>
      <c r="U1735" s="1" t="s">
        <v>4917</v>
      </c>
    </row>
    <row r="1736" spans="1:21">
      <c r="A1736" s="6" t="s">
        <v>4918</v>
      </c>
      <c r="B1736" s="6" t="s">
        <v>4919</v>
      </c>
      <c r="C1736" s="7">
        <v>1.0262582459695313</v>
      </c>
      <c r="D1736" s="7">
        <v>1.1483678780787114</v>
      </c>
      <c r="E1736" s="7">
        <v>1.0855391506900887</v>
      </c>
      <c r="F1736" s="8">
        <v>0.97863937587680383</v>
      </c>
      <c r="G1736" s="8">
        <f t="shared" si="216"/>
        <v>1.0873130620241214</v>
      </c>
      <c r="H1736" s="8">
        <f t="shared" si="217"/>
        <v>1.0320892632834462</v>
      </c>
      <c r="I1736" s="8">
        <f t="shared" si="218"/>
        <v>0.94921076489426914</v>
      </c>
      <c r="J1736" s="22">
        <f t="shared" si="219"/>
        <v>-7.5199632817877254E-2</v>
      </c>
      <c r="K1736" s="8"/>
      <c r="L1736" s="8">
        <v>1.2411786073718873</v>
      </c>
      <c r="M1736" s="8">
        <v>0.99752502287182765</v>
      </c>
      <c r="N1736" s="8">
        <v>1.4677175656032622</v>
      </c>
      <c r="O1736" s="8">
        <v>1.0845169544484112</v>
      </c>
      <c r="P1736" s="8">
        <f t="shared" si="220"/>
        <v>1.1193518151218576</v>
      </c>
      <c r="Q1736" s="8">
        <f t="shared" si="221"/>
        <v>1.2761172600258366</v>
      </c>
      <c r="R1736" s="8">
        <f t="shared" si="222"/>
        <v>1.140050199397687</v>
      </c>
      <c r="S1736" s="22">
        <f t="shared" si="223"/>
        <v>0.18909735143177209</v>
      </c>
      <c r="T1736" s="25"/>
      <c r="U1736" s="1" t="s">
        <v>4920</v>
      </c>
    </row>
    <row r="1737" spans="1:21">
      <c r="A1737" s="6" t="s">
        <v>4921</v>
      </c>
      <c r="B1737" s="6" t="s">
        <v>4922</v>
      </c>
      <c r="C1737" s="7">
        <v>1.1347108127288861</v>
      </c>
      <c r="D1737" s="7">
        <v>1.0324869667542507</v>
      </c>
      <c r="E1737" s="7">
        <v>1.1054367974687209</v>
      </c>
      <c r="F1737" s="8">
        <v>1.0094870658001291</v>
      </c>
      <c r="G1737" s="8">
        <f t="shared" si="216"/>
        <v>1.0835988897415683</v>
      </c>
      <c r="H1737" s="8">
        <f t="shared" si="217"/>
        <v>1.0574619316344251</v>
      </c>
      <c r="I1737" s="8">
        <f t="shared" si="218"/>
        <v>0.9758794897682328</v>
      </c>
      <c r="J1737" s="22">
        <f t="shared" si="219"/>
        <v>-3.5225092845266759E-2</v>
      </c>
      <c r="K1737" s="8"/>
      <c r="L1737" s="8">
        <v>0.67726514081792399</v>
      </c>
      <c r="M1737" s="8">
        <v>0.64688829512469137</v>
      </c>
      <c r="N1737" s="8">
        <v>0.78939878229667593</v>
      </c>
      <c r="O1737" s="8">
        <v>0.54240987558918208</v>
      </c>
      <c r="P1737" s="8">
        <f t="shared" si="220"/>
        <v>0.66207671797130763</v>
      </c>
      <c r="Q1737" s="8">
        <f t="shared" si="221"/>
        <v>0.66590432894292895</v>
      </c>
      <c r="R1737" s="8">
        <f t="shared" si="222"/>
        <v>1.0057812197102318</v>
      </c>
      <c r="S1737" s="22">
        <f t="shared" si="223"/>
        <v>8.3165202872691191E-3</v>
      </c>
      <c r="T1737" s="25"/>
      <c r="U1737" s="1" t="s">
        <v>4923</v>
      </c>
    </row>
    <row r="1738" spans="1:21">
      <c r="A1738" s="6" t="s">
        <v>4924</v>
      </c>
      <c r="B1738" s="6" t="s">
        <v>4925</v>
      </c>
      <c r="C1738" s="7">
        <v>0.95765762069141758</v>
      </c>
      <c r="D1738" s="7">
        <v>0.99267329652390079</v>
      </c>
      <c r="E1738" s="7">
        <v>1.0077019134542113</v>
      </c>
      <c r="F1738" s="8">
        <v>0.78078372748487135</v>
      </c>
      <c r="G1738" s="8">
        <f t="shared" si="216"/>
        <v>0.97516545860765924</v>
      </c>
      <c r="H1738" s="8">
        <f t="shared" si="217"/>
        <v>0.8942428204695414</v>
      </c>
      <c r="I1738" s="8">
        <f t="shared" si="218"/>
        <v>0.91701650481585029</v>
      </c>
      <c r="J1738" s="22">
        <f t="shared" si="219"/>
        <v>-0.12498039465297246</v>
      </c>
      <c r="K1738" s="8"/>
      <c r="L1738" s="8">
        <v>1.331370978776427</v>
      </c>
      <c r="M1738" s="8">
        <v>1.337116082388863</v>
      </c>
      <c r="N1738" s="8">
        <v>1.5911722662352301</v>
      </c>
      <c r="O1738" s="8">
        <v>1.6186503860855441</v>
      </c>
      <c r="P1738" s="8">
        <f t="shared" si="220"/>
        <v>1.334243530582645</v>
      </c>
      <c r="Q1738" s="8">
        <f t="shared" si="221"/>
        <v>1.6049113261603871</v>
      </c>
      <c r="R1738" s="8">
        <f t="shared" si="222"/>
        <v>1.2028623631096382</v>
      </c>
      <c r="S1738" s="22">
        <f t="shared" si="223"/>
        <v>0.26647157234004298</v>
      </c>
      <c r="T1738" s="25"/>
      <c r="U1738" s="1" t="s">
        <v>4926</v>
      </c>
    </row>
    <row r="1739" spans="1:21">
      <c r="A1739" s="6" t="s">
        <v>4927</v>
      </c>
      <c r="B1739" s="6" t="s">
        <v>4928</v>
      </c>
      <c r="C1739" s="7">
        <v>0.98857167009478508</v>
      </c>
      <c r="D1739" s="7">
        <v>0.89487717308888337</v>
      </c>
      <c r="E1739" s="7">
        <v>0.95064618379645049</v>
      </c>
      <c r="F1739" s="8">
        <v>0.94614169323664954</v>
      </c>
      <c r="G1739" s="8">
        <f t="shared" si="216"/>
        <v>0.94172442159183423</v>
      </c>
      <c r="H1739" s="8">
        <f t="shared" si="217"/>
        <v>0.94839393851655007</v>
      </c>
      <c r="I1739" s="8">
        <f t="shared" si="218"/>
        <v>1.0070822384678546</v>
      </c>
      <c r="J1739" s="22">
        <f t="shared" si="219"/>
        <v>1.0181498821686633E-2</v>
      </c>
      <c r="K1739" s="8"/>
      <c r="L1739" s="8">
        <v>0.92317159651526948</v>
      </c>
      <c r="M1739" s="8">
        <v>1.2776296782946932</v>
      </c>
      <c r="N1739" s="8">
        <v>1.1629296385497534</v>
      </c>
      <c r="O1739" s="8">
        <v>0.88769907997894615</v>
      </c>
      <c r="P1739" s="8">
        <f t="shared" si="220"/>
        <v>1.1004006374049813</v>
      </c>
      <c r="Q1739" s="8">
        <f t="shared" si="221"/>
        <v>1.0253143592643497</v>
      </c>
      <c r="R1739" s="8">
        <f t="shared" si="222"/>
        <v>0.93176459955739055</v>
      </c>
      <c r="S1739" s="22">
        <f t="shared" si="223"/>
        <v>-0.10196257557339516</v>
      </c>
      <c r="T1739" s="25"/>
      <c r="U1739" s="1" t="s">
        <v>4929</v>
      </c>
    </row>
    <row r="1740" spans="1:21">
      <c r="A1740" s="6" t="s">
        <v>4930</v>
      </c>
      <c r="B1740" s="6" t="s">
        <v>4931</v>
      </c>
      <c r="C1740" s="7">
        <v>0.84201788298284463</v>
      </c>
      <c r="D1740" s="7">
        <v>0.92649163080344077</v>
      </c>
      <c r="E1740" s="7">
        <v>0.87397305590623531</v>
      </c>
      <c r="F1740" s="8">
        <v>1.032665876530888</v>
      </c>
      <c r="G1740" s="8">
        <f t="shared" si="216"/>
        <v>0.8842547568931427</v>
      </c>
      <c r="H1740" s="8">
        <f t="shared" si="217"/>
        <v>0.95331946621856167</v>
      </c>
      <c r="I1740" s="8">
        <f t="shared" si="218"/>
        <v>1.0781049904306763</v>
      </c>
      <c r="J1740" s="22">
        <f t="shared" si="219"/>
        <v>0.10849768068604294</v>
      </c>
      <c r="K1740" s="8"/>
      <c r="L1740" s="8">
        <v>0.97766930343590319</v>
      </c>
      <c r="M1740" s="8">
        <v>1.1049040953224656</v>
      </c>
      <c r="N1740" s="8">
        <v>1.4645995305438912</v>
      </c>
      <c r="O1740" s="8">
        <v>1.047424355029166</v>
      </c>
      <c r="P1740" s="8">
        <f t="shared" si="220"/>
        <v>1.0412866993791843</v>
      </c>
      <c r="Q1740" s="8">
        <f t="shared" si="221"/>
        <v>1.2560119427865286</v>
      </c>
      <c r="R1740" s="8">
        <f t="shared" si="222"/>
        <v>1.2062114531332857</v>
      </c>
      <c r="S1740" s="22">
        <f t="shared" si="223"/>
        <v>0.27048283895105873</v>
      </c>
      <c r="T1740" s="25"/>
      <c r="U1740" s="1" t="s">
        <v>4932</v>
      </c>
    </row>
    <row r="1741" spans="1:21">
      <c r="A1741" s="6" t="s">
        <v>4933</v>
      </c>
      <c r="B1741" s="6" t="s">
        <v>4934</v>
      </c>
      <c r="C1741" s="7">
        <v>0.80198165506700791</v>
      </c>
      <c r="D1741" s="7">
        <v>0.86994355520200894</v>
      </c>
      <c r="E1741" s="7">
        <v>0.86360385969765241</v>
      </c>
      <c r="F1741" s="8">
        <v>0.83534109536089196</v>
      </c>
      <c r="G1741" s="8">
        <f t="shared" si="216"/>
        <v>0.83596260513450837</v>
      </c>
      <c r="H1741" s="8">
        <f t="shared" si="217"/>
        <v>0.84947247752927213</v>
      </c>
      <c r="I1741" s="8">
        <f t="shared" si="218"/>
        <v>1.0161608573299639</v>
      </c>
      <c r="J1741" s="22">
        <f t="shared" si="219"/>
        <v>2.3128797487223414E-2</v>
      </c>
      <c r="K1741" s="8"/>
      <c r="L1741" s="8">
        <v>0.86418427426104361</v>
      </c>
      <c r="M1741" s="8">
        <v>1.0685630036646525</v>
      </c>
      <c r="N1741" s="8">
        <v>1.0274899906583284</v>
      </c>
      <c r="O1741" s="8">
        <v>1.0209801072799352</v>
      </c>
      <c r="P1741" s="8">
        <f t="shared" si="220"/>
        <v>0.96637363896284811</v>
      </c>
      <c r="Q1741" s="8">
        <f t="shared" si="221"/>
        <v>1.0242350489691319</v>
      </c>
      <c r="R1741" s="8">
        <f t="shared" si="222"/>
        <v>1.0598747810095306</v>
      </c>
      <c r="S1741" s="22">
        <f t="shared" si="223"/>
        <v>8.3893827535855794E-2</v>
      </c>
      <c r="T1741" s="25"/>
      <c r="U1741" s="1" t="s">
        <v>4935</v>
      </c>
    </row>
    <row r="1742" spans="1:21">
      <c r="A1742" s="6" t="s">
        <v>4936</v>
      </c>
      <c r="B1742" s="13" t="s">
        <v>4937</v>
      </c>
      <c r="C1742" s="14">
        <v>0.72711529101265293</v>
      </c>
      <c r="D1742" s="14">
        <v>0.8319777768388904</v>
      </c>
      <c r="E1742" s="14">
        <v>0.91914337286198911</v>
      </c>
      <c r="F1742" s="8">
        <v>0.86258032295132581</v>
      </c>
      <c r="G1742" s="8">
        <f t="shared" si="216"/>
        <v>0.77954653392577167</v>
      </c>
      <c r="H1742" s="8">
        <f t="shared" si="217"/>
        <v>0.89086184790665746</v>
      </c>
      <c r="I1742" s="8">
        <f t="shared" si="218"/>
        <v>1.1427949572430338</v>
      </c>
      <c r="J1742" s="22">
        <f t="shared" si="219"/>
        <v>0.19256657528916363</v>
      </c>
      <c r="K1742" s="8"/>
      <c r="L1742" s="8">
        <v>1.3402168545327127</v>
      </c>
      <c r="M1742" s="8">
        <v>1.2468535797909768</v>
      </c>
      <c r="N1742" s="8">
        <v>1.4276215835116641</v>
      </c>
      <c r="O1742" s="8">
        <v>0.90510989195124503</v>
      </c>
      <c r="P1742" s="8">
        <f t="shared" si="220"/>
        <v>1.2935352171618448</v>
      </c>
      <c r="Q1742" s="8">
        <f t="shared" si="221"/>
        <v>1.1663657377314545</v>
      </c>
      <c r="R1742" s="8">
        <f t="shared" si="222"/>
        <v>0.90168842893244616</v>
      </c>
      <c r="S1742" s="22">
        <f t="shared" si="223"/>
        <v>-0.14929908677918732</v>
      </c>
      <c r="T1742" s="25"/>
      <c r="U1742" s="1" t="s">
        <v>4938</v>
      </c>
    </row>
    <row r="1743" spans="1:21">
      <c r="A1743" s="6" t="s">
        <v>4939</v>
      </c>
      <c r="B1743" s="6" t="s">
        <v>4940</v>
      </c>
      <c r="C1743" s="7">
        <v>0.76684218098470458</v>
      </c>
      <c r="D1743" s="7">
        <v>0.77426023120959531</v>
      </c>
      <c r="E1743" s="7">
        <v>0.8492105818003608</v>
      </c>
      <c r="F1743" s="8">
        <v>0.84166845873586238</v>
      </c>
      <c r="G1743" s="8">
        <f t="shared" si="216"/>
        <v>0.77055120609715</v>
      </c>
      <c r="H1743" s="8">
        <f t="shared" si="217"/>
        <v>0.84543952026811153</v>
      </c>
      <c r="I1743" s="8">
        <f t="shared" si="218"/>
        <v>1.097187978655269</v>
      </c>
      <c r="J1743" s="22">
        <f t="shared" si="219"/>
        <v>0.13381072049110096</v>
      </c>
      <c r="K1743" s="8"/>
      <c r="L1743" s="8">
        <v>1.1587652724364428</v>
      </c>
      <c r="M1743" s="8">
        <v>1.1605961859024785</v>
      </c>
      <c r="N1743" s="8">
        <v>1.3991207942971016</v>
      </c>
      <c r="O1743" s="8">
        <v>0.92267210228852037</v>
      </c>
      <c r="P1743" s="8">
        <f t="shared" si="220"/>
        <v>1.1596807291694606</v>
      </c>
      <c r="Q1743" s="8">
        <f t="shared" si="221"/>
        <v>1.160896448292811</v>
      </c>
      <c r="R1743" s="8">
        <f t="shared" si="222"/>
        <v>1.0010483222604045</v>
      </c>
      <c r="S1743" s="22">
        <f t="shared" si="223"/>
        <v>1.5116171337576948E-3</v>
      </c>
      <c r="T1743" s="25"/>
      <c r="U1743" s="1" t="s">
        <v>4941</v>
      </c>
    </row>
    <row r="1744" spans="1:21">
      <c r="A1744" s="6" t="s">
        <v>4942</v>
      </c>
      <c r="B1744" s="6" t="s">
        <v>4943</v>
      </c>
      <c r="C1744" s="7">
        <v>0.82312852343682275</v>
      </c>
      <c r="D1744" s="7">
        <v>0.78397781641349773</v>
      </c>
      <c r="E1744" s="7">
        <v>0.77730167919517024</v>
      </c>
      <c r="F1744" s="8">
        <v>0.85459579297814892</v>
      </c>
      <c r="G1744" s="8">
        <f t="shared" si="216"/>
        <v>0.80355316992516024</v>
      </c>
      <c r="H1744" s="8">
        <f t="shared" si="217"/>
        <v>0.81594873608665952</v>
      </c>
      <c r="I1744" s="8">
        <f t="shared" si="218"/>
        <v>1.0154259439517286</v>
      </c>
      <c r="J1744" s="22">
        <f t="shared" si="219"/>
        <v>2.208502625200778E-2</v>
      </c>
      <c r="K1744" s="8"/>
      <c r="L1744" s="8">
        <v>0.89738964707483915</v>
      </c>
      <c r="M1744" s="8">
        <v>1.0551985882870114</v>
      </c>
      <c r="N1744" s="8">
        <v>1.2949589355949913</v>
      </c>
      <c r="O1744" s="8">
        <v>0.95799838744970633</v>
      </c>
      <c r="P1744" s="8">
        <f t="shared" si="220"/>
        <v>0.97629411768092522</v>
      </c>
      <c r="Q1744" s="8">
        <f t="shared" si="221"/>
        <v>1.1264786615223488</v>
      </c>
      <c r="R1744" s="8">
        <f t="shared" si="222"/>
        <v>1.153831249335159</v>
      </c>
      <c r="S1744" s="22">
        <f t="shared" si="223"/>
        <v>0.20643224170484553</v>
      </c>
      <c r="T1744" s="25"/>
      <c r="U1744" s="1" t="s">
        <v>4944</v>
      </c>
    </row>
    <row r="1745" spans="1:21">
      <c r="A1745" s="6" t="s">
        <v>4945</v>
      </c>
      <c r="B1745" s="6" t="s">
        <v>4946</v>
      </c>
      <c r="C1745" s="7">
        <v>0.8243066402865572</v>
      </c>
      <c r="D1745" s="7">
        <v>0.80181708020869347</v>
      </c>
      <c r="E1745" s="7">
        <v>0.83247471349142821</v>
      </c>
      <c r="F1745" s="8">
        <v>0.79776430470545523</v>
      </c>
      <c r="G1745" s="8">
        <f t="shared" si="216"/>
        <v>0.81306186024762539</v>
      </c>
      <c r="H1745" s="8">
        <f t="shared" si="217"/>
        <v>0.81511950909844177</v>
      </c>
      <c r="I1745" s="8">
        <f t="shared" si="218"/>
        <v>1.0025307408346391</v>
      </c>
      <c r="J1745" s="22">
        <f t="shared" si="219"/>
        <v>3.6464750539889606E-3</v>
      </c>
      <c r="K1745" s="8"/>
      <c r="L1745" s="8">
        <v>1.0079408682099256</v>
      </c>
      <c r="M1745" s="8">
        <v>0.97745732028584276</v>
      </c>
      <c r="N1745" s="8">
        <v>1.4552454253657785</v>
      </c>
      <c r="O1745" s="8">
        <v>1.0479794823674131</v>
      </c>
      <c r="P1745" s="8">
        <f t="shared" si="220"/>
        <v>0.99269909424788416</v>
      </c>
      <c r="Q1745" s="8">
        <f t="shared" si="221"/>
        <v>1.2516124538665958</v>
      </c>
      <c r="R1745" s="8">
        <f t="shared" si="222"/>
        <v>1.2608175640725015</v>
      </c>
      <c r="S1745" s="22">
        <f t="shared" si="223"/>
        <v>0.33435953780016581</v>
      </c>
      <c r="T1745" s="25"/>
      <c r="U1745" s="1" t="s">
        <v>4947</v>
      </c>
    </row>
    <row r="1746" spans="1:21">
      <c r="A1746" s="6" t="s">
        <v>4948</v>
      </c>
      <c r="B1746" s="6" t="s">
        <v>4949</v>
      </c>
      <c r="C1746" s="7">
        <v>0.87942144754731932</v>
      </c>
      <c r="D1746" s="7">
        <v>0.77547492936008311</v>
      </c>
      <c r="E1746" s="7">
        <v>0.74426828004696788</v>
      </c>
      <c r="F1746" s="8">
        <v>0.74458432205391811</v>
      </c>
      <c r="G1746" s="8">
        <f t="shared" si="216"/>
        <v>0.82744818845370127</v>
      </c>
      <c r="H1746" s="8">
        <f t="shared" si="217"/>
        <v>0.74442630105044305</v>
      </c>
      <c r="I1746" s="8">
        <f t="shared" si="218"/>
        <v>0.89966515298268301</v>
      </c>
      <c r="J1746" s="22">
        <f t="shared" si="219"/>
        <v>-0.15253995124452849</v>
      </c>
      <c r="K1746" s="8"/>
      <c r="L1746" s="8">
        <v>1.3082561275539724</v>
      </c>
      <c r="M1746" s="8">
        <v>1.2316763257343495</v>
      </c>
      <c r="N1746" s="8">
        <v>1.4355628290534994</v>
      </c>
      <c r="O1746" s="8">
        <v>1.0070514577020961</v>
      </c>
      <c r="P1746" s="8">
        <f t="shared" si="220"/>
        <v>1.2699662266441609</v>
      </c>
      <c r="Q1746" s="8">
        <f t="shared" si="221"/>
        <v>1.2213071433777978</v>
      </c>
      <c r="R1746" s="8">
        <f t="shared" si="222"/>
        <v>0.96168474228252276</v>
      </c>
      <c r="S1746" s="22">
        <f t="shared" si="223"/>
        <v>-5.6364065015444532E-2</v>
      </c>
      <c r="T1746" s="25"/>
      <c r="U1746" s="1" t="s">
        <v>4950</v>
      </c>
    </row>
    <row r="1747" spans="1:21">
      <c r="A1747" s="6" t="s">
        <v>4951</v>
      </c>
      <c r="B1747" s="6" t="s">
        <v>4952</v>
      </c>
      <c r="C1747" s="7">
        <v>0.82263489905844234</v>
      </c>
      <c r="D1747" s="7">
        <v>0.80239212348206268</v>
      </c>
      <c r="E1747" s="7">
        <v>0.74395210219999797</v>
      </c>
      <c r="F1747" s="8">
        <v>0.76447032123239655</v>
      </c>
      <c r="G1747" s="8">
        <f t="shared" si="216"/>
        <v>0.81251351127025251</v>
      </c>
      <c r="H1747" s="8">
        <f t="shared" si="217"/>
        <v>0.75421121171619721</v>
      </c>
      <c r="I1747" s="8">
        <f t="shared" si="218"/>
        <v>0.92824451686605469</v>
      </c>
      <c r="J1747" s="22">
        <f t="shared" si="219"/>
        <v>-0.10742320677181212</v>
      </c>
      <c r="K1747" s="8"/>
      <c r="L1747" s="8">
        <v>0.96308916651097021</v>
      </c>
      <c r="M1747" s="8">
        <v>0.66969633524867855</v>
      </c>
      <c r="N1747" s="8">
        <v>1.0375261660056785</v>
      </c>
      <c r="O1747" s="8">
        <v>0.75956559708715854</v>
      </c>
      <c r="P1747" s="8">
        <f t="shared" si="220"/>
        <v>0.81639275087982432</v>
      </c>
      <c r="Q1747" s="8">
        <f t="shared" si="221"/>
        <v>0.89854588154641846</v>
      </c>
      <c r="R1747" s="8">
        <f t="shared" si="222"/>
        <v>1.1006294220251931</v>
      </c>
      <c r="S1747" s="22">
        <f t="shared" si="223"/>
        <v>0.13832880041855153</v>
      </c>
      <c r="T1747" s="25"/>
      <c r="U1747" s="1" t="s">
        <v>4953</v>
      </c>
    </row>
    <row r="1748" spans="1:21">
      <c r="A1748" s="6" t="s">
        <v>4954</v>
      </c>
      <c r="B1748" s="13" t="s">
        <v>4955</v>
      </c>
      <c r="C1748" s="14">
        <v>0.98564283211639503</v>
      </c>
      <c r="D1748" s="14">
        <v>0.92905671147228996</v>
      </c>
      <c r="E1748" s="14">
        <v>0.79101230037741299</v>
      </c>
      <c r="F1748" s="8">
        <v>0.73961999614067597</v>
      </c>
      <c r="G1748" s="8">
        <f t="shared" si="216"/>
        <v>0.95734977179434244</v>
      </c>
      <c r="H1748" s="8">
        <f t="shared" si="217"/>
        <v>0.76531614825904448</v>
      </c>
      <c r="I1748" s="8">
        <f t="shared" si="218"/>
        <v>0.79941121918755675</v>
      </c>
      <c r="J1748" s="22">
        <f t="shared" si="219"/>
        <v>-0.3229902747526307</v>
      </c>
      <c r="K1748" s="8"/>
      <c r="L1748" s="8">
        <v>1.2265984704469544</v>
      </c>
      <c r="M1748" s="8">
        <v>0.88445448014995443</v>
      </c>
      <c r="N1748" s="8">
        <v>1.166388708693743</v>
      </c>
      <c r="O1748" s="8">
        <v>1.0753825864281616</v>
      </c>
      <c r="P1748" s="8">
        <f t="shared" si="220"/>
        <v>1.0555264752984543</v>
      </c>
      <c r="Q1748" s="8">
        <f t="shared" si="221"/>
        <v>1.1208856475609523</v>
      </c>
      <c r="R1748" s="8">
        <f t="shared" si="222"/>
        <v>1.0619209217315155</v>
      </c>
      <c r="S1748" s="22">
        <f t="shared" si="223"/>
        <v>8.6676336694322037E-2</v>
      </c>
      <c r="T1748" s="25"/>
      <c r="U1748" s="1" t="s">
        <v>4956</v>
      </c>
    </row>
    <row r="1749" spans="1:21">
      <c r="A1749" s="6" t="s">
        <v>4957</v>
      </c>
      <c r="B1749" s="6" t="s">
        <v>4958</v>
      </c>
      <c r="C1749" s="7">
        <v>0.95035856154976661</v>
      </c>
      <c r="D1749" s="7">
        <v>0.91227061681820865</v>
      </c>
      <c r="E1749" s="7">
        <v>0.87632283217803486</v>
      </c>
      <c r="F1749" s="8">
        <v>0.85112363439143035</v>
      </c>
      <c r="G1749" s="8">
        <f t="shared" si="216"/>
        <v>0.93131458918398757</v>
      </c>
      <c r="H1749" s="8">
        <f t="shared" si="217"/>
        <v>0.86372323328473266</v>
      </c>
      <c r="I1749" s="8">
        <f t="shared" si="218"/>
        <v>0.92742371193983109</v>
      </c>
      <c r="J1749" s="22">
        <f t="shared" si="219"/>
        <v>-0.10869948154490519</v>
      </c>
      <c r="K1749" s="8"/>
      <c r="L1749" s="8">
        <v>1.0657724479030288</v>
      </c>
      <c r="M1749" s="8">
        <v>0.83065954632701999</v>
      </c>
      <c r="N1749" s="8">
        <v>1.001181569844886</v>
      </c>
      <c r="O1749" s="8">
        <v>0.85403817683250172</v>
      </c>
      <c r="P1749" s="8">
        <f t="shared" si="220"/>
        <v>0.94821599711502436</v>
      </c>
      <c r="Q1749" s="8">
        <f t="shared" si="221"/>
        <v>0.92760987333869394</v>
      </c>
      <c r="R1749" s="8">
        <f t="shared" si="222"/>
        <v>0.97826853392156943</v>
      </c>
      <c r="S1749" s="22">
        <f t="shared" si="223"/>
        <v>-3.1697556724295077E-2</v>
      </c>
      <c r="T1749" s="25"/>
      <c r="U1749" s="1" t="s">
        <v>4959</v>
      </c>
    </row>
    <row r="1750" spans="1:21">
      <c r="A1750" s="6" t="s">
        <v>4960</v>
      </c>
      <c r="B1750" s="13" t="s">
        <v>4961</v>
      </c>
      <c r="C1750" s="14">
        <v>0.99789129835860635</v>
      </c>
      <c r="D1750" s="14">
        <v>0.99010175469467665</v>
      </c>
      <c r="E1750" s="14">
        <v>0.85804200393504448</v>
      </c>
      <c r="F1750" s="8">
        <v>0.85524861618350301</v>
      </c>
      <c r="G1750" s="8">
        <f t="shared" si="216"/>
        <v>0.9939965265266415</v>
      </c>
      <c r="H1750" s="8">
        <f t="shared" si="217"/>
        <v>0.85664531005927369</v>
      </c>
      <c r="I1750" s="8">
        <f t="shared" si="218"/>
        <v>0.86181921887864221</v>
      </c>
      <c r="J1750" s="22">
        <f t="shared" si="219"/>
        <v>-0.21454282346187317</v>
      </c>
      <c r="K1750" s="8"/>
      <c r="L1750" s="8">
        <v>0.80688611421153567</v>
      </c>
      <c r="M1750" s="8">
        <v>0.77416643400512963</v>
      </c>
      <c r="N1750" s="8">
        <v>0.91070983382532633</v>
      </c>
      <c r="O1750" s="8">
        <v>0.89708577860748984</v>
      </c>
      <c r="P1750" s="8">
        <f t="shared" si="220"/>
        <v>0.79052627410833265</v>
      </c>
      <c r="Q1750" s="8">
        <f t="shared" si="221"/>
        <v>0.90389780621640803</v>
      </c>
      <c r="R1750" s="8">
        <f t="shared" si="222"/>
        <v>1.143412731266841</v>
      </c>
      <c r="S1750" s="22">
        <f t="shared" si="223"/>
        <v>0.19334625908316752</v>
      </c>
      <c r="T1750" s="25"/>
      <c r="U1750" s="1" t="s">
        <v>4962</v>
      </c>
    </row>
    <row r="1751" spans="1:21">
      <c r="A1751" s="6" t="s">
        <v>4963</v>
      </c>
      <c r="B1751" s="6" t="s">
        <v>4964</v>
      </c>
      <c r="C1751" s="7">
        <v>1.0501957374917896</v>
      </c>
      <c r="D1751" s="7">
        <v>0.98199299842413312</v>
      </c>
      <c r="E1751" s="7">
        <v>0.95719250240076037</v>
      </c>
      <c r="F1751" s="8">
        <v>0.98343152863698546</v>
      </c>
      <c r="G1751" s="8">
        <f t="shared" si="216"/>
        <v>1.0160943679579613</v>
      </c>
      <c r="H1751" s="8">
        <f t="shared" si="217"/>
        <v>0.97031201551887292</v>
      </c>
      <c r="I1751" s="8">
        <f t="shared" si="218"/>
        <v>0.95494281448376017</v>
      </c>
      <c r="J1751" s="22">
        <f t="shared" si="219"/>
        <v>-6.6513753080212928E-2</v>
      </c>
      <c r="K1751" s="8"/>
      <c r="L1751" s="8">
        <v>0.85867227127722745</v>
      </c>
      <c r="M1751" s="8">
        <v>0.8791846002691811</v>
      </c>
      <c r="N1751" s="8">
        <v>0.98680937699309823</v>
      </c>
      <c r="O1751" s="8">
        <v>0.98383704173903097</v>
      </c>
      <c r="P1751" s="8">
        <f t="shared" si="220"/>
        <v>0.86892843577320433</v>
      </c>
      <c r="Q1751" s="8">
        <f t="shared" si="221"/>
        <v>0.98532320936606466</v>
      </c>
      <c r="R1751" s="8">
        <f t="shared" si="222"/>
        <v>1.1339520825892733</v>
      </c>
      <c r="S1751" s="22">
        <f t="shared" si="223"/>
        <v>0.18135967760692778</v>
      </c>
      <c r="T1751" s="25"/>
      <c r="U1751" s="1" t="s">
        <v>4965</v>
      </c>
    </row>
    <row r="1752" spans="1:21">
      <c r="A1752" s="6" t="s">
        <v>4966</v>
      </c>
      <c r="B1752" s="13" t="s">
        <v>4967</v>
      </c>
      <c r="C1752" s="14">
        <v>0.94740339693786291</v>
      </c>
      <c r="D1752" s="14">
        <v>1.0839824149424833</v>
      </c>
      <c r="E1752" s="14">
        <v>0.99749080616911345</v>
      </c>
      <c r="F1752" s="8">
        <v>1.097819067201502</v>
      </c>
      <c r="G1752" s="8">
        <f t="shared" si="216"/>
        <v>1.0156929059401731</v>
      </c>
      <c r="H1752" s="8">
        <f t="shared" si="217"/>
        <v>1.0476549366853076</v>
      </c>
      <c r="I1752" s="8">
        <f t="shared" si="218"/>
        <v>1.031468203192331</v>
      </c>
      <c r="J1752" s="22">
        <f t="shared" si="219"/>
        <v>4.4699348317182884E-2</v>
      </c>
      <c r="K1752" s="8"/>
      <c r="L1752" s="8">
        <v>0.71513793551317684</v>
      </c>
      <c r="M1752" s="8">
        <v>0.88947140579645068</v>
      </c>
      <c r="N1752" s="8">
        <v>1.0051765522647051</v>
      </c>
      <c r="O1752" s="8">
        <v>1.1828249594398261</v>
      </c>
      <c r="P1752" s="8">
        <f t="shared" si="220"/>
        <v>0.80230467065481381</v>
      </c>
      <c r="Q1752" s="8">
        <f t="shared" si="221"/>
        <v>1.0940007558522655</v>
      </c>
      <c r="R1752" s="8">
        <f t="shared" si="222"/>
        <v>1.363572712295666</v>
      </c>
      <c r="S1752" s="22">
        <f t="shared" si="223"/>
        <v>0.44739163378554658</v>
      </c>
      <c r="T1752" s="25"/>
      <c r="U1752" s="1" t="s">
        <v>4968</v>
      </c>
    </row>
    <row r="1753" spans="1:21">
      <c r="A1753" s="6" t="s">
        <v>4969</v>
      </c>
      <c r="B1753" s="6" t="s">
        <v>4970</v>
      </c>
      <c r="C1753" s="7">
        <v>0.9844252253163901</v>
      </c>
      <c r="D1753" s="7">
        <v>0.95468167351928246</v>
      </c>
      <c r="E1753" s="7">
        <v>0.98890370327981558</v>
      </c>
      <c r="F1753" s="8">
        <v>1.0716415740549405</v>
      </c>
      <c r="G1753" s="8">
        <f t="shared" si="216"/>
        <v>0.96955344941783628</v>
      </c>
      <c r="H1753" s="8">
        <f t="shared" si="217"/>
        <v>1.0302726386673782</v>
      </c>
      <c r="I1753" s="8">
        <f t="shared" si="218"/>
        <v>1.0626259328828136</v>
      </c>
      <c r="J1753" s="22">
        <f t="shared" si="219"/>
        <v>8.7633826642707413E-2</v>
      </c>
      <c r="K1753" s="8"/>
      <c r="L1753" s="8">
        <v>0.95793277662288412</v>
      </c>
      <c r="M1753" s="8">
        <v>0.81640979112940881</v>
      </c>
      <c r="N1753" s="8">
        <v>0.94846728962239624</v>
      </c>
      <c r="O1753" s="8">
        <v>0.90258658586830309</v>
      </c>
      <c r="P1753" s="8">
        <f t="shared" si="220"/>
        <v>0.88717128387614652</v>
      </c>
      <c r="Q1753" s="8">
        <f t="shared" si="221"/>
        <v>0.92552693774534966</v>
      </c>
      <c r="R1753" s="8">
        <f t="shared" si="222"/>
        <v>1.0432336512309361</v>
      </c>
      <c r="S1753" s="22">
        <f t="shared" si="223"/>
        <v>6.1062311952503702E-2</v>
      </c>
      <c r="T1753" s="25"/>
      <c r="U1753" s="1" t="s">
        <v>4971</v>
      </c>
    </row>
    <row r="1754" spans="1:21">
      <c r="A1754" s="6" t="s">
        <v>4972</v>
      </c>
      <c r="B1754" s="13" t="s">
        <v>4973</v>
      </c>
      <c r="C1754" s="14">
        <v>1.0202821001619395</v>
      </c>
      <c r="D1754" s="14">
        <v>1.0385152293840652</v>
      </c>
      <c r="E1754" s="14">
        <v>1.0868900923998694</v>
      </c>
      <c r="F1754" s="8">
        <v>1.0508373180601398</v>
      </c>
      <c r="G1754" s="8">
        <f t="shared" si="216"/>
        <v>1.0293986647730025</v>
      </c>
      <c r="H1754" s="8">
        <f t="shared" si="217"/>
        <v>1.0688637052300045</v>
      </c>
      <c r="I1754" s="8">
        <f t="shared" si="218"/>
        <v>1.0383379557478878</v>
      </c>
      <c r="J1754" s="22">
        <f t="shared" si="219"/>
        <v>5.4276085051117015E-2</v>
      </c>
      <c r="K1754" s="8"/>
      <c r="L1754" s="8">
        <v>0.90014564856674728</v>
      </c>
      <c r="M1754" s="8">
        <v>0.86885563570286528</v>
      </c>
      <c r="N1754" s="8">
        <v>0.37698992639706708</v>
      </c>
      <c r="O1754" s="8">
        <v>0.64465423806998623</v>
      </c>
      <c r="P1754" s="8">
        <f t="shared" si="220"/>
        <v>0.88450064213480628</v>
      </c>
      <c r="Q1754" s="8">
        <f t="shared" si="221"/>
        <v>0.51082208223352665</v>
      </c>
      <c r="R1754" s="8">
        <f t="shared" si="222"/>
        <v>0.57752595973318976</v>
      </c>
      <c r="S1754" s="22">
        <f t="shared" si="223"/>
        <v>-0.79204229790569447</v>
      </c>
      <c r="T1754" s="25"/>
      <c r="U1754" s="1" t="s">
        <v>4974</v>
      </c>
    </row>
    <row r="1755" spans="1:21">
      <c r="A1755" s="6" t="s">
        <v>4975</v>
      </c>
      <c r="B1755" s="6" t="s">
        <v>80</v>
      </c>
      <c r="C1755" s="7">
        <v>1.0054272972018798</v>
      </c>
      <c r="D1755" s="7">
        <v>0.99163951086391111</v>
      </c>
      <c r="E1755" s="7">
        <v>1.0083198974278345</v>
      </c>
      <c r="F1755" s="8">
        <v>0.97181701468678472</v>
      </c>
      <c r="G1755" s="8">
        <f t="shared" si="216"/>
        <v>0.99853340403289548</v>
      </c>
      <c r="H1755" s="8">
        <f t="shared" si="217"/>
        <v>0.99006845605730964</v>
      </c>
      <c r="I1755" s="8">
        <f t="shared" si="218"/>
        <v>0.99152261913182127</v>
      </c>
      <c r="J1755" s="22">
        <f t="shared" si="219"/>
        <v>-1.2282410545099992E-2</v>
      </c>
      <c r="K1755" s="8"/>
      <c r="L1755" s="8">
        <v>0.95046490161255259</v>
      </c>
      <c r="M1755" s="8">
        <v>1.0201644268396299</v>
      </c>
      <c r="N1755" s="8">
        <v>1.0462469203123566</v>
      </c>
      <c r="O1755" s="8">
        <v>0.97334008843399289</v>
      </c>
      <c r="P1755" s="8">
        <f t="shared" si="220"/>
        <v>0.98531466422609126</v>
      </c>
      <c r="Q1755" s="8">
        <f t="shared" si="221"/>
        <v>1.0097935043731747</v>
      </c>
      <c r="R1755" s="8">
        <f t="shared" si="222"/>
        <v>1.0248436778988874</v>
      </c>
      <c r="S1755" s="22">
        <f t="shared" si="223"/>
        <v>3.5403868443743963E-2</v>
      </c>
      <c r="T1755" s="25"/>
      <c r="U1755" s="1">
        <v>0</v>
      </c>
    </row>
    <row r="1756" spans="1:21">
      <c r="A1756" s="6" t="s">
        <v>4976</v>
      </c>
      <c r="B1756" s="6" t="s">
        <v>80</v>
      </c>
      <c r="C1756" s="7">
        <v>1.0979851589773872</v>
      </c>
      <c r="D1756" s="7">
        <v>1.0360276826397152</v>
      </c>
      <c r="E1756" s="7">
        <v>1.0556244148506355</v>
      </c>
      <c r="F1756" s="8">
        <v>0.96421270042661611</v>
      </c>
      <c r="G1756" s="8">
        <f t="shared" si="216"/>
        <v>1.0670064208085512</v>
      </c>
      <c r="H1756" s="8">
        <f t="shared" si="217"/>
        <v>1.0099185576386258</v>
      </c>
      <c r="I1756" s="8">
        <f t="shared" si="218"/>
        <v>0.94649716997329247</v>
      </c>
      <c r="J1756" s="22">
        <f t="shared" si="219"/>
        <v>-7.9329902610363268E-2</v>
      </c>
      <c r="K1756" s="8"/>
      <c r="L1756" s="8">
        <v>1.2448236416031204</v>
      </c>
      <c r="M1756" s="8">
        <v>1.2804121748717416</v>
      </c>
      <c r="N1756" s="8">
        <v>1.1273645511538035</v>
      </c>
      <c r="O1756" s="8">
        <v>1.3156013255242267</v>
      </c>
      <c r="P1756" s="8">
        <f t="shared" si="220"/>
        <v>1.2626179082374311</v>
      </c>
      <c r="Q1756" s="8">
        <f t="shared" si="221"/>
        <v>1.2214829383390151</v>
      </c>
      <c r="R1756" s="8">
        <f t="shared" si="222"/>
        <v>0.96742088827502937</v>
      </c>
      <c r="S1756" s="22">
        <f t="shared" si="223"/>
        <v>-4.7784406508736992E-2</v>
      </c>
      <c r="T1756" s="25"/>
      <c r="U1756" s="1">
        <v>0</v>
      </c>
    </row>
    <row r="1757" spans="1:21">
      <c r="A1757" s="6" t="s">
        <v>4977</v>
      </c>
      <c r="B1757" s="6" t="s">
        <v>4978</v>
      </c>
      <c r="C1757" s="7">
        <v>1.1390810338921469</v>
      </c>
      <c r="D1757" s="7">
        <v>1.0865087286490829</v>
      </c>
      <c r="E1757" s="7">
        <v>1.0616820949641737</v>
      </c>
      <c r="F1757" s="8">
        <v>1.0399904094173333</v>
      </c>
      <c r="G1757" s="8">
        <f t="shared" si="216"/>
        <v>1.1127948812706148</v>
      </c>
      <c r="H1757" s="8">
        <f t="shared" si="217"/>
        <v>1.0508362521907535</v>
      </c>
      <c r="I1757" s="8">
        <f t="shared" si="218"/>
        <v>0.94432160848087698</v>
      </c>
      <c r="J1757" s="22">
        <f t="shared" si="219"/>
        <v>-8.2649811632930364E-2</v>
      </c>
      <c r="K1757" s="8"/>
      <c r="L1757" s="8">
        <v>0.67877649647477678</v>
      </c>
      <c r="M1757" s="8">
        <v>0.43710491683086555</v>
      </c>
      <c r="N1757" s="8">
        <v>0.57985708244738854</v>
      </c>
      <c r="O1757" s="8">
        <v>0.46252200500324286</v>
      </c>
      <c r="P1757" s="8">
        <f t="shared" si="220"/>
        <v>0.55794070665282114</v>
      </c>
      <c r="Q1757" s="8">
        <f t="shared" si="221"/>
        <v>0.52118954372531567</v>
      </c>
      <c r="R1757" s="8">
        <f t="shared" si="222"/>
        <v>0.93413070154357125</v>
      </c>
      <c r="S1757" s="22">
        <f t="shared" si="223"/>
        <v>-9.8303672065374312E-2</v>
      </c>
      <c r="T1757" s="25"/>
      <c r="U1757" s="1" t="s">
        <v>4979</v>
      </c>
    </row>
    <row r="1758" spans="1:21">
      <c r="A1758" s="6" t="s">
        <v>4980</v>
      </c>
      <c r="B1758" s="6" t="s">
        <v>4981</v>
      </c>
      <c r="C1758" s="7">
        <v>1.0419818278355404</v>
      </c>
      <c r="D1758" s="7">
        <v>1.0177102929767743</v>
      </c>
      <c r="E1758" s="7">
        <v>1.0261767599214788</v>
      </c>
      <c r="F1758" s="8">
        <v>0.97833807285894814</v>
      </c>
      <c r="G1758" s="8">
        <f t="shared" si="216"/>
        <v>1.0298460604061574</v>
      </c>
      <c r="H1758" s="8">
        <f t="shared" si="217"/>
        <v>1.0022574163902136</v>
      </c>
      <c r="I1758" s="8">
        <f t="shared" si="218"/>
        <v>0.97321090493363327</v>
      </c>
      <c r="J1758" s="22">
        <f t="shared" si="219"/>
        <v>-3.9175608966207774E-2</v>
      </c>
      <c r="K1758" s="8"/>
      <c r="L1758" s="8">
        <v>0.94744219029884702</v>
      </c>
      <c r="M1758" s="8">
        <v>1.1958411425450908</v>
      </c>
      <c r="N1758" s="8">
        <v>0.92586153544195693</v>
      </c>
      <c r="O1758" s="8">
        <v>1.3975078409765194</v>
      </c>
      <c r="P1758" s="8">
        <f t="shared" si="220"/>
        <v>1.0716416664219688</v>
      </c>
      <c r="Q1758" s="8">
        <f t="shared" si="221"/>
        <v>1.1616846882092382</v>
      </c>
      <c r="R1758" s="8">
        <f t="shared" si="222"/>
        <v>1.0840234423582165</v>
      </c>
      <c r="S1758" s="22">
        <f t="shared" si="223"/>
        <v>0.11639595577689234</v>
      </c>
      <c r="T1758" s="25"/>
      <c r="U1758" s="1" t="s">
        <v>4982</v>
      </c>
    </row>
    <row r="1759" spans="1:21">
      <c r="A1759" s="6" t="s">
        <v>4983</v>
      </c>
      <c r="B1759" s="6" t="s">
        <v>4984</v>
      </c>
      <c r="C1759" s="7">
        <v>1.0563298431004629</v>
      </c>
      <c r="D1759" s="7">
        <v>0.57365412388861103</v>
      </c>
      <c r="E1759" s="7">
        <v>0.65468934731225159</v>
      </c>
      <c r="F1759" s="8">
        <v>0.80074146547712499</v>
      </c>
      <c r="G1759" s="8">
        <f t="shared" si="216"/>
        <v>0.81499198349453694</v>
      </c>
      <c r="H1759" s="8">
        <f t="shared" si="217"/>
        <v>0.72771540639468824</v>
      </c>
      <c r="I1759" s="8">
        <f t="shared" si="218"/>
        <v>0.89291112198966338</v>
      </c>
      <c r="J1759" s="22">
        <f t="shared" si="219"/>
        <v>-0.16341151444128646</v>
      </c>
      <c r="K1759" s="8"/>
      <c r="L1759" s="8">
        <v>0.49452446124963273</v>
      </c>
      <c r="M1759" s="8">
        <v>0.85005270428826596</v>
      </c>
      <c r="N1759" s="8">
        <v>1.1547935158167073</v>
      </c>
      <c r="O1759" s="8">
        <v>0.63642826023959576</v>
      </c>
      <c r="P1759" s="8">
        <f t="shared" si="220"/>
        <v>0.67228858276894932</v>
      </c>
      <c r="Q1759" s="8">
        <f t="shared" si="221"/>
        <v>0.89561088802815148</v>
      </c>
      <c r="R1759" s="8">
        <f t="shared" si="222"/>
        <v>1.3321822071399851</v>
      </c>
      <c r="S1759" s="22">
        <f t="shared" si="223"/>
        <v>0.41379141826479071</v>
      </c>
      <c r="T1759" s="25"/>
      <c r="U1759" s="1" t="s">
        <v>4985</v>
      </c>
    </row>
    <row r="1760" spans="1:21">
      <c r="A1760" s="6" t="s">
        <v>4986</v>
      </c>
      <c r="B1760" s="6" t="s">
        <v>4987</v>
      </c>
      <c r="C1760" s="7">
        <v>2.3457030460634843E-2</v>
      </c>
      <c r="D1760" s="7">
        <v>2.201963455777875E-2</v>
      </c>
      <c r="E1760" s="7">
        <v>9.7749255734826346E-2</v>
      </c>
      <c r="F1760" s="8">
        <v>8.5950272784037079E-2</v>
      </c>
      <c r="G1760" s="8">
        <f t="shared" si="216"/>
        <v>2.2738332509206795E-2</v>
      </c>
      <c r="H1760" s="8">
        <f t="shared" si="217"/>
        <v>9.1849764259431713E-2</v>
      </c>
      <c r="I1760" s="8">
        <f t="shared" si="218"/>
        <v>4.0394239209159934</v>
      </c>
      <c r="J1760" s="22">
        <f t="shared" si="219"/>
        <v>2.0141495588932541</v>
      </c>
      <c r="K1760" s="8"/>
      <c r="L1760" s="8">
        <v>0.20518875623625213</v>
      </c>
      <c r="M1760" s="8">
        <v>0.22179870442198915</v>
      </c>
      <c r="N1760" s="8">
        <v>0.25163517315079498</v>
      </c>
      <c r="O1760" s="8">
        <v>0.35618988666807289</v>
      </c>
      <c r="P1760" s="8">
        <f t="shared" si="220"/>
        <v>0.21349373032912064</v>
      </c>
      <c r="Q1760" s="8">
        <f t="shared" si="221"/>
        <v>0.30391252990943396</v>
      </c>
      <c r="R1760" s="8">
        <f t="shared" si="222"/>
        <v>1.4235196951260547</v>
      </c>
      <c r="S1760" s="22">
        <f t="shared" si="223"/>
        <v>0.50946245364507237</v>
      </c>
      <c r="T1760" s="25"/>
      <c r="U1760" s="1" t="s">
        <v>4988</v>
      </c>
    </row>
    <row r="1761" spans="1:21">
      <c r="A1761" s="6" t="s">
        <v>4989</v>
      </c>
      <c r="B1761" s="6" t="s">
        <v>4990</v>
      </c>
      <c r="C1761" s="7">
        <v>1.1243381191245201</v>
      </c>
      <c r="D1761" s="7">
        <v>1.0785098121049133</v>
      </c>
      <c r="E1761" s="7">
        <v>1.0981790787087287</v>
      </c>
      <c r="F1761" s="8">
        <v>1.380649340510129</v>
      </c>
      <c r="G1761" s="8">
        <f t="shared" si="216"/>
        <v>1.1014239656147167</v>
      </c>
      <c r="H1761" s="8">
        <f t="shared" si="217"/>
        <v>1.2394142096094289</v>
      </c>
      <c r="I1761" s="8">
        <f t="shared" si="218"/>
        <v>1.1252834950960036</v>
      </c>
      <c r="J1761" s="22">
        <f t="shared" si="219"/>
        <v>0.17028850850457877</v>
      </c>
      <c r="K1761" s="8"/>
      <c r="L1761" s="8">
        <v>1.1117354405261406</v>
      </c>
      <c r="M1761" s="8">
        <v>1.1040187555024956</v>
      </c>
      <c r="N1761" s="8">
        <v>1.2685530761859438</v>
      </c>
      <c r="O1761" s="8">
        <v>1.3356868419444439</v>
      </c>
      <c r="P1761" s="8">
        <f t="shared" si="220"/>
        <v>1.1078770980143182</v>
      </c>
      <c r="Q1761" s="8">
        <f t="shared" si="221"/>
        <v>1.3021199590651937</v>
      </c>
      <c r="R1761" s="8">
        <f t="shared" si="222"/>
        <v>1.1753288892775406</v>
      </c>
      <c r="S1761" s="22">
        <f t="shared" si="223"/>
        <v>0.23306451894881475</v>
      </c>
      <c r="T1761" s="25"/>
      <c r="U1761" s="1" t="s">
        <v>4991</v>
      </c>
    </row>
    <row r="1762" spans="1:21">
      <c r="A1762" s="6" t="s">
        <v>4992</v>
      </c>
      <c r="B1762" s="13" t="s">
        <v>4993</v>
      </c>
      <c r="C1762" s="14">
        <v>1.0905413033514113</v>
      </c>
      <c r="D1762" s="14">
        <v>1.0341862519328586</v>
      </c>
      <c r="E1762" s="14">
        <v>0.95849314308943223</v>
      </c>
      <c r="F1762" s="8">
        <v>1.1178700656516634</v>
      </c>
      <c r="G1762" s="8">
        <f t="shared" si="216"/>
        <v>1.0623637776421351</v>
      </c>
      <c r="H1762" s="8">
        <f t="shared" si="217"/>
        <v>1.0381816043705479</v>
      </c>
      <c r="I1762" s="8">
        <f t="shared" si="218"/>
        <v>0.97723738913118974</v>
      </c>
      <c r="J1762" s="22">
        <f t="shared" si="219"/>
        <v>-3.3219032671629081E-2</v>
      </c>
      <c r="K1762" s="8"/>
      <c r="L1762" s="8">
        <v>0.94246360695862597</v>
      </c>
      <c r="M1762" s="8">
        <v>1.0372809966923819</v>
      </c>
      <c r="N1762" s="8">
        <v>0.84172330813674434</v>
      </c>
      <c r="O1762" s="8">
        <v>0.97899229405978261</v>
      </c>
      <c r="P1762" s="8">
        <f t="shared" si="220"/>
        <v>0.98987230182550401</v>
      </c>
      <c r="Q1762" s="8">
        <f t="shared" si="221"/>
        <v>0.91035780109826347</v>
      </c>
      <c r="R1762" s="8">
        <f t="shared" si="222"/>
        <v>0.91967196114023864</v>
      </c>
      <c r="S1762" s="22">
        <f t="shared" si="223"/>
        <v>-0.12080873853292806</v>
      </c>
      <c r="T1762" s="25"/>
      <c r="U1762" s="1" t="s">
        <v>4994</v>
      </c>
    </row>
    <row r="1763" spans="1:21">
      <c r="A1763" s="6" t="s">
        <v>4995</v>
      </c>
      <c r="B1763" s="6" t="s">
        <v>4996</v>
      </c>
      <c r="C1763" s="7">
        <v>1.0407642210355355</v>
      </c>
      <c r="D1763" s="7">
        <v>0.89117492819404565</v>
      </c>
      <c r="E1763" s="7">
        <v>0.98912646494472634</v>
      </c>
      <c r="F1763" s="8">
        <v>0.96734051270721377</v>
      </c>
      <c r="G1763" s="8">
        <f t="shared" si="216"/>
        <v>0.96596957461479049</v>
      </c>
      <c r="H1763" s="8">
        <f t="shared" si="217"/>
        <v>0.97823348882597005</v>
      </c>
      <c r="I1763" s="8">
        <f t="shared" si="218"/>
        <v>1.0126959632409438</v>
      </c>
      <c r="J1763" s="22">
        <f t="shared" si="219"/>
        <v>1.8201105864451554E-2</v>
      </c>
      <c r="K1763" s="8"/>
      <c r="L1763" s="8">
        <v>0.93588476468761961</v>
      </c>
      <c r="M1763" s="8">
        <v>1.2542314116240596</v>
      </c>
      <c r="N1763" s="8">
        <v>1.375540654160609</v>
      </c>
      <c r="O1763" s="8">
        <v>1.0067991270938019</v>
      </c>
      <c r="P1763" s="8">
        <f t="shared" si="220"/>
        <v>1.0950580881558396</v>
      </c>
      <c r="Q1763" s="8">
        <f t="shared" si="221"/>
        <v>1.1911698906272055</v>
      </c>
      <c r="R1763" s="8">
        <f t="shared" si="222"/>
        <v>1.0877686795896147</v>
      </c>
      <c r="S1763" s="22">
        <f t="shared" si="223"/>
        <v>0.12137179161520416</v>
      </c>
      <c r="T1763" s="25"/>
      <c r="U1763" s="1" t="s">
        <v>4997</v>
      </c>
    </row>
    <row r="1764" spans="1:21">
      <c r="A1764" s="6" t="s">
        <v>4998</v>
      </c>
      <c r="B1764" s="13" t="s">
        <v>4999</v>
      </c>
      <c r="C1764" s="14">
        <v>0.995186236765082</v>
      </c>
      <c r="D1764" s="14">
        <v>1.0239130069367119</v>
      </c>
      <c r="E1764" s="14">
        <v>0.97843390502901495</v>
      </c>
      <c r="F1764" s="8">
        <v>1.1062412039387075</v>
      </c>
      <c r="G1764" s="8">
        <f t="shared" si="216"/>
        <v>1.009549621850897</v>
      </c>
      <c r="H1764" s="8">
        <f t="shared" si="217"/>
        <v>1.0423375544838613</v>
      </c>
      <c r="I1764" s="8">
        <f t="shared" si="218"/>
        <v>1.0324777820953974</v>
      </c>
      <c r="J1764" s="22">
        <f t="shared" si="219"/>
        <v>4.6110736602911276E-2</v>
      </c>
      <c r="K1764" s="8"/>
      <c r="L1764" s="8">
        <v>0.5024368526296269</v>
      </c>
      <c r="M1764" s="8">
        <v>0.62277332479027248</v>
      </c>
      <c r="N1764" s="8">
        <v>1.0376236046012839</v>
      </c>
      <c r="O1764" s="8">
        <v>0.88457018043609825</v>
      </c>
      <c r="P1764" s="8">
        <f t="shared" si="220"/>
        <v>0.56260508870994963</v>
      </c>
      <c r="Q1764" s="8">
        <f t="shared" si="221"/>
        <v>0.96109689251869113</v>
      </c>
      <c r="R1764" s="8">
        <f t="shared" si="222"/>
        <v>1.7082975461926251</v>
      </c>
      <c r="S1764" s="22">
        <f t="shared" si="223"/>
        <v>0.77255928118206618</v>
      </c>
      <c r="T1764" s="25"/>
      <c r="U1764" s="1" t="s">
        <v>5000</v>
      </c>
    </row>
    <row r="1765" spans="1:21">
      <c r="A1765" s="6" t="s">
        <v>5001</v>
      </c>
      <c r="B1765" s="6" t="s">
        <v>5002</v>
      </c>
      <c r="C1765" s="7">
        <v>0.84969209665206469</v>
      </c>
      <c r="D1765" s="7">
        <v>0.94487363207013109</v>
      </c>
      <c r="E1765" s="7">
        <v>0.95965725243509437</v>
      </c>
      <c r="F1765" s="8">
        <v>0.95210318866136667</v>
      </c>
      <c r="G1765" s="8">
        <f t="shared" si="216"/>
        <v>0.89728286436109794</v>
      </c>
      <c r="H1765" s="8">
        <f t="shared" si="217"/>
        <v>0.95588022054823052</v>
      </c>
      <c r="I1765" s="8">
        <f t="shared" si="218"/>
        <v>1.0653053329273776</v>
      </c>
      <c r="J1765" s="22">
        <f t="shared" si="219"/>
        <v>9.1266988354157322E-2</v>
      </c>
      <c r="K1765" s="8"/>
      <c r="L1765" s="8">
        <v>1.2196195634432516</v>
      </c>
      <c r="M1765" s="8">
        <v>1.1003930781445237</v>
      </c>
      <c r="N1765" s="8">
        <v>1.2876997602223934</v>
      </c>
      <c r="O1765" s="8">
        <v>1.341894174908481</v>
      </c>
      <c r="P1765" s="8">
        <f t="shared" si="220"/>
        <v>1.1600063207938875</v>
      </c>
      <c r="Q1765" s="8">
        <f t="shared" si="221"/>
        <v>1.3147969675654372</v>
      </c>
      <c r="R1765" s="8">
        <f t="shared" si="222"/>
        <v>1.1334394856276417</v>
      </c>
      <c r="S1765" s="22">
        <f t="shared" si="223"/>
        <v>0.18070736759794162</v>
      </c>
      <c r="T1765" s="25"/>
      <c r="U1765" s="1" t="s">
        <v>5003</v>
      </c>
    </row>
    <row r="1766" spans="1:21">
      <c r="A1766" s="6" t="s">
        <v>5004</v>
      </c>
      <c r="B1766" s="6" t="s">
        <v>5005</v>
      </c>
      <c r="C1766" s="7">
        <v>0.88304794131382036</v>
      </c>
      <c r="D1766" s="7">
        <v>0.98573401028122054</v>
      </c>
      <c r="E1766" s="7">
        <v>0.81573165932233715</v>
      </c>
      <c r="F1766" s="8">
        <v>0.8001532072041686</v>
      </c>
      <c r="G1766" s="8">
        <f t="shared" si="216"/>
        <v>0.9343909757975204</v>
      </c>
      <c r="H1766" s="8">
        <f t="shared" si="217"/>
        <v>0.80794243326325288</v>
      </c>
      <c r="I1766" s="8">
        <f t="shared" si="218"/>
        <v>0.86467276995441733</v>
      </c>
      <c r="J1766" s="22">
        <f t="shared" si="219"/>
        <v>-0.20977383784099415</v>
      </c>
      <c r="K1766" s="8"/>
      <c r="L1766" s="8">
        <v>1.0433688228720341</v>
      </c>
      <c r="M1766" s="8">
        <v>0.98234776881520036</v>
      </c>
      <c r="N1766" s="8">
        <v>1.1358417089714683</v>
      </c>
      <c r="O1766" s="8">
        <v>0.97253263048745153</v>
      </c>
      <c r="P1766" s="8">
        <f t="shared" si="220"/>
        <v>1.0128582958436172</v>
      </c>
      <c r="Q1766" s="8">
        <f t="shared" si="221"/>
        <v>1.05418716972946</v>
      </c>
      <c r="R1766" s="8">
        <f t="shared" si="222"/>
        <v>1.0408042013926733</v>
      </c>
      <c r="S1766" s="22">
        <f t="shared" si="223"/>
        <v>5.7698690877166836E-2</v>
      </c>
      <c r="T1766" s="25"/>
      <c r="U1766" s="1" t="s">
        <v>5006</v>
      </c>
    </row>
    <row r="1767" spans="1:21">
      <c r="A1767" s="6" t="s">
        <v>5007</v>
      </c>
      <c r="B1767" s="6" t="s">
        <v>5008</v>
      </c>
      <c r="C1767" s="7">
        <v>0.9621463117054897</v>
      </c>
      <c r="D1767" s="7">
        <v>0.87312890726685188</v>
      </c>
      <c r="E1767" s="7">
        <v>0.9990429519633296</v>
      </c>
      <c r="F1767" s="8">
        <v>1.0786145867538877</v>
      </c>
      <c r="G1767" s="8">
        <f t="shared" si="216"/>
        <v>0.91763760948617079</v>
      </c>
      <c r="H1767" s="8">
        <f t="shared" si="217"/>
        <v>1.0388287693586087</v>
      </c>
      <c r="I1767" s="8">
        <f t="shared" si="218"/>
        <v>1.132068649562324</v>
      </c>
      <c r="J1767" s="22">
        <f t="shared" si="219"/>
        <v>0.17896144702149025</v>
      </c>
      <c r="K1767" s="8"/>
      <c r="L1767" s="8">
        <v>1.1741899904637347</v>
      </c>
      <c r="M1767" s="8">
        <v>1.1734968518506117</v>
      </c>
      <c r="N1767" s="8">
        <v>0.77093416842946361</v>
      </c>
      <c r="O1767" s="8">
        <v>0.91000510575215221</v>
      </c>
      <c r="P1767" s="8">
        <f t="shared" si="220"/>
        <v>1.1738434211571733</v>
      </c>
      <c r="Q1767" s="8">
        <f t="shared" si="221"/>
        <v>0.84046963709080791</v>
      </c>
      <c r="R1767" s="8">
        <f t="shared" si="222"/>
        <v>0.71599808112590857</v>
      </c>
      <c r="S1767" s="22">
        <f t="shared" si="223"/>
        <v>-0.4819723738138158</v>
      </c>
      <c r="T1767" s="25"/>
      <c r="U1767" s="1" t="s">
        <v>5009</v>
      </c>
    </row>
    <row r="1768" spans="1:21">
      <c r="A1768" s="6" t="s">
        <v>5010</v>
      </c>
      <c r="B1768" s="6" t="s">
        <v>5011</v>
      </c>
      <c r="C1768" s="7">
        <v>0.94094679006864768</v>
      </c>
      <c r="D1768" s="7">
        <v>0.86960757486251228</v>
      </c>
      <c r="E1768" s="7">
        <v>0.87965707129153625</v>
      </c>
      <c r="F1768" s="8">
        <v>0.93033045868060105</v>
      </c>
      <c r="G1768" s="8">
        <f t="shared" si="216"/>
        <v>0.90527718246557998</v>
      </c>
      <c r="H1768" s="8">
        <f t="shared" si="217"/>
        <v>0.90499376498606865</v>
      </c>
      <c r="I1768" s="8">
        <f t="shared" si="218"/>
        <v>0.99968692740190424</v>
      </c>
      <c r="J1768" s="22">
        <f t="shared" si="219"/>
        <v>-4.5173900195280846E-4</v>
      </c>
      <c r="K1768" s="8"/>
      <c r="L1768" s="8">
        <v>1.3332379475290099</v>
      </c>
      <c r="M1768" s="8">
        <v>1.235807911560876</v>
      </c>
      <c r="N1768" s="8">
        <v>1.6456891604764188</v>
      </c>
      <c r="O1768" s="8">
        <v>1.6629091747803442</v>
      </c>
      <c r="P1768" s="8">
        <f t="shared" si="220"/>
        <v>1.284522929544943</v>
      </c>
      <c r="Q1768" s="8">
        <f t="shared" si="221"/>
        <v>1.6542991676283814</v>
      </c>
      <c r="R1768" s="8">
        <f t="shared" si="222"/>
        <v>1.2878704845030955</v>
      </c>
      <c r="S1768" s="22">
        <f t="shared" si="223"/>
        <v>0.36498751522256151</v>
      </c>
      <c r="T1768" s="25"/>
      <c r="U1768" s="1" t="s">
        <v>5012</v>
      </c>
    </row>
    <row r="1769" spans="1:21">
      <c r="A1769" s="6" t="s">
        <v>5013</v>
      </c>
      <c r="B1769" s="6" t="s">
        <v>5014</v>
      </c>
      <c r="C1769" s="7">
        <v>0.97630345887743852</v>
      </c>
      <c r="D1769" s="7">
        <v>0.87546138616220348</v>
      </c>
      <c r="E1769" s="7">
        <v>1.0026430679026921</v>
      </c>
      <c r="F1769" s="8">
        <v>0.93974976492928153</v>
      </c>
      <c r="G1769" s="8">
        <f t="shared" si="216"/>
        <v>0.925882422519821</v>
      </c>
      <c r="H1769" s="8">
        <f t="shared" si="217"/>
        <v>0.97119641641598675</v>
      </c>
      <c r="I1769" s="8">
        <f t="shared" si="218"/>
        <v>1.0489414128554706</v>
      </c>
      <c r="J1769" s="22">
        <f t="shared" si="219"/>
        <v>6.8934100466852916E-2</v>
      </c>
      <c r="K1769" s="8"/>
      <c r="L1769" s="8">
        <v>1.1911705157848458</v>
      </c>
      <c r="M1769" s="8">
        <v>1.0841196890726954</v>
      </c>
      <c r="N1769" s="8">
        <v>1.0768913586302367</v>
      </c>
      <c r="O1769" s="8">
        <v>1.4384863317634953</v>
      </c>
      <c r="P1769" s="8">
        <f t="shared" si="220"/>
        <v>1.1376451024287706</v>
      </c>
      <c r="Q1769" s="8">
        <f t="shared" si="221"/>
        <v>1.257688845196866</v>
      </c>
      <c r="R1769" s="8">
        <f t="shared" si="222"/>
        <v>1.1055195003361002</v>
      </c>
      <c r="S1769" s="22">
        <f t="shared" si="223"/>
        <v>0.14472447317771706</v>
      </c>
      <c r="T1769" s="25"/>
      <c r="U1769" s="1" t="s">
        <v>5015</v>
      </c>
    </row>
    <row r="1770" spans="1:21">
      <c r="A1770" s="6" t="s">
        <v>5016</v>
      </c>
      <c r="B1770" s="13" t="s">
        <v>5017</v>
      </c>
      <c r="C1770" s="14">
        <v>0.9073737506804046</v>
      </c>
      <c r="D1770" s="14">
        <v>0.88319539513100076</v>
      </c>
      <c r="E1770" s="14">
        <v>0.84354812399553514</v>
      </c>
      <c r="F1770" s="8">
        <v>0.9025388422240983</v>
      </c>
      <c r="G1770" s="8">
        <f t="shared" si="216"/>
        <v>0.89528457290570262</v>
      </c>
      <c r="H1770" s="8">
        <f t="shared" si="217"/>
        <v>0.87304348310981672</v>
      </c>
      <c r="I1770" s="8">
        <f t="shared" si="218"/>
        <v>0.97515751921905558</v>
      </c>
      <c r="J1770" s="22">
        <f t="shared" si="219"/>
        <v>-3.6292815675443992E-2</v>
      </c>
      <c r="K1770" s="8"/>
      <c r="L1770" s="8">
        <v>0.93752947525537123</v>
      </c>
      <c r="M1770" s="8">
        <v>1.1662033380956214</v>
      </c>
      <c r="N1770" s="8">
        <v>1.1775454278905546</v>
      </c>
      <c r="O1770" s="8">
        <v>0.96950466318792128</v>
      </c>
      <c r="P1770" s="8">
        <f t="shared" si="220"/>
        <v>1.0518664066754964</v>
      </c>
      <c r="Q1770" s="8">
        <f t="shared" si="221"/>
        <v>1.073525045539238</v>
      </c>
      <c r="R1770" s="8">
        <f t="shared" si="222"/>
        <v>1.0205906745631277</v>
      </c>
      <c r="S1770" s="22">
        <f t="shared" si="223"/>
        <v>2.9404364566823032E-2</v>
      </c>
      <c r="T1770" s="25"/>
      <c r="U1770" s="1" t="s">
        <v>5018</v>
      </c>
    </row>
    <row r="1771" spans="1:21">
      <c r="A1771" s="6" t="s">
        <v>5019</v>
      </c>
      <c r="B1771" s="13" t="s">
        <v>5020</v>
      </c>
      <c r="C1771" s="14">
        <v>1.1752077567312111</v>
      </c>
      <c r="D1771" s="14">
        <v>1.0956964987022406</v>
      </c>
      <c r="E1771" s="14">
        <v>1.28122449452386</v>
      </c>
      <c r="F1771" s="8">
        <v>1.190505614599028</v>
      </c>
      <c r="G1771" s="8">
        <f t="shared" si="216"/>
        <v>1.135452127716726</v>
      </c>
      <c r="H1771" s="8">
        <f t="shared" si="217"/>
        <v>1.235865054561444</v>
      </c>
      <c r="I1771" s="8">
        <f t="shared" si="218"/>
        <v>1.088434311225994</v>
      </c>
      <c r="J1771" s="22">
        <f t="shared" si="219"/>
        <v>0.12225434117042794</v>
      </c>
      <c r="K1771" s="8"/>
      <c r="L1771" s="8">
        <v>1.0196316487320518</v>
      </c>
      <c r="M1771" s="8">
        <v>0.95334234995142386</v>
      </c>
      <c r="N1771" s="8">
        <v>1.2233415678250652</v>
      </c>
      <c r="O1771" s="8">
        <v>1.3050539060975297</v>
      </c>
      <c r="P1771" s="8">
        <f t="shared" si="220"/>
        <v>0.98648699934173778</v>
      </c>
      <c r="Q1771" s="8">
        <f t="shared" si="221"/>
        <v>1.2641977369612976</v>
      </c>
      <c r="R1771" s="8">
        <f t="shared" si="222"/>
        <v>1.2815148479451532</v>
      </c>
      <c r="S1771" s="22">
        <f t="shared" si="223"/>
        <v>0.35785019414470287</v>
      </c>
      <c r="T1771" s="25"/>
      <c r="U1771" s="1" t="s">
        <v>5021</v>
      </c>
    </row>
    <row r="1772" spans="1:21">
      <c r="A1772" s="6" t="s">
        <v>5022</v>
      </c>
      <c r="B1772" s="6" t="s">
        <v>5023</v>
      </c>
      <c r="C1772" s="7">
        <v>8.9372339120359301E-2</v>
      </c>
      <c r="D1772" s="7">
        <v>9.2071535342824876E-2</v>
      </c>
      <c r="E1772" s="7">
        <v>0.15757872741373277</v>
      </c>
      <c r="F1772" s="8">
        <v>0.17189337168669666</v>
      </c>
      <c r="G1772" s="8">
        <f t="shared" si="216"/>
        <v>9.0721937231592081E-2</v>
      </c>
      <c r="H1772" s="8">
        <f t="shared" si="217"/>
        <v>0.1647360495502147</v>
      </c>
      <c r="I1772" s="8">
        <f t="shared" si="218"/>
        <v>1.8158347867912228</v>
      </c>
      <c r="J1772" s="22">
        <f t="shared" si="219"/>
        <v>0.86063294540422974</v>
      </c>
      <c r="K1772" s="8"/>
      <c r="L1772" s="8">
        <v>0.25710826821284277</v>
      </c>
      <c r="M1772" s="8">
        <v>0.25468275487801489</v>
      </c>
      <c r="N1772" s="8">
        <v>0.29216962892261711</v>
      </c>
      <c r="O1772" s="8">
        <v>0.33655856534278522</v>
      </c>
      <c r="P1772" s="8">
        <f t="shared" si="220"/>
        <v>0.25589551154542883</v>
      </c>
      <c r="Q1772" s="8">
        <f t="shared" si="221"/>
        <v>0.31436409713270119</v>
      </c>
      <c r="R1772" s="8">
        <f t="shared" si="222"/>
        <v>1.2284861709146957</v>
      </c>
      <c r="S1772" s="22">
        <f t="shared" si="223"/>
        <v>0.2968816173540596</v>
      </c>
      <c r="T1772" s="25"/>
      <c r="U1772" s="1" t="s">
        <v>5024</v>
      </c>
    </row>
    <row r="1773" spans="1:21">
      <c r="A1773" s="6" t="s">
        <v>5025</v>
      </c>
      <c r="B1773" s="6" t="s">
        <v>5026</v>
      </c>
      <c r="C1773" s="7">
        <v>0.16414655995741667</v>
      </c>
      <c r="D1773" s="7">
        <v>0.1697476053702944</v>
      </c>
      <c r="E1773" s="7">
        <v>0.50413839113344205</v>
      </c>
      <c r="F1773" s="8">
        <v>0.51224382588025907</v>
      </c>
      <c r="G1773" s="8">
        <f t="shared" si="216"/>
        <v>0.16694708266385555</v>
      </c>
      <c r="H1773" s="8">
        <f t="shared" si="217"/>
        <v>0.50819110850685056</v>
      </c>
      <c r="I1773" s="8">
        <f t="shared" si="218"/>
        <v>3.0440250910528501</v>
      </c>
      <c r="J1773" s="22">
        <f t="shared" si="219"/>
        <v>1.6059802506247465</v>
      </c>
      <c r="K1773" s="8"/>
      <c r="L1773" s="8">
        <v>0.79643997952446477</v>
      </c>
      <c r="M1773" s="8">
        <v>0.78887993863224881</v>
      </c>
      <c r="N1773" s="8">
        <v>0.70823243215742626</v>
      </c>
      <c r="O1773" s="8">
        <v>0.85201953196614832</v>
      </c>
      <c r="P1773" s="8">
        <f t="shared" si="220"/>
        <v>0.79265995907835674</v>
      </c>
      <c r="Q1773" s="8">
        <f t="shared" si="221"/>
        <v>0.78012598206178729</v>
      </c>
      <c r="R1773" s="8">
        <f t="shared" si="222"/>
        <v>0.9841874477535828</v>
      </c>
      <c r="S1773" s="22">
        <f t="shared" si="223"/>
        <v>-2.2994978316829194E-2</v>
      </c>
      <c r="T1773" s="25"/>
      <c r="U1773" s="1" t="s">
        <v>5027</v>
      </c>
    </row>
    <row r="1774" spans="1:21">
      <c r="A1774" s="6" t="s">
        <v>5028</v>
      </c>
      <c r="B1774" s="13" t="s">
        <v>5029</v>
      </c>
      <c r="C1774" s="14">
        <v>0.9565189937919536</v>
      </c>
      <c r="D1774" s="14">
        <v>1.0217872851733583</v>
      </c>
      <c r="E1774" s="14">
        <v>0.94258364869871658</v>
      </c>
      <c r="F1774" s="8">
        <v>0.91409596512327895</v>
      </c>
      <c r="G1774" s="8">
        <f t="shared" si="216"/>
        <v>0.98915313948265593</v>
      </c>
      <c r="H1774" s="8">
        <f t="shared" si="217"/>
        <v>0.92833980691099782</v>
      </c>
      <c r="I1774" s="8">
        <f t="shared" si="218"/>
        <v>0.93851980027737214</v>
      </c>
      <c r="J1774" s="22">
        <f t="shared" si="219"/>
        <v>-9.1540912473045466E-2</v>
      </c>
      <c r="K1774" s="8"/>
      <c r="L1774" s="8">
        <v>1.0923100751718855</v>
      </c>
      <c r="M1774" s="8">
        <v>1.1485808597743152</v>
      </c>
      <c r="N1774" s="8">
        <v>0.91436378116052663</v>
      </c>
      <c r="O1774" s="8">
        <v>1.3856483023866928</v>
      </c>
      <c r="P1774" s="8">
        <f t="shared" si="220"/>
        <v>1.1204454674731004</v>
      </c>
      <c r="Q1774" s="8">
        <f t="shared" si="221"/>
        <v>1.1500060417736098</v>
      </c>
      <c r="R1774" s="8">
        <f t="shared" si="222"/>
        <v>1.0263828764171596</v>
      </c>
      <c r="S1774" s="22">
        <f t="shared" si="223"/>
        <v>3.7569006644949131E-2</v>
      </c>
      <c r="T1774" s="25"/>
      <c r="U1774" s="1" t="s">
        <v>5030</v>
      </c>
    </row>
    <row r="1775" spans="1:21">
      <c r="A1775" s="6" t="s">
        <v>5031</v>
      </c>
      <c r="B1775" s="6" t="s">
        <v>5032</v>
      </c>
      <c r="C1775" s="7">
        <v>1.1462089699159594</v>
      </c>
      <c r="D1775" s="7">
        <v>1.0672480095714014</v>
      </c>
      <c r="E1775" s="7">
        <v>1.035791440813429</v>
      </c>
      <c r="F1775" s="8">
        <v>1.0132748751674583</v>
      </c>
      <c r="G1775" s="8">
        <f t="shared" si="216"/>
        <v>1.1067284897436804</v>
      </c>
      <c r="H1775" s="8">
        <f t="shared" si="217"/>
        <v>1.0245331579904438</v>
      </c>
      <c r="I1775" s="8">
        <f t="shared" si="218"/>
        <v>0.9257312588272909</v>
      </c>
      <c r="J1775" s="22">
        <f t="shared" si="219"/>
        <v>-0.11133465715598501</v>
      </c>
      <c r="K1775" s="8"/>
      <c r="L1775" s="8">
        <v>0.9437082527936812</v>
      </c>
      <c r="M1775" s="8">
        <v>1.0665815288294818</v>
      </c>
      <c r="N1775" s="8">
        <v>0.8510774133148572</v>
      </c>
      <c r="O1775" s="8">
        <v>0.8651911897191048</v>
      </c>
      <c r="P1775" s="8">
        <f t="shared" si="220"/>
        <v>1.0051448908115814</v>
      </c>
      <c r="Q1775" s="8">
        <f t="shared" si="221"/>
        <v>0.858134301516981</v>
      </c>
      <c r="R1775" s="8">
        <f t="shared" si="222"/>
        <v>0.85374189269777812</v>
      </c>
      <c r="S1775" s="22">
        <f t="shared" si="223"/>
        <v>-0.22812812153763079</v>
      </c>
      <c r="T1775" s="25"/>
      <c r="U1775" s="1" t="s">
        <v>5033</v>
      </c>
    </row>
    <row r="1776" spans="1:21">
      <c r="A1776" s="6" t="s">
        <v>5034</v>
      </c>
      <c r="B1776" s="13" t="s">
        <v>5035</v>
      </c>
      <c r="C1776" s="14">
        <v>1.0369468591760607</v>
      </c>
      <c r="D1776" s="14">
        <v>0.94066741666604836</v>
      </c>
      <c r="E1776" s="14">
        <v>0.91750499674587205</v>
      </c>
      <c r="F1776" s="8">
        <v>0.93804955504280985</v>
      </c>
      <c r="G1776" s="8">
        <f t="shared" si="216"/>
        <v>0.98880713792105457</v>
      </c>
      <c r="H1776" s="8">
        <f t="shared" si="217"/>
        <v>0.927777275894341</v>
      </c>
      <c r="I1776" s="8">
        <f t="shared" si="218"/>
        <v>0.93827930676650706</v>
      </c>
      <c r="J1776" s="22">
        <f t="shared" si="219"/>
        <v>-9.1910647087781655E-2</v>
      </c>
      <c r="K1776" s="8"/>
      <c r="L1776" s="8">
        <v>0.95348761292625817</v>
      </c>
      <c r="M1776" s="8">
        <v>0.91746500772311879</v>
      </c>
      <c r="N1776" s="8">
        <v>0.92561793895294353</v>
      </c>
      <c r="O1776" s="8">
        <v>0.79781891730455712</v>
      </c>
      <c r="P1776" s="8">
        <f t="shared" si="220"/>
        <v>0.93547631032468848</v>
      </c>
      <c r="Q1776" s="8">
        <f t="shared" si="221"/>
        <v>0.86171842812875032</v>
      </c>
      <c r="R1776" s="8">
        <f t="shared" si="222"/>
        <v>0.92115473007505877</v>
      </c>
      <c r="S1776" s="22">
        <f t="shared" si="223"/>
        <v>-0.11848458291099696</v>
      </c>
      <c r="T1776" s="25"/>
      <c r="U1776" s="1" t="s">
        <v>5036</v>
      </c>
    </row>
    <row r="1777" spans="1:21">
      <c r="A1777" s="6" t="s">
        <v>5037</v>
      </c>
      <c r="B1777" s="6" t="s">
        <v>5038</v>
      </c>
      <c r="C1777" s="7">
        <v>1.0528086558680163</v>
      </c>
      <c r="D1777" s="7">
        <v>1.0177749045805236</v>
      </c>
      <c r="E1777" s="7">
        <v>1.0042527005781754</v>
      </c>
      <c r="F1777" s="8">
        <v>1.0477884184746948</v>
      </c>
      <c r="G1777" s="8">
        <f t="shared" si="216"/>
        <v>1.03529178022427</v>
      </c>
      <c r="H1777" s="8">
        <f t="shared" si="217"/>
        <v>1.0260205595264351</v>
      </c>
      <c r="I1777" s="8">
        <f t="shared" si="218"/>
        <v>0.991044823425695</v>
      </c>
      <c r="J1777" s="22">
        <f t="shared" si="219"/>
        <v>-1.2977785132954986E-2</v>
      </c>
      <c r="K1777" s="8"/>
      <c r="L1777" s="8">
        <v>0.85671639925071208</v>
      </c>
      <c r="M1777" s="8">
        <v>0.6731533764504658</v>
      </c>
      <c r="N1777" s="8">
        <v>0.79953239623963146</v>
      </c>
      <c r="O1777" s="8">
        <v>0.83576944079200266</v>
      </c>
      <c r="P1777" s="8">
        <f t="shared" si="220"/>
        <v>0.76493488785058894</v>
      </c>
      <c r="Q1777" s="8">
        <f t="shared" si="221"/>
        <v>0.81765091851581706</v>
      </c>
      <c r="R1777" s="8">
        <f t="shared" si="222"/>
        <v>1.0689157096930908</v>
      </c>
      <c r="S1777" s="22">
        <f t="shared" si="223"/>
        <v>9.6148092532406609E-2</v>
      </c>
      <c r="T1777" s="25"/>
      <c r="U1777" s="1" t="s">
        <v>5039</v>
      </c>
    </row>
    <row r="1778" spans="1:21">
      <c r="A1778" s="6" t="s">
        <v>5040</v>
      </c>
      <c r="B1778" s="6" t="s">
        <v>5041</v>
      </c>
      <c r="C1778" s="7">
        <v>0.72519344676615871</v>
      </c>
      <c r="D1778" s="7">
        <v>0.53953273594857887</v>
      </c>
      <c r="E1778" s="7">
        <v>0.35483058876203705</v>
      </c>
      <c r="F1778" s="8">
        <v>0.26615099910589901</v>
      </c>
      <c r="G1778" s="8">
        <f t="shared" si="216"/>
        <v>0.63236309135736879</v>
      </c>
      <c r="H1778" s="8">
        <f t="shared" si="217"/>
        <v>0.31049079393396806</v>
      </c>
      <c r="I1778" s="8">
        <f t="shared" si="218"/>
        <v>0.49100081610945839</v>
      </c>
      <c r="J1778" s="22">
        <f t="shared" si="219"/>
        <v>-1.0262026723920175</v>
      </c>
      <c r="K1778" s="8"/>
      <c r="L1778" s="8">
        <v>0.7374526572702389</v>
      </c>
      <c r="M1778" s="8">
        <v>0.63006683854526291</v>
      </c>
      <c r="N1778" s="8">
        <v>0.27321782207737816</v>
      </c>
      <c r="O1778" s="8">
        <v>0.3696643411509824</v>
      </c>
      <c r="P1778" s="8">
        <f t="shared" si="220"/>
        <v>0.68375974790775085</v>
      </c>
      <c r="Q1778" s="8">
        <f t="shared" si="221"/>
        <v>0.32144108161418028</v>
      </c>
      <c r="R1778" s="8">
        <f t="shared" si="222"/>
        <v>0.47010822529077473</v>
      </c>
      <c r="S1778" s="22">
        <f t="shared" si="223"/>
        <v>-1.0889351718915616</v>
      </c>
      <c r="T1778" s="25"/>
      <c r="U1778" s="1" t="s">
        <v>5042</v>
      </c>
    </row>
    <row r="1779" spans="1:21">
      <c r="A1779" s="6" t="s">
        <v>5043</v>
      </c>
      <c r="B1779" s="6" t="s">
        <v>80</v>
      </c>
      <c r="C1779" s="7">
        <v>1.0139176365100222</v>
      </c>
      <c r="D1779" s="7">
        <v>1.058926035008485</v>
      </c>
      <c r="E1779" s="7">
        <v>1.0506661713413339</v>
      </c>
      <c r="F1779" s="8">
        <v>1.0963986386887534</v>
      </c>
      <c r="G1779" s="8">
        <f t="shared" si="216"/>
        <v>1.0364218357592536</v>
      </c>
      <c r="H1779" s="8">
        <f t="shared" si="217"/>
        <v>1.0735324050150437</v>
      </c>
      <c r="I1779" s="8">
        <f t="shared" si="218"/>
        <v>1.0358064332257182</v>
      </c>
      <c r="J1779" s="22">
        <f t="shared" si="219"/>
        <v>5.0754423954075617E-2</v>
      </c>
      <c r="K1779" s="8"/>
      <c r="L1779" s="8">
        <v>0.84907071769251552</v>
      </c>
      <c r="M1779" s="8">
        <v>0.98470867500178683</v>
      </c>
      <c r="N1779" s="8">
        <v>0.88659378141300427</v>
      </c>
      <c r="O1779" s="8">
        <v>1.1025838260022749</v>
      </c>
      <c r="P1779" s="8">
        <f t="shared" si="220"/>
        <v>0.91688969634715112</v>
      </c>
      <c r="Q1779" s="8">
        <f t="shared" si="221"/>
        <v>0.99458880370763958</v>
      </c>
      <c r="R1779" s="8">
        <f t="shared" si="222"/>
        <v>1.0847420444029836</v>
      </c>
      <c r="S1779" s="22">
        <f t="shared" si="223"/>
        <v>0.1173520053365394</v>
      </c>
      <c r="T1779" s="25"/>
      <c r="U1779" s="1">
        <v>0</v>
      </c>
    </row>
    <row r="1780" spans="1:21">
      <c r="A1780" s="6" t="s">
        <v>5044</v>
      </c>
      <c r="B1780" s="6" t="s">
        <v>80</v>
      </c>
      <c r="C1780" s="7">
        <v>1.101249661533076</v>
      </c>
      <c r="D1780" s="7">
        <v>1.0549071932552754</v>
      </c>
      <c r="E1780" s="7">
        <v>1.0862002498246623</v>
      </c>
      <c r="F1780" s="8">
        <v>1.016668121059024</v>
      </c>
      <c r="G1780" s="8">
        <f t="shared" si="216"/>
        <v>1.0780784273941757</v>
      </c>
      <c r="H1780" s="8">
        <f t="shared" si="217"/>
        <v>1.0514341854418432</v>
      </c>
      <c r="I1780" s="8">
        <f t="shared" si="218"/>
        <v>0.97528543260369815</v>
      </c>
      <c r="J1780" s="22">
        <f t="shared" si="219"/>
        <v>-3.6103586858698265E-2</v>
      </c>
      <c r="K1780" s="8"/>
      <c r="L1780" s="8">
        <v>1.2991879936128554</v>
      </c>
      <c r="M1780" s="8">
        <v>1.2885910284467019</v>
      </c>
      <c r="N1780" s="8">
        <v>1.3298906721195063</v>
      </c>
      <c r="O1780" s="8">
        <v>1.5172134815512812</v>
      </c>
      <c r="P1780" s="8">
        <f t="shared" si="220"/>
        <v>1.2938895110297786</v>
      </c>
      <c r="Q1780" s="8">
        <f t="shared" si="221"/>
        <v>1.4235520768353938</v>
      </c>
      <c r="R1780" s="8">
        <f t="shared" si="222"/>
        <v>1.1002114668217842</v>
      </c>
      <c r="S1780" s="22">
        <f t="shared" si="223"/>
        <v>0.13778084448990965</v>
      </c>
      <c r="T1780" s="25"/>
      <c r="U1780" s="1">
        <v>0</v>
      </c>
    </row>
    <row r="1781" spans="1:21">
      <c r="A1781" s="6" t="s">
        <v>5045</v>
      </c>
      <c r="B1781" s="6" t="s">
        <v>5046</v>
      </c>
      <c r="C1781" s="7">
        <v>1.0545857036301856</v>
      </c>
      <c r="D1781" s="7">
        <v>1.0899525271289232</v>
      </c>
      <c r="E1781" s="7">
        <v>0.92163686633695674</v>
      </c>
      <c r="F1781" s="8">
        <v>0.98078436640868161</v>
      </c>
      <c r="G1781" s="8">
        <f t="shared" si="216"/>
        <v>1.0722691153795543</v>
      </c>
      <c r="H1781" s="8">
        <f t="shared" si="217"/>
        <v>0.95121061637281912</v>
      </c>
      <c r="I1781" s="8">
        <f t="shared" si="218"/>
        <v>0.88710063801111749</v>
      </c>
      <c r="J1781" s="22">
        <f t="shared" si="219"/>
        <v>-0.17283031310776134</v>
      </c>
      <c r="K1781" s="8"/>
      <c r="L1781" s="8">
        <v>1.246779513629636</v>
      </c>
      <c r="M1781" s="8">
        <v>1.1564646000759522</v>
      </c>
      <c r="N1781" s="8">
        <v>1.534950196570948</v>
      </c>
      <c r="O1781" s="8">
        <v>1.0276921014605604</v>
      </c>
      <c r="P1781" s="8">
        <f t="shared" si="220"/>
        <v>1.201622056852794</v>
      </c>
      <c r="Q1781" s="8">
        <f t="shared" si="221"/>
        <v>1.2813211490157541</v>
      </c>
      <c r="R1781" s="8">
        <f t="shared" si="222"/>
        <v>1.0663262560040738</v>
      </c>
      <c r="S1781" s="22">
        <f t="shared" si="223"/>
        <v>9.2648916432296863E-2</v>
      </c>
      <c r="T1781" s="25"/>
      <c r="U1781" s="1" t="s">
        <v>5047</v>
      </c>
    </row>
    <row r="1782" spans="1:21">
      <c r="A1782" s="6" t="s">
        <v>5048</v>
      </c>
      <c r="B1782" s="6" t="s">
        <v>5049</v>
      </c>
      <c r="C1782" s="7">
        <v>1.0864738384735571</v>
      </c>
      <c r="D1782" s="7">
        <v>1.0468242816262316</v>
      </c>
      <c r="E1782" s="7">
        <v>0.9812795056517446</v>
      </c>
      <c r="F1782" s="8">
        <v>1.0607157527169815</v>
      </c>
      <c r="G1782" s="8">
        <f t="shared" si="216"/>
        <v>1.0666490600498943</v>
      </c>
      <c r="H1782" s="8">
        <f t="shared" si="217"/>
        <v>1.020997629184363</v>
      </c>
      <c r="I1782" s="8">
        <f t="shared" si="218"/>
        <v>0.95720107711584546</v>
      </c>
      <c r="J1782" s="22">
        <f t="shared" si="219"/>
        <v>-6.3106074579259736E-2</v>
      </c>
      <c r="K1782" s="8"/>
      <c r="L1782" s="8">
        <v>1.0120304188108216</v>
      </c>
      <c r="M1782" s="8">
        <v>1.1572234627787836</v>
      </c>
      <c r="N1782" s="8">
        <v>0.81263788734854991</v>
      </c>
      <c r="O1782" s="8">
        <v>1.0165895546956163</v>
      </c>
      <c r="P1782" s="8">
        <f t="shared" si="220"/>
        <v>1.0846269407948026</v>
      </c>
      <c r="Q1782" s="8">
        <f t="shared" si="221"/>
        <v>0.91461372102208305</v>
      </c>
      <c r="R1782" s="8">
        <f t="shared" si="222"/>
        <v>0.84325189299821768</v>
      </c>
      <c r="S1782" s="22">
        <f t="shared" si="223"/>
        <v>-0.24596444296494993</v>
      </c>
      <c r="T1782" s="25"/>
      <c r="U1782" s="1" t="s">
        <v>5050</v>
      </c>
    </row>
    <row r="1783" spans="1:21">
      <c r="A1783" s="6" t="s">
        <v>5051</v>
      </c>
      <c r="B1783" s="6" t="s">
        <v>5052</v>
      </c>
      <c r="C1783" s="7">
        <v>1.1073442771914788</v>
      </c>
      <c r="D1783" s="7">
        <v>0.9095763129418607</v>
      </c>
      <c r="E1783" s="7">
        <v>0.97075222051967658</v>
      </c>
      <c r="F1783" s="8">
        <v>1.0261806877656123</v>
      </c>
      <c r="G1783" s="8">
        <f t="shared" si="216"/>
        <v>1.0084602950666697</v>
      </c>
      <c r="H1783" s="8">
        <f t="shared" si="217"/>
        <v>0.99846645414264446</v>
      </c>
      <c r="I1783" s="8">
        <f t="shared" si="218"/>
        <v>0.99009000059505115</v>
      </c>
      <c r="J1783" s="22">
        <f t="shared" si="219"/>
        <v>-1.4368420694607281E-2</v>
      </c>
      <c r="K1783" s="8"/>
      <c r="L1783" s="8">
        <v>1.1293382887647794</v>
      </c>
      <c r="M1783" s="8">
        <v>1.1980755716145386</v>
      </c>
      <c r="N1783" s="8">
        <v>1.0911661128864192</v>
      </c>
      <c r="O1783" s="8">
        <v>0.80871959958286599</v>
      </c>
      <c r="P1783" s="8">
        <f t="shared" si="220"/>
        <v>1.163706930189659</v>
      </c>
      <c r="Q1783" s="8">
        <f t="shared" si="221"/>
        <v>0.94994285623464259</v>
      </c>
      <c r="R1783" s="8">
        <f t="shared" si="222"/>
        <v>0.8163076386249779</v>
      </c>
      <c r="S1783" s="22">
        <f t="shared" si="223"/>
        <v>-0.29281513745021365</v>
      </c>
      <c r="T1783" s="25"/>
      <c r="U1783" s="1" t="s">
        <v>5053</v>
      </c>
    </row>
    <row r="1784" spans="1:21">
      <c r="A1784" s="6" t="s">
        <v>5054</v>
      </c>
      <c r="B1784" s="6" t="s">
        <v>5055</v>
      </c>
      <c r="C1784" s="7">
        <v>1.1489140315094839</v>
      </c>
      <c r="D1784" s="7">
        <v>0.84554621362625404</v>
      </c>
      <c r="E1784" s="7">
        <v>0.89665881642632994</v>
      </c>
      <c r="F1784" s="8">
        <v>0.89532191755831569</v>
      </c>
      <c r="G1784" s="8">
        <f t="shared" si="216"/>
        <v>0.99723012256786903</v>
      </c>
      <c r="H1784" s="8">
        <f t="shared" si="217"/>
        <v>0.89599036699232282</v>
      </c>
      <c r="I1784" s="8">
        <f t="shared" si="218"/>
        <v>0.89847904381903976</v>
      </c>
      <c r="J1784" s="22">
        <f t="shared" si="219"/>
        <v>-0.15444324026836909</v>
      </c>
      <c r="K1784" s="8"/>
      <c r="L1784" s="8">
        <v>1.0267883622836196</v>
      </c>
      <c r="M1784" s="8">
        <v>1.1092043173051767</v>
      </c>
      <c r="N1784" s="8">
        <v>1.2686017954837465</v>
      </c>
      <c r="O1784" s="8">
        <v>0.88431784982780404</v>
      </c>
      <c r="P1784" s="8">
        <f t="shared" si="220"/>
        <v>1.0679963397943981</v>
      </c>
      <c r="Q1784" s="8">
        <f t="shared" si="221"/>
        <v>1.0764598226557753</v>
      </c>
      <c r="R1784" s="8">
        <f t="shared" si="222"/>
        <v>1.0079246365797532</v>
      </c>
      <c r="S1784" s="22">
        <f t="shared" si="223"/>
        <v>1.1387771280945314E-2</v>
      </c>
      <c r="T1784" s="25"/>
      <c r="U1784" s="1" t="s">
        <v>5056</v>
      </c>
    </row>
    <row r="1785" spans="1:21">
      <c r="A1785" s="6" t="s">
        <v>5057</v>
      </c>
      <c r="B1785" s="6" t="s">
        <v>5058</v>
      </c>
      <c r="C1785" s="7">
        <v>1.1084105058487805</v>
      </c>
      <c r="D1785" s="7">
        <v>0.99593618251324301</v>
      </c>
      <c r="E1785" s="7">
        <v>0.91630495809941792</v>
      </c>
      <c r="F1785" s="8">
        <v>1.0415327939134997</v>
      </c>
      <c r="G1785" s="8">
        <f t="shared" si="216"/>
        <v>1.0521733441810117</v>
      </c>
      <c r="H1785" s="8">
        <f t="shared" si="217"/>
        <v>0.97891887600645888</v>
      </c>
      <c r="I1785" s="8">
        <f t="shared" si="218"/>
        <v>0.93037794715131039</v>
      </c>
      <c r="J1785" s="22">
        <f t="shared" si="219"/>
        <v>-0.10411119402690013</v>
      </c>
      <c r="K1785" s="8"/>
      <c r="L1785" s="8">
        <v>0.981936660584664</v>
      </c>
      <c r="M1785" s="8">
        <v>1.0350044085838879</v>
      </c>
      <c r="N1785" s="8">
        <v>1.1883123927049448</v>
      </c>
      <c r="O1785" s="8">
        <v>0.89345221784805362</v>
      </c>
      <c r="P1785" s="8">
        <f t="shared" si="220"/>
        <v>1.0084705345842759</v>
      </c>
      <c r="Q1785" s="8">
        <f t="shared" si="221"/>
        <v>1.0408823052764993</v>
      </c>
      <c r="R1785" s="8">
        <f t="shared" si="222"/>
        <v>1.0321395316776256</v>
      </c>
      <c r="S1785" s="22">
        <f t="shared" si="223"/>
        <v>4.5638017323257202E-2</v>
      </c>
      <c r="T1785" s="25"/>
      <c r="U1785" s="1" t="s">
        <v>5059</v>
      </c>
    </row>
    <row r="1786" spans="1:21">
      <c r="A1786" s="6" t="s">
        <v>5060</v>
      </c>
      <c r="B1786" s="6" t="s">
        <v>5061</v>
      </c>
      <c r="C1786" s="7">
        <v>1.0313458678960381</v>
      </c>
      <c r="D1786" s="7">
        <v>1.1653219629025411</v>
      </c>
      <c r="E1786" s="7">
        <v>0.9149252729490035</v>
      </c>
      <c r="F1786" s="8">
        <v>0.89653430351111607</v>
      </c>
      <c r="G1786" s="8">
        <f t="shared" si="216"/>
        <v>1.0983339153992895</v>
      </c>
      <c r="H1786" s="8">
        <f t="shared" si="217"/>
        <v>0.90572978823005978</v>
      </c>
      <c r="I1786" s="8">
        <f t="shared" si="218"/>
        <v>0.8246397343569144</v>
      </c>
      <c r="J1786" s="22">
        <f t="shared" si="219"/>
        <v>-0.27816411731577367</v>
      </c>
      <c r="K1786" s="8"/>
      <c r="L1786" s="8">
        <v>0.98367027442634813</v>
      </c>
      <c r="M1786" s="8">
        <v>1.0436891706274023</v>
      </c>
      <c r="N1786" s="8">
        <v>0.87665504466125943</v>
      </c>
      <c r="O1786" s="8">
        <v>0.87836284747206128</v>
      </c>
      <c r="P1786" s="8">
        <f t="shared" si="220"/>
        <v>1.0136797225268752</v>
      </c>
      <c r="Q1786" s="8">
        <f t="shared" si="221"/>
        <v>0.8775089460666603</v>
      </c>
      <c r="R1786" s="8">
        <f t="shared" si="222"/>
        <v>0.86566686357228118</v>
      </c>
      <c r="S1786" s="22">
        <f t="shared" si="223"/>
        <v>-0.20811615854766841</v>
      </c>
      <c r="T1786" s="25"/>
      <c r="U1786" s="1" t="s">
        <v>5062</v>
      </c>
    </row>
    <row r="1787" spans="1:21">
      <c r="A1787" s="6" t="s">
        <v>5063</v>
      </c>
      <c r="B1787" s="13" t="s">
        <v>5064</v>
      </c>
      <c r="C1787" s="14">
        <v>1.1369814848694357</v>
      </c>
      <c r="D1787" s="14">
        <v>1.1408018592796625</v>
      </c>
      <c r="E1787" s="14">
        <v>1.481005778647924</v>
      </c>
      <c r="F1787" s="8">
        <v>0.90804120924065423</v>
      </c>
      <c r="G1787" s="8">
        <f t="shared" si="216"/>
        <v>1.138891672074549</v>
      </c>
      <c r="H1787" s="8">
        <f t="shared" si="217"/>
        <v>1.1945234939442892</v>
      </c>
      <c r="I1787" s="8">
        <f t="shared" si="218"/>
        <v>1.0488473339772553</v>
      </c>
      <c r="J1787" s="22">
        <f t="shared" si="219"/>
        <v>6.8804700276915237E-2</v>
      </c>
      <c r="K1787" s="8"/>
      <c r="L1787" s="8">
        <v>1.2906088276783674</v>
      </c>
      <c r="M1787" s="8">
        <v>1.2022071574410649</v>
      </c>
      <c r="N1787" s="8">
        <v>0.87865253587116887</v>
      </c>
      <c r="O1787" s="8">
        <v>0.75931326647886432</v>
      </c>
      <c r="P1787" s="8">
        <f t="shared" si="220"/>
        <v>1.2464079925597162</v>
      </c>
      <c r="Q1787" s="8">
        <f t="shared" si="221"/>
        <v>0.8189829011750166</v>
      </c>
      <c r="R1787" s="8">
        <f t="shared" si="222"/>
        <v>0.65707449411736552</v>
      </c>
      <c r="S1787" s="22">
        <f t="shared" si="223"/>
        <v>-0.60587115325715168</v>
      </c>
      <c r="T1787" s="25"/>
      <c r="U1787" s="1" t="s">
        <v>5065</v>
      </c>
    </row>
    <row r="1788" spans="1:21">
      <c r="A1788" s="6" t="s">
        <v>5066</v>
      </c>
      <c r="B1788" s="6" t="s">
        <v>5067</v>
      </c>
      <c r="C1788" s="7">
        <v>1.0070727117964811</v>
      </c>
      <c r="D1788" s="7">
        <v>0.9776510986521767</v>
      </c>
      <c r="E1788" s="7">
        <v>1.022569458121958</v>
      </c>
      <c r="F1788" s="8">
        <v>1.0165031217873413</v>
      </c>
      <c r="G1788" s="8">
        <f t="shared" si="216"/>
        <v>0.99236190522432888</v>
      </c>
      <c r="H1788" s="8">
        <f t="shared" si="217"/>
        <v>1.0195362899546496</v>
      </c>
      <c r="I1788" s="8">
        <f t="shared" si="218"/>
        <v>1.0273835428257172</v>
      </c>
      <c r="J1788" s="22">
        <f t="shared" si="219"/>
        <v>3.8974869128553899E-2</v>
      </c>
      <c r="K1788" s="8"/>
      <c r="L1788" s="8">
        <v>1.1132467961829935</v>
      </c>
      <c r="M1788" s="8">
        <v>1.1097945438518233</v>
      </c>
      <c r="N1788" s="8">
        <v>0.92420507931666618</v>
      </c>
      <c r="O1788" s="8">
        <v>0.88855700404714644</v>
      </c>
      <c r="P1788" s="8">
        <f t="shared" si="220"/>
        <v>1.1115206700174083</v>
      </c>
      <c r="Q1788" s="8">
        <f t="shared" si="221"/>
        <v>0.90638104168190625</v>
      </c>
      <c r="R1788" s="8">
        <f t="shared" si="222"/>
        <v>0.81544236299961093</v>
      </c>
      <c r="S1788" s="22">
        <f t="shared" si="223"/>
        <v>-0.29434518674634669</v>
      </c>
      <c r="T1788" s="25"/>
      <c r="U1788" s="1" t="s">
        <v>5068</v>
      </c>
    </row>
    <row r="1789" spans="1:21">
      <c r="A1789" s="6" t="s">
        <v>5069</v>
      </c>
      <c r="B1789" s="6" t="s">
        <v>5070</v>
      </c>
      <c r="C1789" s="7">
        <v>0.96390361449252382</v>
      </c>
      <c r="D1789" s="7">
        <v>0.96736493133528001</v>
      </c>
      <c r="E1789" s="7">
        <v>1.0022047304330293</v>
      </c>
      <c r="F1789" s="8">
        <v>0.94914037565245191</v>
      </c>
      <c r="G1789" s="8">
        <f t="shared" si="216"/>
        <v>0.96563427291390191</v>
      </c>
      <c r="H1789" s="8">
        <f t="shared" si="217"/>
        <v>0.97567255304274059</v>
      </c>
      <c r="I1789" s="8">
        <f t="shared" si="218"/>
        <v>1.0103955300784293</v>
      </c>
      <c r="J1789" s="22">
        <f t="shared" si="219"/>
        <v>1.4920161866816682E-2</v>
      </c>
      <c r="K1789" s="8"/>
      <c r="L1789" s="8">
        <v>1.1317386771609572</v>
      </c>
      <c r="M1789" s="8">
        <v>1.1546517613969662</v>
      </c>
      <c r="N1789" s="8">
        <v>0.94500821947840663</v>
      </c>
      <c r="O1789" s="8">
        <v>0.84328889291916942</v>
      </c>
      <c r="P1789" s="8">
        <f t="shared" si="220"/>
        <v>1.1431952192789616</v>
      </c>
      <c r="Q1789" s="8">
        <f t="shared" si="221"/>
        <v>0.89414855619878808</v>
      </c>
      <c r="R1789" s="8">
        <f t="shared" si="222"/>
        <v>0.78214861391980561</v>
      </c>
      <c r="S1789" s="22">
        <f t="shared" si="223"/>
        <v>-0.35448533876827981</v>
      </c>
      <c r="T1789" s="25"/>
      <c r="U1789" s="1" t="s">
        <v>5071</v>
      </c>
    </row>
    <row r="1790" spans="1:21">
      <c r="A1790" s="6" t="s">
        <v>5072</v>
      </c>
      <c r="B1790" s="6" t="s">
        <v>5073</v>
      </c>
      <c r="C1790" s="7">
        <v>0.97635611214446572</v>
      </c>
      <c r="D1790" s="7">
        <v>0.97558352733219744</v>
      </c>
      <c r="E1790" s="7">
        <v>0.95701285589680019</v>
      </c>
      <c r="F1790" s="8">
        <v>0.97948589387935092</v>
      </c>
      <c r="G1790" s="8">
        <f t="shared" si="216"/>
        <v>0.97596981973833152</v>
      </c>
      <c r="H1790" s="8">
        <f t="shared" si="217"/>
        <v>0.96824937488807561</v>
      </c>
      <c r="I1790" s="8">
        <f t="shared" si="218"/>
        <v>0.99208946353246263</v>
      </c>
      <c r="J1790" s="22">
        <f t="shared" si="219"/>
        <v>-1.1457870671433879E-2</v>
      </c>
      <c r="K1790" s="8"/>
      <c r="L1790" s="8">
        <v>1.1182253795232144</v>
      </c>
      <c r="M1790" s="8">
        <v>1.0792292405433379</v>
      </c>
      <c r="N1790" s="8">
        <v>1.3320343212228238</v>
      </c>
      <c r="O1790" s="8">
        <v>1.0422263444983055</v>
      </c>
      <c r="P1790" s="8">
        <f t="shared" si="220"/>
        <v>1.0987273100332762</v>
      </c>
      <c r="Q1790" s="8">
        <f t="shared" si="221"/>
        <v>1.1871303328605647</v>
      </c>
      <c r="R1790" s="8">
        <f t="shared" si="222"/>
        <v>1.0804594752674448</v>
      </c>
      <c r="S1790" s="22">
        <f t="shared" si="223"/>
        <v>0.11164496213069594</v>
      </c>
      <c r="T1790" s="25"/>
      <c r="U1790" s="1" t="s">
        <v>5074</v>
      </c>
    </row>
    <row r="1791" spans="1:21">
      <c r="A1791" s="6" t="s">
        <v>5075</v>
      </c>
      <c r="B1791" s="15" t="s">
        <v>5076</v>
      </c>
      <c r="C1791" s="16">
        <v>0.9611129913400801</v>
      </c>
      <c r="D1791" s="16">
        <v>0.95941124291373503</v>
      </c>
      <c r="E1791" s="16">
        <v>0.95517327569624766</v>
      </c>
      <c r="F1791" s="8">
        <v>1.0552564289886908</v>
      </c>
      <c r="G1791" s="8">
        <f t="shared" si="216"/>
        <v>0.96026211712690757</v>
      </c>
      <c r="H1791" s="8">
        <f t="shared" si="217"/>
        <v>1.0052148523424691</v>
      </c>
      <c r="I1791" s="8">
        <f t="shared" si="218"/>
        <v>1.0468129840944467</v>
      </c>
      <c r="J1791" s="22">
        <f t="shared" si="219"/>
        <v>6.6003724008039819E-2</v>
      </c>
      <c r="K1791" s="8"/>
      <c r="L1791" s="8">
        <v>1.0039846725199286</v>
      </c>
      <c r="M1791" s="8">
        <v>1.0099619393904529</v>
      </c>
      <c r="N1791" s="8">
        <v>1.0805940252632396</v>
      </c>
      <c r="O1791" s="8">
        <v>0.93523816658157077</v>
      </c>
      <c r="P1791" s="8">
        <f t="shared" si="220"/>
        <v>1.0069733059551909</v>
      </c>
      <c r="Q1791" s="8">
        <f t="shared" si="221"/>
        <v>1.0079160959224052</v>
      </c>
      <c r="R1791" s="8">
        <f t="shared" si="222"/>
        <v>1.0009362611318877</v>
      </c>
      <c r="S1791" s="22">
        <f t="shared" si="223"/>
        <v>1.3501073640046037E-3</v>
      </c>
      <c r="T1791" s="25"/>
      <c r="U1791" s="1" t="s">
        <v>5077</v>
      </c>
    </row>
    <row r="1792" spans="1:21">
      <c r="A1792" s="6" t="s">
        <v>5078</v>
      </c>
      <c r="B1792" s="6" t="s">
        <v>5079</v>
      </c>
      <c r="C1792" s="7">
        <v>0.97889663227853008</v>
      </c>
      <c r="D1792" s="7">
        <v>0.89671214263536492</v>
      </c>
      <c r="E1792" s="7">
        <v>0.79411659196584539</v>
      </c>
      <c r="F1792" s="8">
        <v>0.9023666690710378</v>
      </c>
      <c r="G1792" s="8">
        <f t="shared" si="216"/>
        <v>0.9378043874569475</v>
      </c>
      <c r="H1792" s="8">
        <f t="shared" si="217"/>
        <v>0.84824163051844159</v>
      </c>
      <c r="I1792" s="8">
        <f t="shared" si="218"/>
        <v>0.90449740037858639</v>
      </c>
      <c r="J1792" s="22">
        <f t="shared" si="219"/>
        <v>-0.14481173849337367</v>
      </c>
      <c r="K1792" s="8"/>
      <c r="L1792" s="8">
        <v>1.2444235768704242</v>
      </c>
      <c r="M1792" s="8">
        <v>1.1404441652384012</v>
      </c>
      <c r="N1792" s="8">
        <v>1.3283803738876236</v>
      </c>
      <c r="O1792" s="8">
        <v>0.82204265570079893</v>
      </c>
      <c r="P1792" s="8">
        <f t="shared" si="220"/>
        <v>1.1924338710544127</v>
      </c>
      <c r="Q1792" s="8">
        <f t="shared" si="221"/>
        <v>1.0752115147942112</v>
      </c>
      <c r="R1792" s="8">
        <f t="shared" si="222"/>
        <v>0.90169487876376131</v>
      </c>
      <c r="S1792" s="22">
        <f t="shared" si="223"/>
        <v>-0.14928876713209593</v>
      </c>
      <c r="T1792" s="25"/>
      <c r="U1792" s="1" t="s">
        <v>5080</v>
      </c>
    </row>
    <row r="1793" spans="1:21">
      <c r="A1793" s="6" t="s">
        <v>5081</v>
      </c>
      <c r="B1793" s="6" t="s">
        <v>5082</v>
      </c>
      <c r="C1793" s="7">
        <v>0.88178426290516665</v>
      </c>
      <c r="D1793" s="7">
        <v>1.0110229919887164</v>
      </c>
      <c r="E1793" s="7">
        <v>0.8437852573807626</v>
      </c>
      <c r="F1793" s="8">
        <v>0.91714486470872392</v>
      </c>
      <c r="G1793" s="8">
        <f t="shared" si="216"/>
        <v>0.94640362744694151</v>
      </c>
      <c r="H1793" s="8">
        <f t="shared" si="217"/>
        <v>0.88046506104474331</v>
      </c>
      <c r="I1793" s="8">
        <f t="shared" si="218"/>
        <v>0.93032722562562775</v>
      </c>
      <c r="J1793" s="22">
        <f t="shared" si="219"/>
        <v>-0.10418984774878727</v>
      </c>
      <c r="K1793" s="8"/>
      <c r="L1793" s="8">
        <v>1.0444801137961905</v>
      </c>
      <c r="M1793" s="8">
        <v>1.1135888573659802</v>
      </c>
      <c r="N1793" s="8">
        <v>0.9346310090464377</v>
      </c>
      <c r="O1793" s="8">
        <v>1.0663996167728886</v>
      </c>
      <c r="P1793" s="8">
        <f t="shared" si="220"/>
        <v>1.0790344855810854</v>
      </c>
      <c r="Q1793" s="8">
        <f t="shared" si="221"/>
        <v>1.0005153129096631</v>
      </c>
      <c r="R1793" s="8">
        <f t="shared" si="222"/>
        <v>0.92723200813258733</v>
      </c>
      <c r="S1793" s="22">
        <f t="shared" si="223"/>
        <v>-0.10899772572038403</v>
      </c>
      <c r="T1793" s="25"/>
      <c r="U1793" s="1" t="s">
        <v>5083</v>
      </c>
    </row>
    <row r="1794" spans="1:21">
      <c r="A1794" s="6" t="s">
        <v>5084</v>
      </c>
      <c r="B1794" s="6" t="s">
        <v>5085</v>
      </c>
      <c r="C1794" s="7">
        <v>1.0047888763391746</v>
      </c>
      <c r="D1794" s="7">
        <v>0.92504433087945526</v>
      </c>
      <c r="E1794" s="7">
        <v>0.89969124941317824</v>
      </c>
      <c r="F1794" s="8">
        <v>0.88095263315914818</v>
      </c>
      <c r="G1794" s="8">
        <f t="shared" si="216"/>
        <v>0.96491660360931486</v>
      </c>
      <c r="H1794" s="8">
        <f t="shared" si="217"/>
        <v>0.89032194128616315</v>
      </c>
      <c r="I1794" s="8">
        <f t="shared" si="218"/>
        <v>0.92269315084420045</v>
      </c>
      <c r="J1794" s="22">
        <f t="shared" si="219"/>
        <v>-0.1160771472950391</v>
      </c>
      <c r="K1794" s="8"/>
      <c r="L1794" s="8">
        <v>1.041457402482485</v>
      </c>
      <c r="M1794" s="8">
        <v>1.1317594031948868</v>
      </c>
      <c r="N1794" s="8">
        <v>1.2584194622429883</v>
      </c>
      <c r="O1794" s="8">
        <v>0.95865444703127123</v>
      </c>
      <c r="P1794" s="8">
        <f t="shared" si="220"/>
        <v>1.086608402838686</v>
      </c>
      <c r="Q1794" s="8">
        <f t="shared" si="221"/>
        <v>1.1085369546371298</v>
      </c>
      <c r="R1794" s="8">
        <f t="shared" si="222"/>
        <v>1.0201807309249193</v>
      </c>
      <c r="S1794" s="22">
        <f t="shared" si="223"/>
        <v>2.8824756620287089E-2</v>
      </c>
      <c r="T1794" s="25"/>
      <c r="U1794" s="1" t="s">
        <v>5086</v>
      </c>
    </row>
    <row r="1795" spans="1:21">
      <c r="A1795" s="6" t="s">
        <v>5087</v>
      </c>
      <c r="B1795" s="6" t="s">
        <v>5088</v>
      </c>
      <c r="C1795" s="7">
        <v>0.9293828162977904</v>
      </c>
      <c r="D1795" s="7">
        <v>0.91585009966592268</v>
      </c>
      <c r="E1795" s="7">
        <v>0.9833705909578413</v>
      </c>
      <c r="F1795" s="8">
        <v>0.90120450028788002</v>
      </c>
      <c r="G1795" s="8">
        <f t="shared" si="216"/>
        <v>0.92261645798185654</v>
      </c>
      <c r="H1795" s="8">
        <f t="shared" si="217"/>
        <v>0.94228754562286066</v>
      </c>
      <c r="I1795" s="8">
        <f t="shared" si="218"/>
        <v>1.0213209806424144</v>
      </c>
      <c r="J1795" s="22">
        <f t="shared" si="219"/>
        <v>3.0436347513937909E-2</v>
      </c>
      <c r="K1795" s="8"/>
      <c r="L1795" s="8">
        <v>1.0437244359677642</v>
      </c>
      <c r="M1795" s="8">
        <v>1.1318437212729791</v>
      </c>
      <c r="N1795" s="8">
        <v>0.84016429060705888</v>
      </c>
      <c r="O1795" s="8">
        <v>1.1240823938289395</v>
      </c>
      <c r="P1795" s="8">
        <f t="shared" si="220"/>
        <v>1.0877840786203716</v>
      </c>
      <c r="Q1795" s="8">
        <f t="shared" si="221"/>
        <v>0.98212334221799913</v>
      </c>
      <c r="R1795" s="8">
        <f t="shared" si="222"/>
        <v>0.9028660756495156</v>
      </c>
      <c r="S1795" s="22">
        <f t="shared" si="223"/>
        <v>-0.14741608982286281</v>
      </c>
      <c r="T1795" s="25"/>
      <c r="U1795" s="1" t="s">
        <v>5089</v>
      </c>
    </row>
    <row r="1796" spans="1:21">
      <c r="A1796" s="6" t="s">
        <v>5090</v>
      </c>
      <c r="B1796" s="13" t="s">
        <v>5091</v>
      </c>
      <c r="C1796" s="14">
        <v>1.0388357951306628</v>
      </c>
      <c r="D1796" s="14">
        <v>1.0015961590016862</v>
      </c>
      <c r="E1796" s="14">
        <v>0.91575164686722044</v>
      </c>
      <c r="F1796" s="8">
        <v>0.95155079979529777</v>
      </c>
      <c r="G1796" s="8">
        <f t="shared" si="216"/>
        <v>1.0202159770661745</v>
      </c>
      <c r="H1796" s="8">
        <f t="shared" si="217"/>
        <v>0.93365122333125905</v>
      </c>
      <c r="I1796" s="8">
        <f t="shared" si="218"/>
        <v>0.91515056058634869</v>
      </c>
      <c r="J1796" s="22">
        <f t="shared" si="219"/>
        <v>-0.1279189797504042</v>
      </c>
      <c r="K1796" s="8"/>
      <c r="L1796" s="8">
        <v>0.97522446340275892</v>
      </c>
      <c r="M1796" s="8">
        <v>1.0601733548944614</v>
      </c>
      <c r="N1796" s="8">
        <v>0.95246227204221523</v>
      </c>
      <c r="O1796" s="8">
        <v>0.93185693643042866</v>
      </c>
      <c r="P1796" s="8">
        <f t="shared" si="220"/>
        <v>1.0176989091486102</v>
      </c>
      <c r="Q1796" s="8">
        <f t="shared" si="221"/>
        <v>0.94215960423632195</v>
      </c>
      <c r="R1796" s="8">
        <f t="shared" si="222"/>
        <v>0.92577440711272541</v>
      </c>
      <c r="S1796" s="22">
        <f t="shared" si="223"/>
        <v>-0.11126741478284445</v>
      </c>
      <c r="T1796" s="25"/>
      <c r="U1796" s="1" t="s">
        <v>5092</v>
      </c>
    </row>
    <row r="1797" spans="1:21">
      <c r="A1797" s="6" t="s">
        <v>5093</v>
      </c>
      <c r="B1797" s="6" t="s">
        <v>5094</v>
      </c>
      <c r="C1797" s="7">
        <v>0.99214551059425893</v>
      </c>
      <c r="D1797" s="7">
        <v>0.99277667508989975</v>
      </c>
      <c r="E1797" s="7">
        <v>0.96885515343785689</v>
      </c>
      <c r="F1797" s="8">
        <v>0.8946403988274515</v>
      </c>
      <c r="G1797" s="8">
        <f t="shared" si="216"/>
        <v>0.9924610928420794</v>
      </c>
      <c r="H1797" s="8">
        <f t="shared" si="217"/>
        <v>0.93174777613265425</v>
      </c>
      <c r="I1797" s="8">
        <f t="shared" si="218"/>
        <v>0.9388254943722153</v>
      </c>
      <c r="J1797" s="22">
        <f t="shared" si="219"/>
        <v>-9.1071075240849522E-2</v>
      </c>
      <c r="K1797" s="8"/>
      <c r="L1797" s="8">
        <v>1.0940881406505358</v>
      </c>
      <c r="M1797" s="8">
        <v>0.83323124770883739</v>
      </c>
      <c r="N1797" s="8">
        <v>0.88976053577017788</v>
      </c>
      <c r="O1797" s="8">
        <v>1.1484575305901579</v>
      </c>
      <c r="P1797" s="8">
        <f t="shared" si="220"/>
        <v>0.96365969417968667</v>
      </c>
      <c r="Q1797" s="8">
        <f t="shared" si="221"/>
        <v>1.0191090331801678</v>
      </c>
      <c r="R1797" s="8">
        <f t="shared" si="222"/>
        <v>1.0575403737806863</v>
      </c>
      <c r="S1797" s="22">
        <f t="shared" si="223"/>
        <v>8.0712742249540281E-2</v>
      </c>
      <c r="T1797" s="25"/>
      <c r="U1797" s="1" t="s">
        <v>5095</v>
      </c>
    </row>
    <row r="1798" spans="1:21">
      <c r="A1798" s="6" t="s">
        <v>5096</v>
      </c>
      <c r="B1798" s="13" t="s">
        <v>5097</v>
      </c>
      <c r="C1798" s="14">
        <v>0.98823600551748647</v>
      </c>
      <c r="D1798" s="14">
        <v>1.0584608314614898</v>
      </c>
      <c r="E1798" s="14">
        <v>0.91415638591205384</v>
      </c>
      <c r="F1798" s="8">
        <v>0.9187805096627979</v>
      </c>
      <c r="G1798" s="8">
        <f t="shared" ref="G1798:G1861" si="224">AVERAGE(C1798:D1798)</f>
        <v>1.0233484184894881</v>
      </c>
      <c r="H1798" s="8">
        <f t="shared" ref="H1798:H1861" si="225">AVERAGE(E1798:F1798)</f>
        <v>0.91646844778742587</v>
      </c>
      <c r="I1798" s="8">
        <f t="shared" ref="I1798:I1861" si="226">H1798/G1798</f>
        <v>0.89555857147869322</v>
      </c>
      <c r="J1798" s="22">
        <f t="shared" ref="J1798:J1861" si="227">LOG(I1798,2)</f>
        <v>-0.15914030419648262</v>
      </c>
      <c r="K1798" s="8"/>
      <c r="L1798" s="8">
        <v>1.0720401287152712</v>
      </c>
      <c r="M1798" s="8">
        <v>1.0557888148336578</v>
      </c>
      <c r="N1798" s="8">
        <v>0.87407292187771779</v>
      </c>
      <c r="O1798" s="8">
        <v>0.76814483776916087</v>
      </c>
      <c r="P1798" s="8">
        <f t="shared" ref="P1798:P1861" si="228">AVERAGE(L1798:M1798)</f>
        <v>1.0639144717744644</v>
      </c>
      <c r="Q1798" s="8">
        <f t="shared" ref="Q1798:Q1861" si="229">AVERAGE(N1798:O1798)</f>
        <v>0.82110887982343939</v>
      </c>
      <c r="R1798" s="8">
        <f t="shared" ref="R1798:R1861" si="230">Q1798/P1798</f>
        <v>0.77178091059701592</v>
      </c>
      <c r="S1798" s="22">
        <f t="shared" ref="S1798:S1861" si="231">LOG(R1798,2)</f>
        <v>-0.373736734511186</v>
      </c>
      <c r="T1798" s="25"/>
      <c r="U1798" s="1" t="s">
        <v>5098</v>
      </c>
    </row>
    <row r="1799" spans="1:21">
      <c r="A1799" s="6" t="s">
        <v>5099</v>
      </c>
      <c r="B1799" s="6" t="s">
        <v>5100</v>
      </c>
      <c r="C1799" s="7">
        <v>1.0130159493121806</v>
      </c>
      <c r="D1799" s="7">
        <v>0.98763359143145135</v>
      </c>
      <c r="E1799" s="7">
        <v>1.0592892035314236</v>
      </c>
      <c r="F1799" s="8">
        <v>1.0281750267885621</v>
      </c>
      <c r="G1799" s="8">
        <f t="shared" si="224"/>
        <v>1.0003247703718161</v>
      </c>
      <c r="H1799" s="8">
        <f t="shared" si="225"/>
        <v>1.043732115159993</v>
      </c>
      <c r="I1799" s="8">
        <f t="shared" si="226"/>
        <v>1.0433932519456082</v>
      </c>
      <c r="J1799" s="22">
        <f t="shared" si="227"/>
        <v>6.1283008004757382E-2</v>
      </c>
      <c r="K1799" s="8"/>
      <c r="L1799" s="8">
        <v>1.0418574672151812</v>
      </c>
      <c r="M1799" s="8">
        <v>1.0192369279806139</v>
      </c>
      <c r="N1799" s="8">
        <v>0.76771869477448729</v>
      </c>
      <c r="O1799" s="8">
        <v>1.017952139980405</v>
      </c>
      <c r="P1799" s="8">
        <f t="shared" si="228"/>
        <v>1.0305471975978975</v>
      </c>
      <c r="Q1799" s="8">
        <f t="shared" si="229"/>
        <v>0.89283541737744621</v>
      </c>
      <c r="R1799" s="8">
        <f t="shared" si="230"/>
        <v>0.86637023462734786</v>
      </c>
      <c r="S1799" s="22">
        <f t="shared" si="231"/>
        <v>-0.20694441691478294</v>
      </c>
      <c r="T1799" s="25"/>
      <c r="U1799" s="1" t="s">
        <v>5101</v>
      </c>
    </row>
    <row r="1800" spans="1:21">
      <c r="A1800" s="6" t="s">
        <v>5102</v>
      </c>
      <c r="B1800" s="13" t="s">
        <v>5103</v>
      </c>
      <c r="C1800" s="14">
        <v>1.085789346002203</v>
      </c>
      <c r="D1800" s="14">
        <v>1.0004589947756974</v>
      </c>
      <c r="E1800" s="14">
        <v>0.99279843948567281</v>
      </c>
      <c r="F1800" s="8">
        <v>1.1443273401719478</v>
      </c>
      <c r="G1800" s="8">
        <f t="shared" si="224"/>
        <v>1.0431241703889502</v>
      </c>
      <c r="H1800" s="8">
        <f t="shared" si="225"/>
        <v>1.0685628898288102</v>
      </c>
      <c r="I1800" s="8">
        <f t="shared" si="226"/>
        <v>1.0243870482172555</v>
      </c>
      <c r="J1800" s="22">
        <f t="shared" si="227"/>
        <v>3.4760917525898667E-2</v>
      </c>
      <c r="K1800" s="8"/>
      <c r="L1800" s="8">
        <v>0.92926147077964694</v>
      </c>
      <c r="M1800" s="8">
        <v>0.71598696012139174</v>
      </c>
      <c r="N1800" s="8">
        <v>0.77419836138224252</v>
      </c>
      <c r="O1800" s="8">
        <v>0.94543232315665593</v>
      </c>
      <c r="P1800" s="8">
        <f t="shared" si="228"/>
        <v>0.82262421545051934</v>
      </c>
      <c r="Q1800" s="8">
        <f t="shared" si="229"/>
        <v>0.85981534226944922</v>
      </c>
      <c r="R1800" s="8">
        <f t="shared" si="230"/>
        <v>1.0452103477145536</v>
      </c>
      <c r="S1800" s="22">
        <f t="shared" si="231"/>
        <v>6.3793312704529689E-2</v>
      </c>
      <c r="T1800" s="25"/>
      <c r="U1800" s="1" t="s">
        <v>5104</v>
      </c>
    </row>
    <row r="1801" spans="1:21">
      <c r="A1801" s="6" t="s">
        <v>5105</v>
      </c>
      <c r="B1801" s="6" t="s">
        <v>5106</v>
      </c>
      <c r="C1801" s="7">
        <v>1.2683908760526668</v>
      </c>
      <c r="D1801" s="7">
        <v>0.97065366196612202</v>
      </c>
      <c r="E1801" s="7">
        <v>1.0757448232941784</v>
      </c>
      <c r="F1801" s="8">
        <v>1.0574372889274559</v>
      </c>
      <c r="G1801" s="8">
        <f t="shared" si="224"/>
        <v>1.1195222690093944</v>
      </c>
      <c r="H1801" s="8">
        <f t="shared" si="225"/>
        <v>1.0665910561108172</v>
      </c>
      <c r="I1801" s="8">
        <f t="shared" si="226"/>
        <v>0.95271982133467226</v>
      </c>
      <c r="J1801" s="22">
        <f t="shared" si="227"/>
        <v>-6.9876090407119992E-2</v>
      </c>
      <c r="K1801" s="8"/>
      <c r="L1801" s="8">
        <v>0.98522608172016723</v>
      </c>
      <c r="M1801" s="8">
        <v>1.0277108948288975</v>
      </c>
      <c r="N1801" s="8">
        <v>0.88259879899318527</v>
      </c>
      <c r="O1801" s="8">
        <v>0.76920462632399644</v>
      </c>
      <c r="P1801" s="8">
        <f t="shared" si="228"/>
        <v>1.0064684882745323</v>
      </c>
      <c r="Q1801" s="8">
        <f t="shared" si="229"/>
        <v>0.8259017126585908</v>
      </c>
      <c r="R1801" s="8">
        <f t="shared" si="230"/>
        <v>0.82059371185529983</v>
      </c>
      <c r="S1801" s="22">
        <f t="shared" si="231"/>
        <v>-0.28525999587252948</v>
      </c>
      <c r="T1801" s="25"/>
      <c r="U1801" s="1" t="s">
        <v>5107</v>
      </c>
    </row>
    <row r="1802" spans="1:21">
      <c r="A1802" s="6" t="s">
        <v>5108</v>
      </c>
      <c r="B1802" s="13" t="s">
        <v>5109</v>
      </c>
      <c r="C1802" s="14">
        <v>1.0085864932235142</v>
      </c>
      <c r="D1802" s="14">
        <v>1.0140468150441859</v>
      </c>
      <c r="E1802" s="14">
        <v>1.0702691978534713</v>
      </c>
      <c r="F1802" s="8">
        <v>0.96811529189598566</v>
      </c>
      <c r="G1802" s="8">
        <f t="shared" si="224"/>
        <v>1.0113166541338501</v>
      </c>
      <c r="H1802" s="8">
        <f t="shared" si="225"/>
        <v>1.0191922448747284</v>
      </c>
      <c r="I1802" s="8">
        <f t="shared" si="226"/>
        <v>1.0077874627187104</v>
      </c>
      <c r="J1802" s="22">
        <f t="shared" si="227"/>
        <v>1.1191413825492909E-2</v>
      </c>
      <c r="K1802" s="8"/>
      <c r="L1802" s="8">
        <v>0.85982801383835028</v>
      </c>
      <c r="M1802" s="8">
        <v>0.89183231198303714</v>
      </c>
      <c r="N1802" s="8">
        <v>0.79607332609564174</v>
      </c>
      <c r="O1802" s="8">
        <v>0.99852268314175263</v>
      </c>
      <c r="P1802" s="8">
        <f t="shared" si="228"/>
        <v>0.87583016291069371</v>
      </c>
      <c r="Q1802" s="8">
        <f t="shared" si="229"/>
        <v>0.89729800461869713</v>
      </c>
      <c r="R1802" s="8">
        <f t="shared" si="230"/>
        <v>1.0245114208406092</v>
      </c>
      <c r="S1802" s="22">
        <f t="shared" si="231"/>
        <v>3.4936067021947327E-2</v>
      </c>
      <c r="T1802" s="25"/>
      <c r="U1802" s="1" t="s">
        <v>5110</v>
      </c>
    </row>
    <row r="1803" spans="1:21">
      <c r="A1803" s="6" t="s">
        <v>5111</v>
      </c>
      <c r="B1803" s="6" t="s">
        <v>80</v>
      </c>
      <c r="C1803" s="7">
        <v>1.0021957029380832</v>
      </c>
      <c r="D1803" s="7">
        <v>0.92841705659517137</v>
      </c>
      <c r="E1803" s="7">
        <v>1.0293888394122872</v>
      </c>
      <c r="F1803" s="8">
        <v>1.0860610756237508</v>
      </c>
      <c r="G1803" s="8">
        <f t="shared" si="224"/>
        <v>0.96530637976662725</v>
      </c>
      <c r="H1803" s="8">
        <f t="shared" si="225"/>
        <v>1.057724957518019</v>
      </c>
      <c r="I1803" s="8">
        <f t="shared" si="226"/>
        <v>1.0957401501622053</v>
      </c>
      <c r="J1803" s="22">
        <f t="shared" si="227"/>
        <v>0.13190571023285308</v>
      </c>
      <c r="K1803" s="8"/>
      <c r="L1803" s="8">
        <v>0.91814856153808222</v>
      </c>
      <c r="M1803" s="8">
        <v>0.92231329721343025</v>
      </c>
      <c r="N1803" s="8">
        <v>0.85590062379732157</v>
      </c>
      <c r="O1803" s="8">
        <v>0.83728342444176784</v>
      </c>
      <c r="P1803" s="8">
        <f t="shared" si="228"/>
        <v>0.92023092937575623</v>
      </c>
      <c r="Q1803" s="8">
        <f t="shared" si="229"/>
        <v>0.84659202411954471</v>
      </c>
      <c r="R1803" s="8">
        <f t="shared" si="230"/>
        <v>0.9199777980662257</v>
      </c>
      <c r="S1803" s="22">
        <f t="shared" si="231"/>
        <v>-0.12032905002885379</v>
      </c>
      <c r="T1803" s="25"/>
      <c r="U1803" s="1">
        <v>0</v>
      </c>
    </row>
    <row r="1804" spans="1:21">
      <c r="A1804" s="6" t="s">
        <v>5112</v>
      </c>
      <c r="B1804" s="6" t="s">
        <v>80</v>
      </c>
      <c r="C1804" s="7">
        <v>0.97540177167959707</v>
      </c>
      <c r="D1804" s="7">
        <v>1.0693220420517555</v>
      </c>
      <c r="E1804" s="7">
        <v>1.0683865024919683</v>
      </c>
      <c r="F1804" s="8">
        <v>1.0600557556302499</v>
      </c>
      <c r="G1804" s="8">
        <f t="shared" si="224"/>
        <v>1.0223619068656764</v>
      </c>
      <c r="H1804" s="8">
        <f t="shared" si="225"/>
        <v>1.0642211290611092</v>
      </c>
      <c r="I1804" s="8">
        <f t="shared" si="226"/>
        <v>1.0409436442362798</v>
      </c>
      <c r="J1804" s="22">
        <f t="shared" si="227"/>
        <v>5.7891964524291691E-2</v>
      </c>
      <c r="K1804" s="8"/>
      <c r="L1804" s="8">
        <v>1.2193084019844878</v>
      </c>
      <c r="M1804" s="8">
        <v>1.2149813462720596</v>
      </c>
      <c r="N1804" s="8">
        <v>1.1861687436016273</v>
      </c>
      <c r="O1804" s="8">
        <v>1.1898902164720633</v>
      </c>
      <c r="P1804" s="8">
        <f t="shared" si="228"/>
        <v>1.2171448741282735</v>
      </c>
      <c r="Q1804" s="8">
        <f t="shared" si="229"/>
        <v>1.1880294800368452</v>
      </c>
      <c r="R1804" s="8">
        <f t="shared" si="230"/>
        <v>0.97607894120880145</v>
      </c>
      <c r="S1804" s="22">
        <f t="shared" si="231"/>
        <v>-3.4930263200699002E-2</v>
      </c>
      <c r="T1804" s="25"/>
      <c r="U1804" s="1">
        <v>0</v>
      </c>
    </row>
    <row r="1805" spans="1:21">
      <c r="A1805" s="6" t="s">
        <v>5113</v>
      </c>
      <c r="B1805" s="6" t="s">
        <v>5114</v>
      </c>
      <c r="C1805" s="7">
        <v>1.0730867453318818</v>
      </c>
      <c r="D1805" s="7">
        <v>1.1148150722516734</v>
      </c>
      <c r="E1805" s="7">
        <v>1.0856541244526232</v>
      </c>
      <c r="F1805" s="8">
        <v>1.0278522021265739</v>
      </c>
      <c r="G1805" s="8">
        <f t="shared" si="224"/>
        <v>1.0939509087917776</v>
      </c>
      <c r="H1805" s="8">
        <f t="shared" si="225"/>
        <v>1.0567531632895986</v>
      </c>
      <c r="I1805" s="8">
        <f t="shared" si="226"/>
        <v>0.96599687865037531</v>
      </c>
      <c r="J1805" s="22">
        <f t="shared" si="227"/>
        <v>-4.9909567485630406E-2</v>
      </c>
      <c r="K1805" s="8"/>
      <c r="L1805" s="8">
        <v>1.0121637737217202</v>
      </c>
      <c r="M1805" s="8">
        <v>0.99883195308225947</v>
      </c>
      <c r="N1805" s="8">
        <v>1.2318674449405327</v>
      </c>
      <c r="O1805" s="8">
        <v>1.2158802691263644</v>
      </c>
      <c r="P1805" s="8">
        <f t="shared" si="228"/>
        <v>1.0054978634019898</v>
      </c>
      <c r="Q1805" s="8">
        <f t="shared" si="229"/>
        <v>1.2238738570334484</v>
      </c>
      <c r="R1805" s="8">
        <f t="shared" si="230"/>
        <v>1.2171819568990507</v>
      </c>
      <c r="S1805" s="22">
        <f t="shared" si="231"/>
        <v>0.28354485309166966</v>
      </c>
      <c r="T1805" s="25"/>
      <c r="U1805" s="1" t="s">
        <v>5115</v>
      </c>
    </row>
    <row r="1806" spans="1:21">
      <c r="A1806" s="6" t="s">
        <v>5116</v>
      </c>
      <c r="B1806" s="6" t="s">
        <v>5117</v>
      </c>
      <c r="C1806" s="7">
        <v>1.2032916930318647</v>
      </c>
      <c r="D1806" s="7">
        <v>1.0287717995386632</v>
      </c>
      <c r="E1806" s="7">
        <v>1.0863367811676721</v>
      </c>
      <c r="F1806" s="8">
        <v>0.99320235507316434</v>
      </c>
      <c r="G1806" s="8">
        <f t="shared" si="224"/>
        <v>1.1160317462852638</v>
      </c>
      <c r="H1806" s="8">
        <f t="shared" si="225"/>
        <v>1.0397695681204182</v>
      </c>
      <c r="I1806" s="8">
        <f t="shared" si="226"/>
        <v>0.93166665874990928</v>
      </c>
      <c r="J1806" s="22">
        <f t="shared" si="227"/>
        <v>-0.10211422991186789</v>
      </c>
      <c r="K1806" s="8"/>
      <c r="L1806" s="8">
        <v>0.93984096037761666</v>
      </c>
      <c r="M1806" s="8">
        <v>0.92480068051715536</v>
      </c>
      <c r="N1806" s="8">
        <v>1.1203489722702189</v>
      </c>
      <c r="O1806" s="8">
        <v>0.7901480668124139</v>
      </c>
      <c r="P1806" s="8">
        <f t="shared" si="228"/>
        <v>0.93232082044738607</v>
      </c>
      <c r="Q1806" s="8">
        <f t="shared" si="229"/>
        <v>0.9552485195413164</v>
      </c>
      <c r="R1806" s="8">
        <f t="shared" si="230"/>
        <v>1.0245920702306404</v>
      </c>
      <c r="S1806" s="22">
        <f t="shared" si="231"/>
        <v>3.5049631295900059E-2</v>
      </c>
      <c r="T1806" s="25"/>
      <c r="U1806" s="1" t="s">
        <v>5118</v>
      </c>
    </row>
    <row r="1807" spans="1:21">
      <c r="A1807" s="6" t="s">
        <v>5119</v>
      </c>
      <c r="B1807" s="13" t="s">
        <v>5120</v>
      </c>
      <c r="C1807" s="14">
        <v>1.0227502220538414</v>
      </c>
      <c r="D1807" s="14">
        <v>1.1642106433180521</v>
      </c>
      <c r="E1807" s="14">
        <v>1.0647648289721308</v>
      </c>
      <c r="F1807" s="8">
        <v>1.0195304997286536</v>
      </c>
      <c r="G1807" s="8">
        <f t="shared" si="224"/>
        <v>1.0934804326859466</v>
      </c>
      <c r="H1807" s="8">
        <f t="shared" si="225"/>
        <v>1.0421476643503922</v>
      </c>
      <c r="I1807" s="8">
        <f t="shared" si="226"/>
        <v>0.95305561325001098</v>
      </c>
      <c r="J1807" s="22">
        <f t="shared" si="227"/>
        <v>-6.9367693323967736E-2</v>
      </c>
      <c r="K1807" s="8"/>
      <c r="L1807" s="8">
        <v>1.1559648193075684</v>
      </c>
      <c r="M1807" s="8">
        <v>1.041370423479862</v>
      </c>
      <c r="N1807" s="8">
        <v>1.2201260941700889</v>
      </c>
      <c r="O1807" s="8">
        <v>0.49098489761882702</v>
      </c>
      <c r="P1807" s="8">
        <f t="shared" si="228"/>
        <v>1.0986676213937152</v>
      </c>
      <c r="Q1807" s="8">
        <f t="shared" si="229"/>
        <v>0.85555549589445801</v>
      </c>
      <c r="R1807" s="8">
        <f t="shared" si="230"/>
        <v>0.77872095184633072</v>
      </c>
      <c r="S1807" s="22">
        <f t="shared" si="231"/>
        <v>-0.36082165172197583</v>
      </c>
      <c r="T1807" s="25"/>
      <c r="U1807" s="1" t="s">
        <v>5121</v>
      </c>
    </row>
    <row r="1808" spans="1:21">
      <c r="A1808" s="6" t="s">
        <v>5122</v>
      </c>
      <c r="B1808" s="6" t="s">
        <v>5123</v>
      </c>
      <c r="C1808" s="7">
        <v>1.08122167508759</v>
      </c>
      <c r="D1808" s="7">
        <v>1.0124702919127018</v>
      </c>
      <c r="E1808" s="7">
        <v>0.98513831255680973</v>
      </c>
      <c r="F1808" s="8">
        <v>1.05294643918513</v>
      </c>
      <c r="G1808" s="8">
        <f t="shared" si="224"/>
        <v>1.046845983500146</v>
      </c>
      <c r="H1808" s="8">
        <f t="shared" si="225"/>
        <v>1.0190423758709699</v>
      </c>
      <c r="I1808" s="8">
        <f t="shared" si="226"/>
        <v>0.97344059387206672</v>
      </c>
      <c r="J1808" s="22">
        <f t="shared" si="227"/>
        <v>-3.8835156559430206E-2</v>
      </c>
      <c r="K1808" s="8"/>
      <c r="L1808" s="8">
        <v>0.88618783455934191</v>
      </c>
      <c r="M1808" s="8">
        <v>1.1182263516610607</v>
      </c>
      <c r="N1808" s="8">
        <v>1.1926484102093826</v>
      </c>
      <c r="O1808" s="8">
        <v>0.88128988252827389</v>
      </c>
      <c r="P1808" s="8">
        <f t="shared" si="228"/>
        <v>1.0022070931102012</v>
      </c>
      <c r="Q1808" s="8">
        <f t="shared" si="229"/>
        <v>1.0369691463688282</v>
      </c>
      <c r="R1808" s="8">
        <f t="shared" si="230"/>
        <v>1.0346854991324679</v>
      </c>
      <c r="S1808" s="22">
        <f t="shared" si="231"/>
        <v>4.9192315751461303E-2</v>
      </c>
      <c r="T1808" s="25"/>
      <c r="U1808" s="1" t="s">
        <v>5124</v>
      </c>
    </row>
    <row r="1809" spans="1:21">
      <c r="A1809" s="6" t="s">
        <v>5125</v>
      </c>
      <c r="B1809" s="13" t="s">
        <v>5126</v>
      </c>
      <c r="C1809" s="14">
        <v>0.98961157211857309</v>
      </c>
      <c r="D1809" s="14">
        <v>0.76344424874195405</v>
      </c>
      <c r="E1809" s="14">
        <v>0.90329136535254073</v>
      </c>
      <c r="F1809" s="8">
        <v>0.83841869047184692</v>
      </c>
      <c r="G1809" s="8">
        <f t="shared" si="224"/>
        <v>0.87652791043026357</v>
      </c>
      <c r="H1809" s="8">
        <f t="shared" si="225"/>
        <v>0.87085502791219382</v>
      </c>
      <c r="I1809" s="8">
        <f t="shared" si="226"/>
        <v>0.99352800698008004</v>
      </c>
      <c r="J1809" s="22">
        <f t="shared" si="227"/>
        <v>-9.3674581001249001E-3</v>
      </c>
      <c r="K1809" s="8"/>
      <c r="L1809" s="8">
        <v>1.1112909241564781</v>
      </c>
      <c r="M1809" s="8">
        <v>0.61493174352768176</v>
      </c>
      <c r="N1809" s="8">
        <v>0.57980836314958584</v>
      </c>
      <c r="O1809" s="8">
        <v>0.78681730278293061</v>
      </c>
      <c r="P1809" s="8">
        <f t="shared" si="228"/>
        <v>0.86311133384207994</v>
      </c>
      <c r="Q1809" s="8">
        <f t="shared" si="229"/>
        <v>0.68331283296625822</v>
      </c>
      <c r="R1809" s="8">
        <f t="shared" si="230"/>
        <v>0.79168562174307078</v>
      </c>
      <c r="S1809" s="22">
        <f t="shared" si="231"/>
        <v>-0.33700044487670466</v>
      </c>
      <c r="T1809" s="25"/>
      <c r="U1809" s="1" t="s">
        <v>5127</v>
      </c>
    </row>
    <row r="1810" spans="1:21">
      <c r="A1810" s="6" t="s">
        <v>5128</v>
      </c>
      <c r="B1810" s="6" t="s">
        <v>5129</v>
      </c>
      <c r="C1810" s="7">
        <v>1.141601809051076</v>
      </c>
      <c r="D1810" s="7">
        <v>0.95999274734747908</v>
      </c>
      <c r="E1810" s="7">
        <v>1.0367830895152892</v>
      </c>
      <c r="F1810" s="8">
        <v>1.0069116423856004</v>
      </c>
      <c r="G1810" s="8">
        <f t="shared" si="224"/>
        <v>1.0507972781992776</v>
      </c>
      <c r="H1810" s="8">
        <f t="shared" si="225"/>
        <v>1.0218473659504448</v>
      </c>
      <c r="I1810" s="8">
        <f t="shared" si="226"/>
        <v>0.97244957438560986</v>
      </c>
      <c r="J1810" s="22">
        <f t="shared" si="227"/>
        <v>-4.0304652675368306E-2</v>
      </c>
      <c r="K1810" s="8"/>
      <c r="L1810" s="8">
        <v>1.2434011892202002</v>
      </c>
      <c r="M1810" s="8">
        <v>1.3831959120663453</v>
      </c>
      <c r="N1810" s="8">
        <v>1.3561503736351459</v>
      </c>
      <c r="O1810" s="8">
        <v>0.94502859418338525</v>
      </c>
      <c r="P1810" s="8">
        <f t="shared" si="228"/>
        <v>1.3132985506432728</v>
      </c>
      <c r="Q1810" s="8">
        <f t="shared" si="229"/>
        <v>1.1505894839092656</v>
      </c>
      <c r="R1810" s="8">
        <f t="shared" si="230"/>
        <v>0.87610656643585727</v>
      </c>
      <c r="S1810" s="22">
        <f t="shared" si="231"/>
        <v>-0.19082173017758719</v>
      </c>
      <c r="T1810" s="25"/>
      <c r="U1810" s="1" t="s">
        <v>5130</v>
      </c>
    </row>
    <row r="1811" spans="1:21">
      <c r="A1811" s="6" t="s">
        <v>5131</v>
      </c>
      <c r="B1811" s="6" t="s">
        <v>5132</v>
      </c>
      <c r="C1811" s="7">
        <v>1.0534339134139648</v>
      </c>
      <c r="D1811" s="7">
        <v>1.1798078844631454</v>
      </c>
      <c r="E1811" s="7">
        <v>1.1251619836035514</v>
      </c>
      <c r="F1811" s="8">
        <v>1.0952938609566159</v>
      </c>
      <c r="G1811" s="8">
        <f t="shared" si="224"/>
        <v>1.1166208989385551</v>
      </c>
      <c r="H1811" s="8">
        <f t="shared" si="225"/>
        <v>1.1102279222800835</v>
      </c>
      <c r="I1811" s="8">
        <f t="shared" si="226"/>
        <v>0.99427471161918191</v>
      </c>
      <c r="J1811" s="22">
        <f t="shared" si="227"/>
        <v>-8.2835807913440307E-3</v>
      </c>
      <c r="K1811" s="8"/>
      <c r="L1811" s="8">
        <v>0.8625840153302583</v>
      </c>
      <c r="M1811" s="8">
        <v>1.0484953010786675</v>
      </c>
      <c r="N1811" s="8">
        <v>1.2174952520887448</v>
      </c>
      <c r="O1811" s="8">
        <v>1.3954891961101659</v>
      </c>
      <c r="P1811" s="8">
        <f t="shared" si="228"/>
        <v>0.95553965820446285</v>
      </c>
      <c r="Q1811" s="8">
        <f t="shared" si="229"/>
        <v>1.3064922240994554</v>
      </c>
      <c r="R1811" s="8">
        <f t="shared" si="230"/>
        <v>1.3672820514372592</v>
      </c>
      <c r="S1811" s="22">
        <f t="shared" si="231"/>
        <v>0.45131088174172529</v>
      </c>
      <c r="T1811" s="25"/>
      <c r="U1811" s="1" t="s">
        <v>5133</v>
      </c>
    </row>
    <row r="1812" spans="1:21">
      <c r="A1812" s="6" t="s">
        <v>5134</v>
      </c>
      <c r="B1812" s="6" t="s">
        <v>5135</v>
      </c>
      <c r="C1812" s="7">
        <v>1.0884154276951865</v>
      </c>
      <c r="D1812" s="7">
        <v>0.92646578616194097</v>
      </c>
      <c r="E1812" s="7">
        <v>1.0338440727105003</v>
      </c>
      <c r="F1812" s="8">
        <v>1.1133935636720924</v>
      </c>
      <c r="G1812" s="8">
        <f t="shared" si="224"/>
        <v>1.0074406069285637</v>
      </c>
      <c r="H1812" s="8">
        <f t="shared" si="225"/>
        <v>1.0736188181912962</v>
      </c>
      <c r="I1812" s="8">
        <f t="shared" si="226"/>
        <v>1.0656894419458567</v>
      </c>
      <c r="J1812" s="22">
        <f t="shared" si="227"/>
        <v>9.1787076144757229E-2</v>
      </c>
      <c r="K1812" s="8"/>
      <c r="L1812" s="8">
        <v>0.94797560994244212</v>
      </c>
      <c r="M1812" s="8">
        <v>0.99617593362234969</v>
      </c>
      <c r="N1812" s="8">
        <v>0.85711860624238834</v>
      </c>
      <c r="O1812" s="8">
        <v>1.0684182616392421</v>
      </c>
      <c r="P1812" s="8">
        <f t="shared" si="228"/>
        <v>0.9720757717823959</v>
      </c>
      <c r="Q1812" s="8">
        <f t="shared" si="229"/>
        <v>0.96276843394081524</v>
      </c>
      <c r="R1812" s="8">
        <f t="shared" si="230"/>
        <v>0.99042529593704953</v>
      </c>
      <c r="S1812" s="22">
        <f t="shared" si="231"/>
        <v>-1.3879932741393573E-2</v>
      </c>
      <c r="T1812" s="25"/>
      <c r="U1812" s="1" t="s">
        <v>5136</v>
      </c>
    </row>
    <row r="1813" spans="1:21">
      <c r="A1813" s="6" t="s">
        <v>5137</v>
      </c>
      <c r="B1813" s="13" t="s">
        <v>5138</v>
      </c>
      <c r="C1813" s="14">
        <v>0.13747109854974185</v>
      </c>
      <c r="D1813" s="14">
        <v>0.14315346926706163</v>
      </c>
      <c r="E1813" s="14">
        <v>0.19575001657519697</v>
      </c>
      <c r="F1813" s="8">
        <v>0.61193925538361971</v>
      </c>
      <c r="G1813" s="8">
        <f t="shared" si="224"/>
        <v>0.14031228390840172</v>
      </c>
      <c r="H1813" s="8">
        <f t="shared" si="225"/>
        <v>0.40384463597940834</v>
      </c>
      <c r="I1813" s="8">
        <f t="shared" si="226"/>
        <v>2.8781844663225997</v>
      </c>
      <c r="J1813" s="22">
        <f t="shared" si="227"/>
        <v>1.525159059111008</v>
      </c>
      <c r="K1813" s="8"/>
      <c r="L1813" s="8">
        <v>0.74856556651180362</v>
      </c>
      <c r="M1813" s="8">
        <v>0.76080201862748831</v>
      </c>
      <c r="N1813" s="8">
        <v>0.82564593986186297</v>
      </c>
      <c r="O1813" s="8">
        <v>0.93927545631427778</v>
      </c>
      <c r="P1813" s="8">
        <f t="shared" si="228"/>
        <v>0.75468379256964591</v>
      </c>
      <c r="Q1813" s="8">
        <f t="shared" si="229"/>
        <v>0.88246069808807037</v>
      </c>
      <c r="R1813" s="8">
        <f t="shared" si="230"/>
        <v>1.169311845274102</v>
      </c>
      <c r="S1813" s="22">
        <f t="shared" si="231"/>
        <v>0.22565973537277728</v>
      </c>
      <c r="T1813" s="25"/>
      <c r="U1813" s="1" t="s">
        <v>5139</v>
      </c>
    </row>
    <row r="1814" spans="1:21">
      <c r="A1814" s="6" t="s">
        <v>5140</v>
      </c>
      <c r="B1814" s="6" t="s">
        <v>5141</v>
      </c>
      <c r="C1814" s="7">
        <v>1.0447329610377136</v>
      </c>
      <c r="D1814" s="7">
        <v>1.1133613111673131</v>
      </c>
      <c r="E1814" s="7">
        <v>1.0844972009671194</v>
      </c>
      <c r="F1814" s="8">
        <v>0.88309762369102585</v>
      </c>
      <c r="G1814" s="8">
        <f t="shared" si="224"/>
        <v>1.0790471361025133</v>
      </c>
      <c r="H1814" s="8">
        <f t="shared" si="225"/>
        <v>0.9837974123290727</v>
      </c>
      <c r="I1814" s="8">
        <f t="shared" si="226"/>
        <v>0.91172793051703016</v>
      </c>
      <c r="J1814" s="22">
        <f t="shared" si="227"/>
        <v>-0.13332472209070162</v>
      </c>
      <c r="K1814" s="8"/>
      <c r="L1814" s="8">
        <v>1.1271157069164663</v>
      </c>
      <c r="M1814" s="8">
        <v>1.1023745529796944</v>
      </c>
      <c r="N1814" s="8">
        <v>0.75636709838646499</v>
      </c>
      <c r="O1814" s="8">
        <v>1.1369007887302842</v>
      </c>
      <c r="P1814" s="8">
        <f t="shared" si="228"/>
        <v>1.1147451299480804</v>
      </c>
      <c r="Q1814" s="8">
        <f t="shared" si="229"/>
        <v>0.9466339435583746</v>
      </c>
      <c r="R1814" s="8">
        <f t="shared" si="230"/>
        <v>0.84919316364491704</v>
      </c>
      <c r="S1814" s="22">
        <f t="shared" si="231"/>
        <v>-0.23583533788721298</v>
      </c>
      <c r="T1814" s="25"/>
      <c r="U1814" s="1" t="s">
        <v>5142</v>
      </c>
    </row>
    <row r="1815" spans="1:21">
      <c r="A1815" s="6" t="s">
        <v>5143</v>
      </c>
      <c r="B1815" s="6" t="s">
        <v>5144</v>
      </c>
      <c r="C1815" s="7">
        <v>0.9287773037269772</v>
      </c>
      <c r="D1815" s="7">
        <v>1.0564772552263846</v>
      </c>
      <c r="E1815" s="7">
        <v>0.97095342460411205</v>
      </c>
      <c r="F1815" s="8">
        <v>0.97079832353117723</v>
      </c>
      <c r="G1815" s="8">
        <f t="shared" si="224"/>
        <v>0.99262727947668083</v>
      </c>
      <c r="H1815" s="8">
        <f t="shared" si="225"/>
        <v>0.97087587406764464</v>
      </c>
      <c r="I1815" s="8">
        <f t="shared" si="226"/>
        <v>0.97808703643475958</v>
      </c>
      <c r="J1815" s="22">
        <f t="shared" si="227"/>
        <v>-3.1965243773493301E-2</v>
      </c>
      <c r="K1815" s="8"/>
      <c r="L1815" s="8">
        <v>0.93766283016626994</v>
      </c>
      <c r="M1815" s="8">
        <v>1.0965987646303668</v>
      </c>
      <c r="N1815" s="8">
        <v>0.95484951763454606</v>
      </c>
      <c r="O1815" s="8">
        <v>0.85403817683250172</v>
      </c>
      <c r="P1815" s="8">
        <f t="shared" si="228"/>
        <v>1.0171307973983184</v>
      </c>
      <c r="Q1815" s="8">
        <f t="shared" si="229"/>
        <v>0.90444384723352389</v>
      </c>
      <c r="R1815" s="8">
        <f t="shared" si="230"/>
        <v>0.88921095452715393</v>
      </c>
      <c r="S1815" s="22">
        <f t="shared" si="231"/>
        <v>-0.16940237330535202</v>
      </c>
      <c r="T1815" s="25"/>
      <c r="U1815" s="1" t="s">
        <v>5145</v>
      </c>
    </row>
    <row r="1816" spans="1:21">
      <c r="A1816" s="6" t="s">
        <v>5146</v>
      </c>
      <c r="B1816" s="13" t="s">
        <v>5147</v>
      </c>
      <c r="C1816" s="14">
        <v>1.1521982790403078</v>
      </c>
      <c r="D1816" s="14">
        <v>1.0774501818034239</v>
      </c>
      <c r="E1816" s="14">
        <v>0.9166283218065463</v>
      </c>
      <c r="F1816" s="8">
        <v>1.0435773501060921</v>
      </c>
      <c r="G1816" s="8">
        <f t="shared" si="224"/>
        <v>1.1148242304218658</v>
      </c>
      <c r="H1816" s="8">
        <f t="shared" si="225"/>
        <v>0.9801028359563192</v>
      </c>
      <c r="I1816" s="8">
        <f t="shared" si="226"/>
        <v>0.8791545870737254</v>
      </c>
      <c r="J1816" s="22">
        <f t="shared" si="227"/>
        <v>-0.18581122940964415</v>
      </c>
      <c r="K1816" s="8"/>
      <c r="L1816" s="8">
        <v>0.82600031810702701</v>
      </c>
      <c r="M1816" s="8">
        <v>0.86864484050763435</v>
      </c>
      <c r="N1816" s="8">
        <v>0.66935443251089488</v>
      </c>
      <c r="O1816" s="8">
        <v>0.77722873966775152</v>
      </c>
      <c r="P1816" s="8">
        <f t="shared" si="228"/>
        <v>0.84732257930733068</v>
      </c>
      <c r="Q1816" s="8">
        <f t="shared" si="229"/>
        <v>0.7232915860893232</v>
      </c>
      <c r="R1816" s="8">
        <f t="shared" si="230"/>
        <v>0.85362010142654243</v>
      </c>
      <c r="S1816" s="22">
        <f t="shared" si="231"/>
        <v>-0.22833394509928676</v>
      </c>
      <c r="T1816" s="25"/>
      <c r="U1816" s="1" t="s">
        <v>5148</v>
      </c>
    </row>
    <row r="1817" spans="1:21">
      <c r="A1817" s="6" t="s">
        <v>5149</v>
      </c>
      <c r="B1817" s="6" t="s">
        <v>5150</v>
      </c>
      <c r="C1817" s="7">
        <v>1.0311944897533349</v>
      </c>
      <c r="D1817" s="7">
        <v>1.1143821745065527</v>
      </c>
      <c r="E1817" s="7">
        <v>0.97823988680473795</v>
      </c>
      <c r="F1817" s="8">
        <v>1.0795687129770974</v>
      </c>
      <c r="G1817" s="8">
        <f t="shared" si="224"/>
        <v>1.0727883321299438</v>
      </c>
      <c r="H1817" s="8">
        <f t="shared" si="225"/>
        <v>1.0289042998909177</v>
      </c>
      <c r="I1817" s="8">
        <f t="shared" si="226"/>
        <v>0.95909348477728351</v>
      </c>
      <c r="J1817" s="22">
        <f t="shared" si="227"/>
        <v>-6.025665039333554E-2</v>
      </c>
      <c r="K1817" s="8"/>
      <c r="L1817" s="8">
        <v>0.99820595971431492</v>
      </c>
      <c r="M1817" s="8">
        <v>1.1511104021170864</v>
      </c>
      <c r="N1817" s="8">
        <v>1.1333570247835321</v>
      </c>
      <c r="O1817" s="8">
        <v>0.76330009008991251</v>
      </c>
      <c r="P1817" s="8">
        <f t="shared" si="228"/>
        <v>1.0746581809157005</v>
      </c>
      <c r="Q1817" s="8">
        <f t="shared" si="229"/>
        <v>0.94832855743672229</v>
      </c>
      <c r="R1817" s="8">
        <f t="shared" si="230"/>
        <v>0.88244669261128728</v>
      </c>
      <c r="S1817" s="22">
        <f t="shared" si="231"/>
        <v>-0.18041896509073285</v>
      </c>
      <c r="T1817" s="25"/>
      <c r="U1817" s="1" t="s">
        <v>5151</v>
      </c>
    </row>
    <row r="1818" spans="1:21">
      <c r="A1818" s="6" t="s">
        <v>5152</v>
      </c>
      <c r="B1818" s="6" t="s">
        <v>5153</v>
      </c>
      <c r="C1818" s="7">
        <v>0.95031248994111783</v>
      </c>
      <c r="D1818" s="7">
        <v>1.0039544825385374</v>
      </c>
      <c r="E1818" s="7">
        <v>0.95469182306563438</v>
      </c>
      <c r="F1818" s="8">
        <v>0.86005511670643964</v>
      </c>
      <c r="G1818" s="8">
        <f t="shared" si="224"/>
        <v>0.97713348623982754</v>
      </c>
      <c r="H1818" s="8">
        <f t="shared" si="225"/>
        <v>0.90737346988603695</v>
      </c>
      <c r="I1818" s="8">
        <f t="shared" si="226"/>
        <v>0.92860748573642815</v>
      </c>
      <c r="J1818" s="22">
        <f t="shared" si="227"/>
        <v>-0.10685918401154836</v>
      </c>
      <c r="K1818" s="8"/>
      <c r="L1818" s="8">
        <v>0.93410669920896927</v>
      </c>
      <c r="M1818" s="8">
        <v>0.87695017119973317</v>
      </c>
      <c r="N1818" s="8">
        <v>0.86423162372157836</v>
      </c>
      <c r="O1818" s="8">
        <v>0.85328118500761918</v>
      </c>
      <c r="P1818" s="8">
        <f t="shared" si="228"/>
        <v>0.90552843520435122</v>
      </c>
      <c r="Q1818" s="8">
        <f t="shared" si="229"/>
        <v>0.85875640436459877</v>
      </c>
      <c r="R1818" s="8">
        <f t="shared" si="230"/>
        <v>0.94834835768663917</v>
      </c>
      <c r="S1818" s="22">
        <f t="shared" si="231"/>
        <v>-7.6510991892314639E-2</v>
      </c>
      <c r="T1818" s="25"/>
      <c r="U1818" s="1" t="s">
        <v>5154</v>
      </c>
    </row>
    <row r="1819" spans="1:21">
      <c r="A1819" s="6" t="s">
        <v>5155</v>
      </c>
      <c r="B1819" s="6" t="s">
        <v>5156</v>
      </c>
      <c r="C1819" s="7">
        <v>1.0164581566440865</v>
      </c>
      <c r="D1819" s="7">
        <v>0.98882244494043947</v>
      </c>
      <c r="E1819" s="7">
        <v>1.0244449676233025</v>
      </c>
      <c r="F1819" s="8">
        <v>1.0670933332615946</v>
      </c>
      <c r="G1819" s="8">
        <f t="shared" si="224"/>
        <v>1.0026403007922631</v>
      </c>
      <c r="H1819" s="8">
        <f t="shared" si="225"/>
        <v>1.0457691504424487</v>
      </c>
      <c r="I1819" s="8">
        <f t="shared" si="226"/>
        <v>1.0430152763818752</v>
      </c>
      <c r="J1819" s="22">
        <f t="shared" si="227"/>
        <v>6.076028824979416E-2</v>
      </c>
      <c r="K1819" s="8"/>
      <c r="L1819" s="8">
        <v>0.81342050484557571</v>
      </c>
      <c r="M1819" s="8">
        <v>0.92821556267989647</v>
      </c>
      <c r="N1819" s="8">
        <v>0.75763380012933446</v>
      </c>
      <c r="O1819" s="8">
        <v>0.83743482280674431</v>
      </c>
      <c r="P1819" s="8">
        <f t="shared" si="228"/>
        <v>0.87081803376273603</v>
      </c>
      <c r="Q1819" s="8">
        <f t="shared" si="229"/>
        <v>0.79753431146803933</v>
      </c>
      <c r="R1819" s="8">
        <f t="shared" si="230"/>
        <v>0.91584496478782884</v>
      </c>
      <c r="S1819" s="22">
        <f t="shared" si="231"/>
        <v>-0.12682469685129827</v>
      </c>
      <c r="T1819" s="25"/>
      <c r="U1819" s="1" t="s">
        <v>5157</v>
      </c>
    </row>
    <row r="1820" spans="1:21">
      <c r="A1820" s="6" t="s">
        <v>5158</v>
      </c>
      <c r="B1820" s="6" t="s">
        <v>5159</v>
      </c>
      <c r="C1820" s="7">
        <v>0.80050736359024532</v>
      </c>
      <c r="D1820" s="7">
        <v>0.71630362264642766</v>
      </c>
      <c r="E1820" s="7">
        <v>0.54251807023950005</v>
      </c>
      <c r="F1820" s="8">
        <v>0.90455470289118067</v>
      </c>
      <c r="G1820" s="8">
        <f t="shared" si="224"/>
        <v>0.75840549311833649</v>
      </c>
      <c r="H1820" s="8">
        <f t="shared" si="225"/>
        <v>0.72353638656534036</v>
      </c>
      <c r="I1820" s="8">
        <f t="shared" si="226"/>
        <v>0.95402313555295493</v>
      </c>
      <c r="J1820" s="22">
        <f t="shared" si="227"/>
        <v>-6.7903842133722622E-2</v>
      </c>
      <c r="K1820" s="8"/>
      <c r="L1820" s="8">
        <v>0.88160931595181724</v>
      </c>
      <c r="M1820" s="8">
        <v>0.96114177217496843</v>
      </c>
      <c r="N1820" s="8">
        <v>0.61386315231365274</v>
      </c>
      <c r="O1820" s="8">
        <v>0.67453018209201787</v>
      </c>
      <c r="P1820" s="8">
        <f t="shared" si="228"/>
        <v>0.92137554406339284</v>
      </c>
      <c r="Q1820" s="8">
        <f t="shared" si="229"/>
        <v>0.6441966672028353</v>
      </c>
      <c r="R1820" s="8">
        <f t="shared" si="230"/>
        <v>0.69916840245383483</v>
      </c>
      <c r="S1820" s="22">
        <f t="shared" si="231"/>
        <v>-0.51628810835150796</v>
      </c>
      <c r="T1820" s="25"/>
      <c r="U1820" s="1" t="s">
        <v>5160</v>
      </c>
    </row>
    <row r="1821" spans="1:21">
      <c r="A1821" s="6" t="s">
        <v>5161</v>
      </c>
      <c r="B1821" s="13" t="s">
        <v>5162</v>
      </c>
      <c r="C1821" s="14">
        <v>0.98691309218342715</v>
      </c>
      <c r="D1821" s="14">
        <v>1.0564901775471345</v>
      </c>
      <c r="E1821" s="14">
        <v>1.1983715268974138</v>
      </c>
      <c r="F1821" s="8">
        <v>1.1949032038834462</v>
      </c>
      <c r="G1821" s="8">
        <f t="shared" si="224"/>
        <v>1.0217016348652808</v>
      </c>
      <c r="H1821" s="8">
        <f t="shared" si="225"/>
        <v>1.1966373653904299</v>
      </c>
      <c r="I1821" s="8">
        <f t="shared" si="226"/>
        <v>1.171219977100473</v>
      </c>
      <c r="J1821" s="22">
        <f t="shared" si="227"/>
        <v>0.22801206650268432</v>
      </c>
      <c r="K1821" s="8"/>
      <c r="L1821" s="8">
        <v>0.9243273390763922</v>
      </c>
      <c r="M1821" s="8">
        <v>0.93656305241104143</v>
      </c>
      <c r="N1821" s="8">
        <v>1.2672863744430742</v>
      </c>
      <c r="O1821" s="8">
        <v>1.3645029974116398</v>
      </c>
      <c r="P1821" s="8">
        <f t="shared" si="228"/>
        <v>0.93044519574371676</v>
      </c>
      <c r="Q1821" s="8">
        <f t="shared" si="229"/>
        <v>1.315894685927357</v>
      </c>
      <c r="R1821" s="8">
        <f t="shared" si="230"/>
        <v>1.4142635073477332</v>
      </c>
      <c r="S1821" s="22">
        <f t="shared" si="231"/>
        <v>0.50005094993910804</v>
      </c>
      <c r="T1821" s="25"/>
      <c r="U1821" s="1" t="s">
        <v>5163</v>
      </c>
    </row>
    <row r="1822" spans="1:21">
      <c r="A1822" s="6" t="s">
        <v>5164</v>
      </c>
      <c r="B1822" s="6" t="s">
        <v>5165</v>
      </c>
      <c r="C1822" s="7">
        <v>1.0311089281944157</v>
      </c>
      <c r="D1822" s="7">
        <v>1.0409510868454157</v>
      </c>
      <c r="E1822" s="7">
        <v>0.92012783570369105</v>
      </c>
      <c r="F1822" s="8">
        <v>0.97194614455158002</v>
      </c>
      <c r="G1822" s="8">
        <f t="shared" si="224"/>
        <v>1.0360300075199156</v>
      </c>
      <c r="H1822" s="8">
        <f t="shared" si="225"/>
        <v>0.94603699012763554</v>
      </c>
      <c r="I1822" s="8">
        <f t="shared" si="226"/>
        <v>0.91313666907418212</v>
      </c>
      <c r="J1822" s="22">
        <f t="shared" si="227"/>
        <v>-0.13109729049441735</v>
      </c>
      <c r="K1822" s="8"/>
      <c r="L1822" s="8">
        <v>0.97966962709938488</v>
      </c>
      <c r="M1822" s="8">
        <v>1.0965566055913207</v>
      </c>
      <c r="N1822" s="8">
        <v>0.82306381707832144</v>
      </c>
      <c r="O1822" s="8">
        <v>0.87664699933566081</v>
      </c>
      <c r="P1822" s="8">
        <f t="shared" si="228"/>
        <v>1.0381131163453527</v>
      </c>
      <c r="Q1822" s="8">
        <f t="shared" si="229"/>
        <v>0.84985540820699113</v>
      </c>
      <c r="R1822" s="8">
        <f t="shared" si="230"/>
        <v>0.81865395478180891</v>
      </c>
      <c r="S1822" s="22">
        <f t="shared" si="231"/>
        <v>-0.28867434170153555</v>
      </c>
      <c r="T1822" s="25"/>
      <c r="U1822" s="1" t="s">
        <v>5166</v>
      </c>
    </row>
    <row r="1823" spans="1:21">
      <c r="A1823" s="6" t="s">
        <v>5167</v>
      </c>
      <c r="B1823" s="13" t="s">
        <v>5168</v>
      </c>
      <c r="C1823" s="14">
        <v>1.1371789346207879</v>
      </c>
      <c r="D1823" s="14">
        <v>1.0854749429890933</v>
      </c>
      <c r="E1823" s="14">
        <v>1.1154107713685915</v>
      </c>
      <c r="F1823" s="8">
        <v>1.085494338994927</v>
      </c>
      <c r="G1823" s="8">
        <f t="shared" si="224"/>
        <v>1.1113269388049405</v>
      </c>
      <c r="H1823" s="8">
        <f t="shared" si="225"/>
        <v>1.1004525551817592</v>
      </c>
      <c r="I1823" s="8">
        <f t="shared" si="226"/>
        <v>0.99021495543437921</v>
      </c>
      <c r="J1823" s="22">
        <f t="shared" si="227"/>
        <v>-1.4186356082059556E-2</v>
      </c>
      <c r="K1823" s="8"/>
      <c r="L1823" s="8">
        <v>0.83706877571162552</v>
      </c>
      <c r="M1823" s="8">
        <v>0.98196833746378476</v>
      </c>
      <c r="N1823" s="8">
        <v>0.47973892546289992</v>
      </c>
      <c r="O1823" s="8">
        <v>0.80806354000130109</v>
      </c>
      <c r="P1823" s="8">
        <f t="shared" si="228"/>
        <v>0.90951855658770508</v>
      </c>
      <c r="Q1823" s="8">
        <f t="shared" si="229"/>
        <v>0.64390123273210054</v>
      </c>
      <c r="R1823" s="8">
        <f t="shared" si="230"/>
        <v>0.70795832373982903</v>
      </c>
      <c r="S1823" s="22">
        <f t="shared" si="231"/>
        <v>-0.49826366099659886</v>
      </c>
      <c r="T1823" s="25"/>
      <c r="U1823" s="1" t="s">
        <v>5169</v>
      </c>
    </row>
    <row r="1824" spans="1:21">
      <c r="A1824" s="6" t="s">
        <v>5170</v>
      </c>
      <c r="B1824" s="6" t="s">
        <v>5171</v>
      </c>
      <c r="C1824" s="7">
        <v>1.2477047237693404</v>
      </c>
      <c r="D1824" s="7">
        <v>1.2523537931529165</v>
      </c>
      <c r="E1824" s="7">
        <v>1.4117915736021365</v>
      </c>
      <c r="F1824" s="8">
        <v>1.353697068174796</v>
      </c>
      <c r="G1824" s="8">
        <f t="shared" si="224"/>
        <v>1.2500292584611286</v>
      </c>
      <c r="H1824" s="8">
        <f t="shared" si="225"/>
        <v>1.3827443208884662</v>
      </c>
      <c r="I1824" s="8">
        <f t="shared" si="226"/>
        <v>1.1061695648554011</v>
      </c>
      <c r="J1824" s="22">
        <f t="shared" si="227"/>
        <v>0.14557255340745662</v>
      </c>
      <c r="K1824" s="8"/>
      <c r="L1824" s="8">
        <v>0.18420758358817782</v>
      </c>
      <c r="M1824" s="8">
        <v>0.18136818597669593</v>
      </c>
      <c r="N1824" s="8">
        <v>0.27847950624006662</v>
      </c>
      <c r="O1824" s="8">
        <v>0.28669803714385406</v>
      </c>
      <c r="P1824" s="8">
        <f t="shared" si="228"/>
        <v>0.18278788478243688</v>
      </c>
      <c r="Q1824" s="8">
        <f t="shared" si="229"/>
        <v>0.28258877169196034</v>
      </c>
      <c r="R1824" s="8">
        <f t="shared" si="230"/>
        <v>1.5459928978789343</v>
      </c>
      <c r="S1824" s="22">
        <f t="shared" si="231"/>
        <v>0.62853369169589357</v>
      </c>
      <c r="T1824" s="25"/>
      <c r="U1824" s="1" t="s">
        <v>5172</v>
      </c>
    </row>
    <row r="1825" spans="1:21">
      <c r="A1825" s="6" t="s">
        <v>5173</v>
      </c>
      <c r="B1825" s="6" t="s">
        <v>5174</v>
      </c>
      <c r="C1825" s="7">
        <v>0.99935900817699064</v>
      </c>
      <c r="D1825" s="7">
        <v>1.0308006038963926</v>
      </c>
      <c r="E1825" s="7">
        <v>1.077728120697899</v>
      </c>
      <c r="F1825" s="8">
        <v>0.99983819534736806</v>
      </c>
      <c r="G1825" s="8">
        <f t="shared" si="224"/>
        <v>1.0150798060366917</v>
      </c>
      <c r="H1825" s="8">
        <f t="shared" si="225"/>
        <v>1.0387831580226337</v>
      </c>
      <c r="I1825" s="8">
        <f t="shared" si="226"/>
        <v>1.0233512201158745</v>
      </c>
      <c r="J1825" s="22">
        <f t="shared" si="227"/>
        <v>3.3301371434834741E-2</v>
      </c>
      <c r="K1825" s="8"/>
      <c r="L1825" s="8">
        <v>0.83826896990971456</v>
      </c>
      <c r="M1825" s="8">
        <v>0.87163813227991371</v>
      </c>
      <c r="N1825" s="8">
        <v>0.94427743001136655</v>
      </c>
      <c r="O1825" s="8">
        <v>0.83738435668508548</v>
      </c>
      <c r="P1825" s="8">
        <f t="shared" si="228"/>
        <v>0.85495355109481408</v>
      </c>
      <c r="Q1825" s="8">
        <f t="shared" si="229"/>
        <v>0.89083089334822607</v>
      </c>
      <c r="R1825" s="8">
        <f t="shared" si="230"/>
        <v>1.0419640835545616</v>
      </c>
      <c r="S1825" s="22">
        <f t="shared" si="231"/>
        <v>5.9305548853690229E-2</v>
      </c>
      <c r="T1825" s="25"/>
      <c r="U1825" s="1" t="s">
        <v>5175</v>
      </c>
    </row>
    <row r="1826" spans="1:21">
      <c r="A1826" s="6" t="s">
        <v>5176</v>
      </c>
      <c r="B1826" s="13" t="s">
        <v>5177</v>
      </c>
      <c r="C1826" s="14">
        <v>0.12548589864266665</v>
      </c>
      <c r="D1826" s="14">
        <v>0.11851706475743416</v>
      </c>
      <c r="E1826" s="14">
        <v>0.79108415897899709</v>
      </c>
      <c r="F1826" s="8">
        <v>1.2394458333564522</v>
      </c>
      <c r="G1826" s="8">
        <f t="shared" si="224"/>
        <v>0.1220014817000504</v>
      </c>
      <c r="H1826" s="8">
        <f t="shared" si="225"/>
        <v>1.0152649961677247</v>
      </c>
      <c r="I1826" s="8">
        <f t="shared" si="226"/>
        <v>8.3217431626267313</v>
      </c>
      <c r="J1826" s="22">
        <f t="shared" si="227"/>
        <v>3.0568857625808565</v>
      </c>
      <c r="K1826" s="8"/>
      <c r="L1826" s="8">
        <v>0.5343975796083672</v>
      </c>
      <c r="M1826" s="8">
        <v>0.62816968178818444</v>
      </c>
      <c r="N1826" s="8">
        <v>0.36865892647281034</v>
      </c>
      <c r="O1826" s="8">
        <v>0.43850013109363634</v>
      </c>
      <c r="P1826" s="8">
        <f t="shared" si="228"/>
        <v>0.58128363069827582</v>
      </c>
      <c r="Q1826" s="8">
        <f t="shared" si="229"/>
        <v>0.40357952878322334</v>
      </c>
      <c r="R1826" s="8">
        <f t="shared" si="230"/>
        <v>0.69429020097885308</v>
      </c>
      <c r="S1826" s="22">
        <f t="shared" si="231"/>
        <v>-0.52638928510655103</v>
      </c>
      <c r="T1826" s="25"/>
      <c r="U1826" s="1" t="s">
        <v>5178</v>
      </c>
    </row>
    <row r="1827" spans="1:21">
      <c r="A1827" s="6" t="s">
        <v>5179</v>
      </c>
      <c r="B1827" s="6" t="s">
        <v>80</v>
      </c>
      <c r="C1827" s="7">
        <v>1.0365190513814644</v>
      </c>
      <c r="D1827" s="7">
        <v>1.0424888430146502</v>
      </c>
      <c r="E1827" s="7">
        <v>1.0759100980778218</v>
      </c>
      <c r="F1827" s="8">
        <v>0.97675981895589425</v>
      </c>
      <c r="G1827" s="8">
        <f t="shared" si="224"/>
        <v>1.0395039471980572</v>
      </c>
      <c r="H1827" s="8">
        <f t="shared" si="225"/>
        <v>1.026334958516858</v>
      </c>
      <c r="I1827" s="8">
        <f t="shared" si="226"/>
        <v>0.98733146832516061</v>
      </c>
      <c r="J1827" s="22">
        <f t="shared" si="227"/>
        <v>-1.8393585253662782E-2</v>
      </c>
      <c r="K1827" s="8"/>
      <c r="L1827" s="8">
        <v>0.88961061060574387</v>
      </c>
      <c r="M1827" s="8">
        <v>1.0248440801737568</v>
      </c>
      <c r="N1827" s="8">
        <v>0.95397257027409799</v>
      </c>
      <c r="O1827" s="8">
        <v>0.91056023309039946</v>
      </c>
      <c r="P1827" s="8">
        <f t="shared" si="228"/>
        <v>0.95722734538975041</v>
      </c>
      <c r="Q1827" s="8">
        <f t="shared" si="229"/>
        <v>0.93226640168224872</v>
      </c>
      <c r="R1827" s="8">
        <f t="shared" si="230"/>
        <v>0.97392370388526828</v>
      </c>
      <c r="S1827" s="22">
        <f t="shared" si="231"/>
        <v>-3.8119337300187267E-2</v>
      </c>
      <c r="T1827" s="25"/>
      <c r="U1827" s="1">
        <v>0</v>
      </c>
    </row>
    <row r="1828" spans="1:21">
      <c r="A1828" s="6" t="s">
        <v>5180</v>
      </c>
      <c r="B1828" s="6" t="s">
        <v>80</v>
      </c>
      <c r="C1828" s="7">
        <v>0.9718674211303937</v>
      </c>
      <c r="D1828" s="7">
        <v>1.0128127334125734</v>
      </c>
      <c r="E1828" s="7">
        <v>0.99312898905295965</v>
      </c>
      <c r="F1828" s="8">
        <v>0.95619230104655162</v>
      </c>
      <c r="G1828" s="8">
        <f t="shared" si="224"/>
        <v>0.99234007727148354</v>
      </c>
      <c r="H1828" s="8">
        <f t="shared" si="225"/>
        <v>0.97466064504975569</v>
      </c>
      <c r="I1828" s="8">
        <f t="shared" si="226"/>
        <v>0.98218409935600015</v>
      </c>
      <c r="J1828" s="22">
        <f t="shared" si="227"/>
        <v>-2.5934628051483825E-2</v>
      </c>
      <c r="K1828" s="8"/>
      <c r="L1828" s="8">
        <v>1.1308051927846658</v>
      </c>
      <c r="M1828" s="8">
        <v>1.20878396753227</v>
      </c>
      <c r="N1828" s="8">
        <v>1.0639320254147262</v>
      </c>
      <c r="O1828" s="8">
        <v>1.4884982583274029</v>
      </c>
      <c r="P1828" s="8">
        <f t="shared" si="228"/>
        <v>1.1697945801584679</v>
      </c>
      <c r="Q1828" s="8">
        <f t="shared" si="229"/>
        <v>1.2762151418710646</v>
      </c>
      <c r="R1828" s="8">
        <f t="shared" si="230"/>
        <v>1.0909737175378091</v>
      </c>
      <c r="S1828" s="22">
        <f t="shared" si="231"/>
        <v>0.12561634635941715</v>
      </c>
      <c r="T1828" s="25"/>
      <c r="U1828" s="1">
        <v>0</v>
      </c>
    </row>
    <row r="1829" spans="1:21">
      <c r="A1829" s="6" t="s">
        <v>5181</v>
      </c>
      <c r="B1829" s="6" t="s">
        <v>5182</v>
      </c>
      <c r="C1829" s="7">
        <v>1.0646819675826587</v>
      </c>
      <c r="D1829" s="7">
        <v>1.126005802021061</v>
      </c>
      <c r="E1829" s="7">
        <v>0.93314142845056824</v>
      </c>
      <c r="F1829" s="8">
        <v>0.98526804226962994</v>
      </c>
      <c r="G1829" s="8">
        <f t="shared" si="224"/>
        <v>1.09534388480186</v>
      </c>
      <c r="H1829" s="8">
        <f t="shared" si="225"/>
        <v>0.95920473536009909</v>
      </c>
      <c r="I1829" s="8">
        <f t="shared" si="226"/>
        <v>0.87571104259518695</v>
      </c>
      <c r="J1829" s="22">
        <f t="shared" si="227"/>
        <v>-0.19147319102629973</v>
      </c>
      <c r="K1829" s="8"/>
      <c r="L1829" s="8">
        <v>1.1436072642309485</v>
      </c>
      <c r="M1829" s="8">
        <v>1.0653589166971424</v>
      </c>
      <c r="N1829" s="8">
        <v>1.1348186037176122</v>
      </c>
      <c r="O1829" s="8">
        <v>1.0685696600042187</v>
      </c>
      <c r="P1829" s="8">
        <f t="shared" si="228"/>
        <v>1.1044830904640455</v>
      </c>
      <c r="Q1829" s="8">
        <f t="shared" si="229"/>
        <v>1.1016941318609155</v>
      </c>
      <c r="R1829" s="8">
        <f t="shared" si="230"/>
        <v>0.99747487433061721</v>
      </c>
      <c r="S1829" s="22">
        <f t="shared" si="231"/>
        <v>-3.647593537494409E-3</v>
      </c>
      <c r="T1829" s="25"/>
      <c r="U1829" s="1" t="s">
        <v>5183</v>
      </c>
    </row>
    <row r="1830" spans="1:21">
      <c r="A1830" s="6" t="s">
        <v>5184</v>
      </c>
      <c r="B1830" s="6" t="s">
        <v>5185</v>
      </c>
      <c r="C1830" s="7">
        <v>1.1251410814466856</v>
      </c>
      <c r="D1830" s="7">
        <v>1.1240416092670809</v>
      </c>
      <c r="E1830" s="7">
        <v>1.0197454150797034</v>
      </c>
      <c r="F1830" s="8">
        <v>1.080035015266636</v>
      </c>
      <c r="G1830" s="8">
        <f t="shared" si="224"/>
        <v>1.1245913453568832</v>
      </c>
      <c r="H1830" s="8">
        <f t="shared" si="225"/>
        <v>1.0498902151731697</v>
      </c>
      <c r="I1830" s="8">
        <f t="shared" si="226"/>
        <v>0.9335748665574094</v>
      </c>
      <c r="J1830" s="22">
        <f t="shared" si="227"/>
        <v>-9.9162373153445449E-2</v>
      </c>
      <c r="K1830" s="8"/>
      <c r="L1830" s="8">
        <v>1.087598201653462</v>
      </c>
      <c r="M1830" s="8">
        <v>1.1131672669755184</v>
      </c>
      <c r="N1830" s="8">
        <v>0.86018792200395666</v>
      </c>
      <c r="O1830" s="8">
        <v>0.8436926218924401</v>
      </c>
      <c r="P1830" s="8">
        <f t="shared" si="228"/>
        <v>1.1003827343144903</v>
      </c>
      <c r="Q1830" s="8">
        <f t="shared" si="229"/>
        <v>0.85194027194819832</v>
      </c>
      <c r="R1830" s="8">
        <f t="shared" si="230"/>
        <v>0.77422177337136688</v>
      </c>
      <c r="S1830" s="22">
        <f t="shared" si="231"/>
        <v>-0.36918121389988284</v>
      </c>
      <c r="T1830" s="25"/>
      <c r="U1830" s="1" t="s">
        <v>5186</v>
      </c>
    </row>
    <row r="1831" spans="1:21">
      <c r="A1831" s="6" t="s">
        <v>5187</v>
      </c>
      <c r="B1831" s="6" t="s">
        <v>5188</v>
      </c>
      <c r="C1831" s="7">
        <v>1.0948654529060233</v>
      </c>
      <c r="D1831" s="7">
        <v>1.0724169378713495</v>
      </c>
      <c r="E1831" s="7">
        <v>1.0597993996026707</v>
      </c>
      <c r="F1831" s="8">
        <v>1.0709959247309639</v>
      </c>
      <c r="G1831" s="8">
        <f t="shared" si="224"/>
        <v>1.0836411953886864</v>
      </c>
      <c r="H1831" s="8">
        <f t="shared" si="225"/>
        <v>1.0653976621668173</v>
      </c>
      <c r="I1831" s="8">
        <f t="shared" si="226"/>
        <v>0.98316459977758097</v>
      </c>
      <c r="J1831" s="22">
        <f t="shared" si="227"/>
        <v>-2.4495124503042694E-2</v>
      </c>
      <c r="K1831" s="8"/>
      <c r="L1831" s="8">
        <v>1.0712399992498787</v>
      </c>
      <c r="M1831" s="8">
        <v>1.1917095567185645</v>
      </c>
      <c r="N1831" s="8">
        <v>1.0246155520879707</v>
      </c>
      <c r="O1831" s="8">
        <v>1.0125522649629093</v>
      </c>
      <c r="P1831" s="8">
        <f t="shared" si="228"/>
        <v>1.1314747779842216</v>
      </c>
      <c r="Q1831" s="8">
        <f t="shared" si="229"/>
        <v>1.01858390852544</v>
      </c>
      <c r="R1831" s="8">
        <f t="shared" si="230"/>
        <v>0.90022679103823922</v>
      </c>
      <c r="S1831" s="22">
        <f t="shared" si="231"/>
        <v>-0.15163959445753852</v>
      </c>
      <c r="T1831" s="25"/>
      <c r="U1831" s="1" t="s">
        <v>5189</v>
      </c>
    </row>
    <row r="1832" spans="1:21">
      <c r="A1832" s="6" t="s">
        <v>5190</v>
      </c>
      <c r="B1832" s="6" t="s">
        <v>5191</v>
      </c>
      <c r="C1832" s="7">
        <v>1.1456824372456871</v>
      </c>
      <c r="D1832" s="7">
        <v>1.198661550437206</v>
      </c>
      <c r="E1832" s="7">
        <v>1.2652934425526692</v>
      </c>
      <c r="F1832" s="8">
        <v>1.1233437371427091</v>
      </c>
      <c r="G1832" s="8">
        <f t="shared" si="224"/>
        <v>1.1721719938414465</v>
      </c>
      <c r="H1832" s="8">
        <f t="shared" si="225"/>
        <v>1.1943185898476891</v>
      </c>
      <c r="I1832" s="8">
        <f t="shared" si="226"/>
        <v>1.018893640287091</v>
      </c>
      <c r="J1832" s="22">
        <f t="shared" si="227"/>
        <v>2.7003460101437539E-2</v>
      </c>
      <c r="K1832" s="8"/>
      <c r="L1832" s="8">
        <v>0.18536332614930054</v>
      </c>
      <c r="M1832" s="8">
        <v>0.24519697109262287</v>
      </c>
      <c r="N1832" s="8">
        <v>0.29718771659629223</v>
      </c>
      <c r="O1832" s="8">
        <v>0.18379761508148504</v>
      </c>
      <c r="P1832" s="8">
        <f t="shared" si="228"/>
        <v>0.2152801486209617</v>
      </c>
      <c r="Q1832" s="8">
        <f t="shared" si="229"/>
        <v>0.24049266583888862</v>
      </c>
      <c r="R1832" s="8">
        <f t="shared" si="230"/>
        <v>1.1171149192316749</v>
      </c>
      <c r="S1832" s="22">
        <f t="shared" si="231"/>
        <v>0.15977760558635204</v>
      </c>
      <c r="T1832" s="25"/>
      <c r="U1832" s="1" t="s">
        <v>5192</v>
      </c>
    </row>
    <row r="1833" spans="1:21">
      <c r="A1833" s="6" t="s">
        <v>5193</v>
      </c>
      <c r="B1833" s="13" t="s">
        <v>5194</v>
      </c>
      <c r="C1833" s="14">
        <v>1.1124845523850131</v>
      </c>
      <c r="D1833" s="14">
        <v>1.0598952090647253</v>
      </c>
      <c r="E1833" s="14">
        <v>1.0349794386155289</v>
      </c>
      <c r="F1833" s="8">
        <v>1.0858028158941602</v>
      </c>
      <c r="G1833" s="8">
        <f t="shared" si="224"/>
        <v>1.0861898807248691</v>
      </c>
      <c r="H1833" s="8">
        <f t="shared" si="225"/>
        <v>1.0603911272548445</v>
      </c>
      <c r="I1833" s="8">
        <f t="shared" si="226"/>
        <v>0.97624839456908974</v>
      </c>
      <c r="J1833" s="22">
        <f t="shared" si="227"/>
        <v>-3.4679824128640041E-2</v>
      </c>
      <c r="K1833" s="8"/>
      <c r="L1833" s="8">
        <v>1.1185809926189445</v>
      </c>
      <c r="M1833" s="8">
        <v>1.1962627329355526</v>
      </c>
      <c r="N1833" s="8">
        <v>1.2498448658297181</v>
      </c>
      <c r="O1833" s="8">
        <v>1.009877560514991</v>
      </c>
      <c r="P1833" s="8">
        <f t="shared" si="228"/>
        <v>1.1574218627772486</v>
      </c>
      <c r="Q1833" s="8">
        <f t="shared" si="229"/>
        <v>1.1298612131723544</v>
      </c>
      <c r="R1833" s="8">
        <f t="shared" si="230"/>
        <v>0.97618789614120305</v>
      </c>
      <c r="S1833" s="22">
        <f t="shared" si="231"/>
        <v>-3.47692311759654E-2</v>
      </c>
      <c r="T1833" s="25"/>
      <c r="U1833" s="1" t="s">
        <v>5195</v>
      </c>
    </row>
    <row r="1834" spans="1:21">
      <c r="A1834" s="6" t="s">
        <v>5196</v>
      </c>
      <c r="B1834" s="6" t="s">
        <v>5197</v>
      </c>
      <c r="C1834" s="7">
        <v>1.1263389432715551</v>
      </c>
      <c r="D1834" s="7">
        <v>1.0867284081018307</v>
      </c>
      <c r="E1834" s="7">
        <v>1.0627527881277765</v>
      </c>
      <c r="F1834" s="8">
        <v>0.9972269025259517</v>
      </c>
      <c r="G1834" s="8">
        <f t="shared" si="224"/>
        <v>1.106533675686693</v>
      </c>
      <c r="H1834" s="8">
        <f t="shared" si="225"/>
        <v>1.0299898453268641</v>
      </c>
      <c r="I1834" s="8">
        <f t="shared" si="226"/>
        <v>0.93082557536052635</v>
      </c>
      <c r="J1834" s="22">
        <f t="shared" si="227"/>
        <v>-0.10341724411520242</v>
      </c>
      <c r="K1834" s="8"/>
      <c r="L1834" s="8">
        <v>1.0515923757107921</v>
      </c>
      <c r="M1834" s="8">
        <v>1.1753518495686439</v>
      </c>
      <c r="N1834" s="8">
        <v>0.91100214961214232</v>
      </c>
      <c r="O1834" s="8">
        <v>0.87720212667390807</v>
      </c>
      <c r="P1834" s="8">
        <f t="shared" si="228"/>
        <v>1.113472112639718</v>
      </c>
      <c r="Q1834" s="8">
        <f t="shared" si="229"/>
        <v>0.89410213814302519</v>
      </c>
      <c r="R1834" s="8">
        <f t="shared" si="230"/>
        <v>0.80298565899721497</v>
      </c>
      <c r="S1834" s="22">
        <f t="shared" si="231"/>
        <v>-0.31655387287123965</v>
      </c>
      <c r="T1834" s="25"/>
      <c r="U1834" s="1" t="s">
        <v>5198</v>
      </c>
    </row>
    <row r="1835" spans="1:21">
      <c r="A1835" s="6" t="s">
        <v>5199</v>
      </c>
      <c r="B1835" s="6" t="s">
        <v>5200</v>
      </c>
      <c r="C1835" s="7">
        <v>1.1339275953818559</v>
      </c>
      <c r="D1835" s="7">
        <v>1.0870837719224522</v>
      </c>
      <c r="E1835" s="7">
        <v>1.0094480774727046</v>
      </c>
      <c r="F1835" s="8">
        <v>1.0087625037809997</v>
      </c>
      <c r="G1835" s="8">
        <f t="shared" si="224"/>
        <v>1.1105056836521541</v>
      </c>
      <c r="H1835" s="8">
        <f t="shared" si="225"/>
        <v>1.0091052906268523</v>
      </c>
      <c r="I1835" s="8">
        <f t="shared" si="226"/>
        <v>0.9086898927956647</v>
      </c>
      <c r="J1835" s="22">
        <f t="shared" si="227"/>
        <v>-0.13814006279716193</v>
      </c>
      <c r="K1835" s="8"/>
      <c r="L1835" s="8">
        <v>1.0669281904641514</v>
      </c>
      <c r="M1835" s="8">
        <v>1.0473991660634667</v>
      </c>
      <c r="N1835" s="8">
        <v>0.98081690336336969</v>
      </c>
      <c r="O1835" s="8">
        <v>0.82491922463535272</v>
      </c>
      <c r="P1835" s="8">
        <f t="shared" si="228"/>
        <v>1.0571636782638092</v>
      </c>
      <c r="Q1835" s="8">
        <f t="shared" si="229"/>
        <v>0.90286806399936115</v>
      </c>
      <c r="R1835" s="8">
        <f t="shared" si="230"/>
        <v>0.8540475638381283</v>
      </c>
      <c r="S1835" s="22">
        <f t="shared" si="231"/>
        <v>-0.22761167585827896</v>
      </c>
      <c r="T1835" s="25"/>
      <c r="U1835" s="1" t="s">
        <v>5201</v>
      </c>
    </row>
    <row r="1836" spans="1:21">
      <c r="A1836" s="6" t="s">
        <v>5202</v>
      </c>
      <c r="B1836" s="6" t="s">
        <v>5203</v>
      </c>
      <c r="C1836" s="7">
        <v>1.0866186349578819</v>
      </c>
      <c r="D1836" s="7">
        <v>1.1469076558339761</v>
      </c>
      <c r="E1836" s="7">
        <v>1.0010478069475255</v>
      </c>
      <c r="F1836" s="8">
        <v>1.0540296952731352</v>
      </c>
      <c r="G1836" s="8">
        <f t="shared" si="224"/>
        <v>1.116763145395929</v>
      </c>
      <c r="H1836" s="8">
        <f t="shared" si="225"/>
        <v>1.0275387511103302</v>
      </c>
      <c r="I1836" s="8">
        <f t="shared" si="226"/>
        <v>0.92010446023989645</v>
      </c>
      <c r="J1836" s="22">
        <f t="shared" si="227"/>
        <v>-0.1201304340275454</v>
      </c>
      <c r="K1836" s="8"/>
      <c r="L1836" s="8">
        <v>1.1300495149562395</v>
      </c>
      <c r="M1836" s="8">
        <v>1.1524594913665644</v>
      </c>
      <c r="N1836" s="8">
        <v>0.72757399338508655</v>
      </c>
      <c r="O1836" s="8">
        <v>0.64768220536951648</v>
      </c>
      <c r="P1836" s="8">
        <f t="shared" si="228"/>
        <v>1.1412545031614019</v>
      </c>
      <c r="Q1836" s="8">
        <f t="shared" si="229"/>
        <v>0.68762809937730152</v>
      </c>
      <c r="R1836" s="8">
        <f t="shared" si="230"/>
        <v>0.60251950592308312</v>
      </c>
      <c r="S1836" s="22">
        <f t="shared" si="231"/>
        <v>-0.73092014708339192</v>
      </c>
      <c r="T1836" s="25"/>
      <c r="U1836" s="1" t="s">
        <v>5204</v>
      </c>
    </row>
    <row r="1837" spans="1:21">
      <c r="A1837" s="6" t="s">
        <v>5205</v>
      </c>
      <c r="B1837" s="6" t="s">
        <v>5206</v>
      </c>
      <c r="C1837" s="7">
        <v>1.1137219041601532</v>
      </c>
      <c r="D1837" s="7">
        <v>0.86767568791040672</v>
      </c>
      <c r="E1837" s="7">
        <v>1.0664247626687229</v>
      </c>
      <c r="F1837" s="8">
        <v>0.86009098611332724</v>
      </c>
      <c r="G1837" s="8">
        <f t="shared" si="224"/>
        <v>0.99069879603527999</v>
      </c>
      <c r="H1837" s="8">
        <f t="shared" si="225"/>
        <v>0.96325787439102506</v>
      </c>
      <c r="I1837" s="8">
        <f t="shared" si="226"/>
        <v>0.97230144847851641</v>
      </c>
      <c r="J1837" s="22">
        <f t="shared" si="227"/>
        <v>-4.0524424265141717E-2</v>
      </c>
      <c r="K1837" s="8"/>
      <c r="L1837" s="8">
        <v>1.0158532595899197</v>
      </c>
      <c r="M1837" s="8">
        <v>0.81506070187993085</v>
      </c>
      <c r="N1837" s="8">
        <v>0.8660342377402771</v>
      </c>
      <c r="O1837" s="8">
        <v>0.92822337567099245</v>
      </c>
      <c r="P1837" s="8">
        <f t="shared" si="228"/>
        <v>0.91545698073492532</v>
      </c>
      <c r="Q1837" s="8">
        <f t="shared" si="229"/>
        <v>0.89712880670563477</v>
      </c>
      <c r="R1837" s="8">
        <f t="shared" si="230"/>
        <v>0.97997920774542924</v>
      </c>
      <c r="S1837" s="22">
        <f t="shared" si="231"/>
        <v>-2.9176955048065834E-2</v>
      </c>
      <c r="T1837" s="25"/>
      <c r="U1837" s="1" t="s">
        <v>5207</v>
      </c>
    </row>
    <row r="1838" spans="1:21">
      <c r="A1838" s="6" t="s">
        <v>5208</v>
      </c>
      <c r="B1838" s="6" t="s">
        <v>5209</v>
      </c>
      <c r="C1838" s="7">
        <v>1.0288777460041363</v>
      </c>
      <c r="D1838" s="7">
        <v>1.0165925122319104</v>
      </c>
      <c r="E1838" s="7">
        <v>1.0527716283677475</v>
      </c>
      <c r="F1838" s="8">
        <v>0.93763346992291385</v>
      </c>
      <c r="G1838" s="8">
        <f t="shared" si="224"/>
        <v>1.0227351291180233</v>
      </c>
      <c r="H1838" s="8">
        <f t="shared" si="225"/>
        <v>0.99520254914533068</v>
      </c>
      <c r="I1838" s="8">
        <f t="shared" si="226"/>
        <v>0.97307946193611639</v>
      </c>
      <c r="J1838" s="22">
        <f t="shared" si="227"/>
        <v>-3.9370474197206663E-2</v>
      </c>
      <c r="K1838" s="8"/>
      <c r="L1838" s="8">
        <v>0.9431748331500861</v>
      </c>
      <c r="M1838" s="8">
        <v>1.1172566937629984</v>
      </c>
      <c r="N1838" s="8">
        <v>1.3109388652742673</v>
      </c>
      <c r="O1838" s="8">
        <v>0.89885209286554923</v>
      </c>
      <c r="P1838" s="8">
        <f t="shared" si="228"/>
        <v>1.0302157634565423</v>
      </c>
      <c r="Q1838" s="8">
        <f t="shared" si="229"/>
        <v>1.1048954790699081</v>
      </c>
      <c r="R1838" s="8">
        <f t="shared" si="230"/>
        <v>1.0724893932537036</v>
      </c>
      <c r="S1838" s="22">
        <f t="shared" si="231"/>
        <v>0.10096337977521706</v>
      </c>
      <c r="T1838" s="25"/>
      <c r="U1838" s="1" t="s">
        <v>5210</v>
      </c>
    </row>
    <row r="1839" spans="1:21">
      <c r="A1839" s="6" t="s">
        <v>5211</v>
      </c>
      <c r="B1839" s="6" t="s">
        <v>5212</v>
      </c>
      <c r="C1839" s="7">
        <v>1.0204268966462646</v>
      </c>
      <c r="D1839" s="7">
        <v>0.91501014881718112</v>
      </c>
      <c r="E1839" s="7">
        <v>0.98512394083649291</v>
      </c>
      <c r="F1839" s="8">
        <v>1.0199178893230394</v>
      </c>
      <c r="G1839" s="8">
        <f t="shared" si="224"/>
        <v>0.96771852273172287</v>
      </c>
      <c r="H1839" s="8">
        <f t="shared" si="225"/>
        <v>1.0025209150797663</v>
      </c>
      <c r="I1839" s="8">
        <f t="shared" si="226"/>
        <v>1.0359633421604886</v>
      </c>
      <c r="J1839" s="22">
        <f t="shared" si="227"/>
        <v>5.0972953778370425E-2</v>
      </c>
      <c r="K1839" s="8"/>
      <c r="L1839" s="8">
        <v>1.0366566256901291</v>
      </c>
      <c r="M1839" s="8">
        <v>0.93247362562356129</v>
      </c>
      <c r="N1839" s="8">
        <v>0.81614567679034222</v>
      </c>
      <c r="O1839" s="8">
        <v>1.1578442292187017</v>
      </c>
      <c r="P1839" s="8">
        <f t="shared" si="228"/>
        <v>0.98456512565684517</v>
      </c>
      <c r="Q1839" s="8">
        <f t="shared" si="229"/>
        <v>0.98699495300452189</v>
      </c>
      <c r="R1839" s="8">
        <f t="shared" si="230"/>
        <v>1.0024679193730894</v>
      </c>
      <c r="S1839" s="22">
        <f t="shared" si="231"/>
        <v>3.5560687979973621E-3</v>
      </c>
      <c r="T1839" s="25"/>
      <c r="U1839" s="1" t="s">
        <v>5213</v>
      </c>
    </row>
    <row r="1840" spans="1:21">
      <c r="A1840" s="6" t="s">
        <v>5214</v>
      </c>
      <c r="B1840" s="6" t="s">
        <v>5215</v>
      </c>
      <c r="C1840" s="7">
        <v>1.1387124610229562</v>
      </c>
      <c r="D1840" s="7">
        <v>1.0818502320187546</v>
      </c>
      <c r="E1840" s="7">
        <v>1.0397580356208702</v>
      </c>
      <c r="F1840" s="8">
        <v>1.213031602124433</v>
      </c>
      <c r="G1840" s="8">
        <f t="shared" si="224"/>
        <v>1.1102813465208554</v>
      </c>
      <c r="H1840" s="8">
        <f t="shared" si="225"/>
        <v>1.1263948188726516</v>
      </c>
      <c r="I1840" s="8">
        <f t="shared" si="226"/>
        <v>1.0145129632253023</v>
      </c>
      <c r="J1840" s="22">
        <f t="shared" si="227"/>
        <v>2.0787299654820391E-2</v>
      </c>
      <c r="K1840" s="8"/>
      <c r="L1840" s="8">
        <v>1.2196195634432516</v>
      </c>
      <c r="M1840" s="8">
        <v>1.3810458010749898</v>
      </c>
      <c r="N1840" s="8">
        <v>1.4748305830824522</v>
      </c>
      <c r="O1840" s="8">
        <v>1.6101720776468593</v>
      </c>
      <c r="P1840" s="8">
        <f t="shared" si="228"/>
        <v>1.3003326822591208</v>
      </c>
      <c r="Q1840" s="8">
        <f t="shared" si="229"/>
        <v>1.5425013303646558</v>
      </c>
      <c r="R1840" s="8">
        <f t="shared" si="230"/>
        <v>1.1862359159386855</v>
      </c>
      <c r="S1840" s="22">
        <f t="shared" si="231"/>
        <v>0.24639095837301375</v>
      </c>
      <c r="T1840" s="25"/>
      <c r="U1840" s="1" t="s">
        <v>5216</v>
      </c>
    </row>
    <row r="1841" spans="1:21">
      <c r="A1841" s="6" t="s">
        <v>5217</v>
      </c>
      <c r="B1841" s="6" t="s">
        <v>5218</v>
      </c>
      <c r="C1841" s="7">
        <v>1.0419357562268916</v>
      </c>
      <c r="D1841" s="7">
        <v>1.028377668755792</v>
      </c>
      <c r="E1841" s="7">
        <v>1.0874218460515916</v>
      </c>
      <c r="F1841" s="8">
        <v>1.0356932544722004</v>
      </c>
      <c r="G1841" s="8">
        <f t="shared" si="224"/>
        <v>1.0351567124913417</v>
      </c>
      <c r="H1841" s="8">
        <f t="shared" si="225"/>
        <v>1.0615575502618961</v>
      </c>
      <c r="I1841" s="8">
        <f t="shared" si="226"/>
        <v>1.0255041941495167</v>
      </c>
      <c r="J1841" s="22">
        <f t="shared" si="227"/>
        <v>3.6333392223747235E-2</v>
      </c>
      <c r="K1841" s="8"/>
      <c r="L1841" s="8">
        <v>1.0477695349316938</v>
      </c>
      <c r="M1841" s="8">
        <v>1.0557044967555655</v>
      </c>
      <c r="N1841" s="8">
        <v>0.81103015052106175</v>
      </c>
      <c r="O1841" s="8">
        <v>0.65176996122388231</v>
      </c>
      <c r="P1841" s="8">
        <f t="shared" si="228"/>
        <v>1.0517370158436297</v>
      </c>
      <c r="Q1841" s="8">
        <f t="shared" si="229"/>
        <v>0.73140005587247203</v>
      </c>
      <c r="R1841" s="8">
        <f t="shared" si="230"/>
        <v>0.69542104618785738</v>
      </c>
      <c r="S1841" s="22">
        <f t="shared" si="231"/>
        <v>-0.52404136551035874</v>
      </c>
      <c r="T1841" s="25"/>
      <c r="U1841" s="1" t="s">
        <v>5219</v>
      </c>
    </row>
    <row r="1842" spans="1:21">
      <c r="A1842" s="6" t="s">
        <v>5220</v>
      </c>
      <c r="B1842" s="6" t="s">
        <v>5221</v>
      </c>
      <c r="C1842" s="7">
        <v>1.0527362576258539</v>
      </c>
      <c r="D1842" s="7">
        <v>1.0667698837036563</v>
      </c>
      <c r="E1842" s="7">
        <v>0.99853994175224103</v>
      </c>
      <c r="F1842" s="8">
        <v>1.0137842207452621</v>
      </c>
      <c r="G1842" s="8">
        <f t="shared" si="224"/>
        <v>1.0597530706647551</v>
      </c>
      <c r="H1842" s="8">
        <f t="shared" si="225"/>
        <v>1.0061620812487515</v>
      </c>
      <c r="I1842" s="8">
        <f t="shared" si="226"/>
        <v>0.9494306825811909</v>
      </c>
      <c r="J1842" s="22">
        <f t="shared" si="227"/>
        <v>-7.4865421049597841E-2</v>
      </c>
      <c r="K1842" s="8"/>
      <c r="L1842" s="8">
        <v>1.1225371883089417</v>
      </c>
      <c r="M1842" s="8">
        <v>1.114684992381181</v>
      </c>
      <c r="N1842" s="8">
        <v>0.71831732680257909</v>
      </c>
      <c r="O1842" s="8">
        <v>0.80483370821513545</v>
      </c>
      <c r="P1842" s="8">
        <f t="shared" si="228"/>
        <v>1.1186110903450612</v>
      </c>
      <c r="Q1842" s="8">
        <f t="shared" si="229"/>
        <v>0.76157551750885721</v>
      </c>
      <c r="R1842" s="8">
        <f t="shared" si="230"/>
        <v>0.68082242709924479</v>
      </c>
      <c r="S1842" s="22">
        <f t="shared" si="231"/>
        <v>-0.55464953299283104</v>
      </c>
      <c r="T1842" s="25"/>
      <c r="U1842" s="1" t="s">
        <v>5222</v>
      </c>
    </row>
    <row r="1843" spans="1:21">
      <c r="A1843" s="6" t="s">
        <v>5223</v>
      </c>
      <c r="B1843" s="6" t="s">
        <v>5224</v>
      </c>
      <c r="C1843" s="7">
        <v>0.99381067016399538</v>
      </c>
      <c r="D1843" s="7">
        <v>0.88044294081127839</v>
      </c>
      <c r="E1843" s="7">
        <v>1.0773257125290281</v>
      </c>
      <c r="F1843" s="8">
        <v>1.0620070513649347</v>
      </c>
      <c r="G1843" s="8">
        <f t="shared" si="224"/>
        <v>0.93712680548763694</v>
      </c>
      <c r="H1843" s="8">
        <f t="shared" si="225"/>
        <v>1.0696663819469814</v>
      </c>
      <c r="I1843" s="8">
        <f t="shared" si="226"/>
        <v>1.1414318485857173</v>
      </c>
      <c r="J1843" s="22">
        <f t="shared" si="227"/>
        <v>0.19084472321342369</v>
      </c>
      <c r="K1843" s="8"/>
      <c r="L1843" s="8">
        <v>1.0062961576421741</v>
      </c>
      <c r="M1843" s="8">
        <v>1.0689424350160683</v>
      </c>
      <c r="N1843" s="8">
        <v>0.76323651937664161</v>
      </c>
      <c r="O1843" s="8">
        <v>0.81719790802155057</v>
      </c>
      <c r="P1843" s="8">
        <f t="shared" si="228"/>
        <v>1.0376192963291211</v>
      </c>
      <c r="Q1843" s="8">
        <f t="shared" si="229"/>
        <v>0.79021721369909614</v>
      </c>
      <c r="R1843" s="8">
        <f t="shared" si="230"/>
        <v>0.76156757733276403</v>
      </c>
      <c r="S1843" s="22">
        <f t="shared" si="231"/>
        <v>-0.39295603564398912</v>
      </c>
      <c r="T1843" s="25"/>
      <c r="U1843" s="1" t="s">
        <v>5225</v>
      </c>
    </row>
    <row r="1844" spans="1:21">
      <c r="A1844" s="6" t="s">
        <v>5226</v>
      </c>
      <c r="B1844" s="13" t="s">
        <v>5227</v>
      </c>
      <c r="C1844" s="14">
        <v>1.0324515865036101</v>
      </c>
      <c r="D1844" s="14">
        <v>1.1231564302957147</v>
      </c>
      <c r="E1844" s="14">
        <v>1.0022478455939796</v>
      </c>
      <c r="F1844" s="8">
        <v>1.0305567554058979</v>
      </c>
      <c r="G1844" s="8">
        <f t="shared" si="224"/>
        <v>1.0778040083996623</v>
      </c>
      <c r="H1844" s="8">
        <f t="shared" si="225"/>
        <v>1.0164023004999387</v>
      </c>
      <c r="I1844" s="8">
        <f t="shared" si="226"/>
        <v>0.94303072968628721</v>
      </c>
      <c r="J1844" s="22">
        <f t="shared" si="227"/>
        <v>-8.4623311427416845E-2</v>
      </c>
      <c r="K1844" s="8"/>
      <c r="L1844" s="8">
        <v>1.0308334612475492</v>
      </c>
      <c r="M1844" s="8">
        <v>1.050392457835746</v>
      </c>
      <c r="N1844" s="8">
        <v>1.1179130073800854</v>
      </c>
      <c r="O1844" s="8">
        <v>0.97611572512522893</v>
      </c>
      <c r="P1844" s="8">
        <f t="shared" si="228"/>
        <v>1.0406129595416476</v>
      </c>
      <c r="Q1844" s="8">
        <f t="shared" si="229"/>
        <v>1.0470143662526572</v>
      </c>
      <c r="R1844" s="8">
        <f t="shared" si="230"/>
        <v>1.0061515731207396</v>
      </c>
      <c r="S1844" s="22">
        <f t="shared" si="231"/>
        <v>8.8476583418350182E-3</v>
      </c>
      <c r="T1844" s="25"/>
      <c r="U1844" s="1" t="s">
        <v>5228</v>
      </c>
    </row>
    <row r="1845" spans="1:21">
      <c r="A1845" s="6" t="s">
        <v>5229</v>
      </c>
      <c r="B1845" s="6" t="s">
        <v>5230</v>
      </c>
      <c r="C1845" s="7">
        <v>1.0572117853231693</v>
      </c>
      <c r="D1845" s="7">
        <v>1.1431149546938892</v>
      </c>
      <c r="E1845" s="7">
        <v>1.0577298718770491</v>
      </c>
      <c r="F1845" s="8">
        <v>1.1119013963455688</v>
      </c>
      <c r="G1845" s="8">
        <f t="shared" si="224"/>
        <v>1.1001633700085294</v>
      </c>
      <c r="H1845" s="8">
        <f t="shared" si="225"/>
        <v>1.0848156341113091</v>
      </c>
      <c r="I1845" s="8">
        <f t="shared" si="226"/>
        <v>0.98604958471113135</v>
      </c>
      <c r="J1845" s="22">
        <f t="shared" si="227"/>
        <v>-2.026789877282165E-2</v>
      </c>
      <c r="K1845" s="8"/>
      <c r="L1845" s="8">
        <v>1.0256326197224968</v>
      </c>
      <c r="M1845" s="8">
        <v>1.0065892162667578</v>
      </c>
      <c r="N1845" s="8">
        <v>0.66725950270538004</v>
      </c>
      <c r="O1845" s="8">
        <v>0.66726306057314533</v>
      </c>
      <c r="P1845" s="8">
        <f t="shared" si="228"/>
        <v>1.0161109179946273</v>
      </c>
      <c r="Q1845" s="8">
        <f t="shared" si="229"/>
        <v>0.66726128163926268</v>
      </c>
      <c r="R1845" s="8">
        <f t="shared" si="230"/>
        <v>0.65668153921242567</v>
      </c>
      <c r="S1845" s="22">
        <f t="shared" si="231"/>
        <v>-0.60673419646330806</v>
      </c>
      <c r="T1845" s="25"/>
      <c r="U1845" s="1" t="s">
        <v>5231</v>
      </c>
    </row>
    <row r="1846" spans="1:21">
      <c r="A1846" s="6" t="s">
        <v>5232</v>
      </c>
      <c r="B1846" s="13" t="s">
        <v>5233</v>
      </c>
      <c r="C1846" s="14">
        <v>1.0973204114811683</v>
      </c>
      <c r="D1846" s="14">
        <v>1.0329392479804962</v>
      </c>
      <c r="E1846" s="14">
        <v>1.0426970524256591</v>
      </c>
      <c r="F1846" s="8">
        <v>1.1230496080062309</v>
      </c>
      <c r="G1846" s="8">
        <f t="shared" si="224"/>
        <v>1.0651298297308323</v>
      </c>
      <c r="H1846" s="8">
        <f t="shared" si="225"/>
        <v>1.082873330215945</v>
      </c>
      <c r="I1846" s="8">
        <f t="shared" si="226"/>
        <v>1.0166585330631448</v>
      </c>
      <c r="J1846" s="22">
        <f t="shared" si="227"/>
        <v>2.3835199964461578E-2</v>
      </c>
      <c r="K1846" s="8"/>
      <c r="L1846" s="8">
        <v>0.89730074380090663</v>
      </c>
      <c r="M1846" s="8">
        <v>1.0580654029421521</v>
      </c>
      <c r="N1846" s="8">
        <v>0.79846057168797269</v>
      </c>
      <c r="O1846" s="8">
        <v>0.7471509311590846</v>
      </c>
      <c r="P1846" s="8">
        <f t="shared" si="228"/>
        <v>0.97768307337152938</v>
      </c>
      <c r="Q1846" s="8">
        <f t="shared" si="229"/>
        <v>0.7728057514235287</v>
      </c>
      <c r="R1846" s="8">
        <f t="shared" si="230"/>
        <v>0.79044607856257199</v>
      </c>
      <c r="S1846" s="22">
        <f t="shared" si="231"/>
        <v>-0.33926104450317079</v>
      </c>
      <c r="T1846" s="25"/>
      <c r="U1846" s="1" t="s">
        <v>5234</v>
      </c>
    </row>
    <row r="1847" spans="1:21">
      <c r="A1847" s="6" t="s">
        <v>5235</v>
      </c>
      <c r="B1847" s="6" t="s">
        <v>5236</v>
      </c>
      <c r="C1847" s="7">
        <v>1.036755991083087</v>
      </c>
      <c r="D1847" s="7">
        <v>1.0723264816261004</v>
      </c>
      <c r="E1847" s="7">
        <v>0.9966500605305797</v>
      </c>
      <c r="F1847" s="8">
        <v>1.0456721234683273</v>
      </c>
      <c r="G1847" s="8">
        <f t="shared" si="224"/>
        <v>1.0545412363545936</v>
      </c>
      <c r="H1847" s="8">
        <f t="shared" si="225"/>
        <v>1.0211610919994536</v>
      </c>
      <c r="I1847" s="8">
        <f t="shared" si="226"/>
        <v>0.96834628822052449</v>
      </c>
      <c r="J1847" s="22">
        <f t="shared" si="227"/>
        <v>-4.640503606572214E-2</v>
      </c>
      <c r="K1847" s="8"/>
      <c r="L1847" s="8">
        <v>0.94344154297188365</v>
      </c>
      <c r="M1847" s="8">
        <v>0.9268664734304185</v>
      </c>
      <c r="N1847" s="8">
        <v>0.73059458984885217</v>
      </c>
      <c r="O1847" s="8">
        <v>0.79378162757185011</v>
      </c>
      <c r="P1847" s="8">
        <f t="shared" si="228"/>
        <v>0.93515400820115113</v>
      </c>
      <c r="Q1847" s="8">
        <f t="shared" si="229"/>
        <v>0.76218810871035114</v>
      </c>
      <c r="R1847" s="8">
        <f t="shared" si="230"/>
        <v>0.81504019875451883</v>
      </c>
      <c r="S1847" s="22">
        <f t="shared" si="231"/>
        <v>-0.29505687834905736</v>
      </c>
      <c r="T1847" s="25"/>
      <c r="U1847" s="1" t="s">
        <v>5237</v>
      </c>
    </row>
    <row r="1848" spans="1:21">
      <c r="A1848" s="6" t="s">
        <v>5238</v>
      </c>
      <c r="B1848" s="13" t="s">
        <v>5239</v>
      </c>
      <c r="C1848" s="14">
        <v>1.1162558426358391</v>
      </c>
      <c r="D1848" s="14">
        <v>1.1636291388843081</v>
      </c>
      <c r="E1848" s="14">
        <v>1.0787053976794425</v>
      </c>
      <c r="F1848" s="8">
        <v>1.1153735549322872</v>
      </c>
      <c r="G1848" s="8">
        <f t="shared" si="224"/>
        <v>1.1399424907600735</v>
      </c>
      <c r="H1848" s="8">
        <f t="shared" si="225"/>
        <v>1.0970394763058648</v>
      </c>
      <c r="I1848" s="8">
        <f t="shared" si="226"/>
        <v>0.96236387817634339</v>
      </c>
      <c r="J1848" s="22">
        <f t="shared" si="227"/>
        <v>-5.5345602159177033E-2</v>
      </c>
      <c r="K1848" s="8"/>
      <c r="L1848" s="8">
        <v>1.1715673438827254</v>
      </c>
      <c r="M1848" s="8">
        <v>1.0759829945367814</v>
      </c>
      <c r="N1848" s="8">
        <v>1.310695268785254</v>
      </c>
      <c r="O1848" s="8">
        <v>1.1598628740850552</v>
      </c>
      <c r="P1848" s="8">
        <f t="shared" si="228"/>
        <v>1.1237751692097535</v>
      </c>
      <c r="Q1848" s="8">
        <f t="shared" si="229"/>
        <v>1.2352790714351545</v>
      </c>
      <c r="R1848" s="8">
        <f t="shared" si="230"/>
        <v>1.0992226072265072</v>
      </c>
      <c r="S1848" s="22">
        <f t="shared" si="231"/>
        <v>0.13648358084632117</v>
      </c>
      <c r="T1848" s="25"/>
      <c r="U1848" s="1" t="s">
        <v>5240</v>
      </c>
    </row>
    <row r="1849" spans="1:21">
      <c r="A1849" s="6" t="s">
        <v>5241</v>
      </c>
      <c r="B1849" s="6" t="s">
        <v>5242</v>
      </c>
      <c r="C1849" s="7">
        <v>1.0413499886312136</v>
      </c>
      <c r="D1849" s="7">
        <v>0.97676591968081061</v>
      </c>
      <c r="E1849" s="7">
        <v>1.0456648126710817</v>
      </c>
      <c r="F1849" s="8">
        <v>1.1133289987396948</v>
      </c>
      <c r="G1849" s="8">
        <f t="shared" si="224"/>
        <v>1.0090579541560121</v>
      </c>
      <c r="H1849" s="8">
        <f t="shared" si="225"/>
        <v>1.0794969057053883</v>
      </c>
      <c r="I1849" s="8">
        <f t="shared" si="226"/>
        <v>1.0698066461487756</v>
      </c>
      <c r="J1849" s="22">
        <f t="shared" si="227"/>
        <v>9.7350071533751442E-2</v>
      </c>
      <c r="K1849" s="8"/>
      <c r="L1849" s="8">
        <v>0.86698472738991794</v>
      </c>
      <c r="M1849" s="8">
        <v>1.0209654485815076</v>
      </c>
      <c r="N1849" s="8">
        <v>0.78228576481748591</v>
      </c>
      <c r="O1849" s="8">
        <v>0.92428701818160308</v>
      </c>
      <c r="P1849" s="8">
        <f t="shared" si="228"/>
        <v>0.94397508798571272</v>
      </c>
      <c r="Q1849" s="8">
        <f t="shared" si="229"/>
        <v>0.85328639149954455</v>
      </c>
      <c r="R1849" s="8">
        <f t="shared" si="230"/>
        <v>0.90392893028598575</v>
      </c>
      <c r="S1849" s="22">
        <f t="shared" si="231"/>
        <v>-0.14571874697538392</v>
      </c>
      <c r="T1849" s="25"/>
      <c r="U1849" s="1" t="s">
        <v>5243</v>
      </c>
    </row>
    <row r="1850" spans="1:21">
      <c r="A1850" s="6" t="s">
        <v>5244</v>
      </c>
      <c r="B1850" s="9" t="s">
        <v>5245</v>
      </c>
      <c r="C1850" s="10">
        <v>1.0871978208951816</v>
      </c>
      <c r="D1850" s="10">
        <v>1.0226853864654741</v>
      </c>
      <c r="E1850" s="10">
        <v>1.1077865737405204</v>
      </c>
      <c r="F1850" s="8">
        <v>1.096183422247428</v>
      </c>
      <c r="G1850" s="8">
        <f t="shared" si="224"/>
        <v>1.0549416036803279</v>
      </c>
      <c r="H1850" s="8">
        <f t="shared" si="225"/>
        <v>1.1019849979939742</v>
      </c>
      <c r="I1850" s="8">
        <f t="shared" si="226"/>
        <v>1.044593363414172</v>
      </c>
      <c r="J1850" s="22">
        <f t="shared" si="227"/>
        <v>6.2941443017832416E-2</v>
      </c>
      <c r="K1850" s="8"/>
      <c r="L1850" s="8">
        <v>0.99420531238735155</v>
      </c>
      <c r="M1850" s="8">
        <v>0.99233946106914672</v>
      </c>
      <c r="N1850" s="8">
        <v>0.92415636001886348</v>
      </c>
      <c r="O1850" s="8">
        <v>0.85696521188871433</v>
      </c>
      <c r="P1850" s="8">
        <f t="shared" si="228"/>
        <v>0.99327238672824913</v>
      </c>
      <c r="Q1850" s="8">
        <f t="shared" si="229"/>
        <v>0.89056078595378896</v>
      </c>
      <c r="R1850" s="8">
        <f t="shared" si="230"/>
        <v>0.89659271500259552</v>
      </c>
      <c r="S1850" s="22">
        <f t="shared" si="231"/>
        <v>-0.15747531764054812</v>
      </c>
      <c r="T1850" s="25"/>
      <c r="U1850" s="1" t="s">
        <v>5246</v>
      </c>
    </row>
    <row r="1851" spans="1:21">
      <c r="A1851" s="6" t="s">
        <v>5247</v>
      </c>
      <c r="B1851" s="6" t="s">
        <v>80</v>
      </c>
      <c r="C1851" s="7">
        <v>1.0131278375046135</v>
      </c>
      <c r="D1851" s="7">
        <v>1.0345933050364795</v>
      </c>
      <c r="E1851" s="7">
        <v>1.1261536323054118</v>
      </c>
      <c r="F1851" s="8">
        <v>1.0200757147133448</v>
      </c>
      <c r="G1851" s="8">
        <f t="shared" si="224"/>
        <v>1.0238605712705464</v>
      </c>
      <c r="H1851" s="8">
        <f t="shared" si="225"/>
        <v>1.0731146735093784</v>
      </c>
      <c r="I1851" s="8">
        <f t="shared" si="226"/>
        <v>1.0481062594076758</v>
      </c>
      <c r="J1851" s="22">
        <f t="shared" si="227"/>
        <v>6.7784988010182776E-2</v>
      </c>
      <c r="K1851" s="8"/>
      <c r="L1851" s="8">
        <v>0.92779456675976046</v>
      </c>
      <c r="M1851" s="8">
        <v>0.97842697818390501</v>
      </c>
      <c r="N1851" s="8">
        <v>0.78969109808349192</v>
      </c>
      <c r="O1851" s="8">
        <v>1.0667024135028418</v>
      </c>
      <c r="P1851" s="8">
        <f t="shared" si="228"/>
        <v>0.95311077247183273</v>
      </c>
      <c r="Q1851" s="8">
        <f t="shared" si="229"/>
        <v>0.92819675579316685</v>
      </c>
      <c r="R1851" s="8">
        <f t="shared" si="230"/>
        <v>0.97386031361910541</v>
      </c>
      <c r="S1851" s="22">
        <f t="shared" si="231"/>
        <v>-3.8213241780195535E-2</v>
      </c>
      <c r="T1851" s="25"/>
      <c r="U1851" s="1">
        <v>0</v>
      </c>
    </row>
    <row r="1852" spans="1:21">
      <c r="A1852" s="6" t="s">
        <v>5248</v>
      </c>
      <c r="B1852" s="6" t="s">
        <v>80</v>
      </c>
      <c r="C1852" s="7">
        <v>1.1596355530079052</v>
      </c>
      <c r="D1852" s="7">
        <v>1.2216503590512251</v>
      </c>
      <c r="E1852" s="7">
        <v>1.3051102936904089</v>
      </c>
      <c r="F1852" s="8">
        <v>1.1717028715085547</v>
      </c>
      <c r="G1852" s="8">
        <f t="shared" si="224"/>
        <v>1.1906429560295653</v>
      </c>
      <c r="H1852" s="8">
        <f t="shared" si="225"/>
        <v>1.2384065825994819</v>
      </c>
      <c r="I1852" s="8">
        <f t="shared" si="226"/>
        <v>1.0401158267707675</v>
      </c>
      <c r="J1852" s="22">
        <f t="shared" si="227"/>
        <v>5.674419510022008E-2</v>
      </c>
      <c r="K1852" s="8"/>
      <c r="L1852" s="8">
        <v>1.2379780895103165</v>
      </c>
      <c r="M1852" s="8">
        <v>1.2753952492252454</v>
      </c>
      <c r="N1852" s="8">
        <v>1.3897179698211861</v>
      </c>
      <c r="O1852" s="8">
        <v>1.2868356361786895</v>
      </c>
      <c r="P1852" s="8">
        <f t="shared" si="228"/>
        <v>1.256686669367781</v>
      </c>
      <c r="Q1852" s="8">
        <f t="shared" si="229"/>
        <v>1.3382768029999377</v>
      </c>
      <c r="R1852" s="8">
        <f t="shared" si="230"/>
        <v>1.0649248023560267</v>
      </c>
      <c r="S1852" s="22">
        <f t="shared" si="231"/>
        <v>9.0751560875275125E-2</v>
      </c>
      <c r="T1852" s="25"/>
      <c r="U1852" s="1">
        <v>0</v>
      </c>
    </row>
    <row r="1853" spans="1:21">
      <c r="A1853" s="6" t="s">
        <v>5249</v>
      </c>
      <c r="B1853" s="6" t="s">
        <v>5250</v>
      </c>
      <c r="C1853" s="7">
        <v>6.5842910417562003E-2</v>
      </c>
      <c r="D1853" s="7">
        <v>8.9519376994725522E-2</v>
      </c>
      <c r="E1853" s="7">
        <v>9.6973182837718261E-2</v>
      </c>
      <c r="F1853" s="8">
        <v>9.461632148807822E-2</v>
      </c>
      <c r="G1853" s="8">
        <f t="shared" si="224"/>
        <v>7.7681143706143763E-2</v>
      </c>
      <c r="H1853" s="8">
        <f t="shared" si="225"/>
        <v>9.5794752162898233E-2</v>
      </c>
      <c r="I1853" s="8">
        <f t="shared" si="226"/>
        <v>1.2331789620049309</v>
      </c>
      <c r="J1853" s="22">
        <f t="shared" si="227"/>
        <v>0.30238218243475146</v>
      </c>
      <c r="K1853" s="8"/>
      <c r="L1853" s="8">
        <v>0.67775410882455289</v>
      </c>
      <c r="M1853" s="8">
        <v>0.92581249745426375</v>
      </c>
      <c r="N1853" s="8">
        <v>1.0607165517597499</v>
      </c>
      <c r="O1853" s="8">
        <v>0.60418040849959886</v>
      </c>
      <c r="P1853" s="8">
        <f t="shared" si="228"/>
        <v>0.80178330313940838</v>
      </c>
      <c r="Q1853" s="8">
        <f t="shared" si="229"/>
        <v>0.83244848012967432</v>
      </c>
      <c r="R1853" s="8">
        <f t="shared" si="230"/>
        <v>1.0382462154926344</v>
      </c>
      <c r="S1853" s="22">
        <f t="shared" si="231"/>
        <v>5.4148613010038149E-2</v>
      </c>
      <c r="T1853" s="25"/>
      <c r="U1853" s="1" t="s">
        <v>5251</v>
      </c>
    </row>
    <row r="1854" spans="1:21">
      <c r="A1854" s="6" t="s">
        <v>5252</v>
      </c>
      <c r="B1854" s="6" t="s">
        <v>5253</v>
      </c>
      <c r="C1854" s="7">
        <v>0.1172522440112822</v>
      </c>
      <c r="D1854" s="7">
        <v>0.12068155348303741</v>
      </c>
      <c r="E1854" s="7">
        <v>0.10986461596190253</v>
      </c>
      <c r="F1854" s="8">
        <v>0.10217759245998165</v>
      </c>
      <c r="G1854" s="8">
        <f t="shared" si="224"/>
        <v>0.11896689874715981</v>
      </c>
      <c r="H1854" s="8">
        <f t="shared" si="225"/>
        <v>0.10602110421094209</v>
      </c>
      <c r="I1854" s="8">
        <f t="shared" si="226"/>
        <v>0.89118154148296835</v>
      </c>
      <c r="J1854" s="22">
        <f t="shared" si="227"/>
        <v>-0.16620874359044061</v>
      </c>
      <c r="K1854" s="8"/>
      <c r="L1854" s="8">
        <v>0.92379391943279709</v>
      </c>
      <c r="M1854" s="8">
        <v>0.7183478663079782</v>
      </c>
      <c r="N1854" s="8">
        <v>0.87607041308762734</v>
      </c>
      <c r="O1854" s="8">
        <v>0.92448888266823848</v>
      </c>
      <c r="P1854" s="8">
        <f t="shared" si="228"/>
        <v>0.82107089287038759</v>
      </c>
      <c r="Q1854" s="8">
        <f t="shared" si="229"/>
        <v>0.90027964787793291</v>
      </c>
      <c r="R1854" s="8">
        <f t="shared" si="230"/>
        <v>1.0964700559907061</v>
      </c>
      <c r="S1854" s="22">
        <f t="shared" si="231"/>
        <v>0.13286641332149951</v>
      </c>
      <c r="T1854" s="25"/>
      <c r="U1854" s="1" t="s">
        <v>5254</v>
      </c>
    </row>
    <row r="1855" spans="1:21">
      <c r="A1855" s="6" t="s">
        <v>5255</v>
      </c>
      <c r="B1855" s="6" t="s">
        <v>5256</v>
      </c>
      <c r="C1855" s="7">
        <v>1.1557194662727543</v>
      </c>
      <c r="D1855" s="7">
        <v>1.104800273670524</v>
      </c>
      <c r="E1855" s="7">
        <v>1.1168191999596395</v>
      </c>
      <c r="F1855" s="8">
        <v>1.070773534408261</v>
      </c>
      <c r="G1855" s="8">
        <f t="shared" si="224"/>
        <v>1.1302598699716393</v>
      </c>
      <c r="H1855" s="8">
        <f t="shared" si="225"/>
        <v>1.0937963671839501</v>
      </c>
      <c r="I1855" s="8">
        <f t="shared" si="226"/>
        <v>0.96773883267340621</v>
      </c>
      <c r="J1855" s="22">
        <f t="shared" si="227"/>
        <v>-4.7310340408684787E-2</v>
      </c>
      <c r="K1855" s="8"/>
      <c r="L1855" s="8">
        <v>0.97286852664354717</v>
      </c>
      <c r="M1855" s="8">
        <v>1.0712611821636084</v>
      </c>
      <c r="N1855" s="8">
        <v>1.2985154443345863</v>
      </c>
      <c r="O1855" s="8">
        <v>0.80745794654139502</v>
      </c>
      <c r="P1855" s="8">
        <f t="shared" si="228"/>
        <v>1.0220648544035777</v>
      </c>
      <c r="Q1855" s="8">
        <f t="shared" si="229"/>
        <v>1.0529866954379907</v>
      </c>
      <c r="R1855" s="8">
        <f t="shared" si="230"/>
        <v>1.0302542846485581</v>
      </c>
      <c r="S1855" s="22">
        <f t="shared" si="231"/>
        <v>4.3000463548888354E-2</v>
      </c>
      <c r="T1855" s="25"/>
      <c r="U1855" s="1" t="s">
        <v>5257</v>
      </c>
    </row>
    <row r="1856" spans="1:21">
      <c r="A1856" s="6" t="s">
        <v>5258</v>
      </c>
      <c r="B1856" s="6" t="s">
        <v>5259</v>
      </c>
      <c r="C1856" s="7">
        <v>1.0820378007265123</v>
      </c>
      <c r="D1856" s="7">
        <v>1.0769979005771786</v>
      </c>
      <c r="E1856" s="7">
        <v>1.0486828739376133</v>
      </c>
      <c r="F1856" s="8">
        <v>0.98648042822243043</v>
      </c>
      <c r="G1856" s="8">
        <f t="shared" si="224"/>
        <v>1.0795178506518455</v>
      </c>
      <c r="H1856" s="8">
        <f t="shared" si="225"/>
        <v>1.0175816510800217</v>
      </c>
      <c r="I1856" s="8">
        <f t="shared" si="226"/>
        <v>0.94262605334925698</v>
      </c>
      <c r="J1856" s="22">
        <f t="shared" si="227"/>
        <v>-8.524253816985905E-2</v>
      </c>
      <c r="K1856" s="8"/>
      <c r="L1856" s="8">
        <v>0.80875308296411852</v>
      </c>
      <c r="M1856" s="8">
        <v>0.93529828123965586</v>
      </c>
      <c r="N1856" s="8">
        <v>1.0316311309715553</v>
      </c>
      <c r="O1856" s="8">
        <v>0.75179381435169756</v>
      </c>
      <c r="P1856" s="8">
        <f t="shared" si="228"/>
        <v>0.87202568210188725</v>
      </c>
      <c r="Q1856" s="8">
        <f t="shared" si="229"/>
        <v>0.89171247266162645</v>
      </c>
      <c r="R1856" s="8">
        <f t="shared" si="230"/>
        <v>1.0225759297734067</v>
      </c>
      <c r="S1856" s="22">
        <f t="shared" si="231"/>
        <v>3.2207972204147138E-2</v>
      </c>
      <c r="T1856" s="25"/>
      <c r="U1856" s="1" t="s">
        <v>5260</v>
      </c>
    </row>
    <row r="1857" spans="1:21">
      <c r="A1857" s="6" t="s">
        <v>5261</v>
      </c>
      <c r="B1857" s="6" t="s">
        <v>5262</v>
      </c>
      <c r="C1857" s="7">
        <v>0.62729127838738674</v>
      </c>
      <c r="D1857" s="7">
        <v>0.87633364281281978</v>
      </c>
      <c r="E1857" s="7">
        <v>0.48763247034957846</v>
      </c>
      <c r="F1857" s="8">
        <v>0.60295755589896771</v>
      </c>
      <c r="G1857" s="8">
        <f t="shared" si="224"/>
        <v>0.75181246060010332</v>
      </c>
      <c r="H1857" s="8">
        <f t="shared" si="225"/>
        <v>0.54529501312427309</v>
      </c>
      <c r="I1857" s="8">
        <f t="shared" si="226"/>
        <v>0.72530722979639606</v>
      </c>
      <c r="J1857" s="22">
        <f t="shared" si="227"/>
        <v>-0.46333586525554482</v>
      </c>
      <c r="K1857" s="8"/>
      <c r="L1857" s="8">
        <v>0.42700242469788513</v>
      </c>
      <c r="M1857" s="8">
        <v>0.52622912537450461</v>
      </c>
      <c r="N1857" s="8">
        <v>0.9877350436513489</v>
      </c>
      <c r="O1857" s="8">
        <v>0.88880933465544054</v>
      </c>
      <c r="P1857" s="8">
        <f t="shared" si="228"/>
        <v>0.4766157750361949</v>
      </c>
      <c r="Q1857" s="8">
        <f t="shared" si="229"/>
        <v>0.93827218915339472</v>
      </c>
      <c r="R1857" s="8">
        <f t="shared" si="230"/>
        <v>1.9686133743310132</v>
      </c>
      <c r="S1857" s="22">
        <f t="shared" si="231"/>
        <v>0.97717980107968494</v>
      </c>
      <c r="T1857" s="25"/>
      <c r="U1857" s="1" t="s">
        <v>5263</v>
      </c>
    </row>
    <row r="1858" spans="1:21">
      <c r="A1858" s="6" t="s">
        <v>5264</v>
      </c>
      <c r="B1858" s="6" t="s">
        <v>5265</v>
      </c>
      <c r="C1858" s="7">
        <v>1.12677333272453</v>
      </c>
      <c r="D1858" s="7">
        <v>1.1513529341719313</v>
      </c>
      <c r="E1858" s="7">
        <v>1.1010893520728839</v>
      </c>
      <c r="F1858" s="8">
        <v>1.0064309923333066</v>
      </c>
      <c r="G1858" s="8">
        <f t="shared" si="224"/>
        <v>1.1390631334482306</v>
      </c>
      <c r="H1858" s="8">
        <f t="shared" si="225"/>
        <v>1.0537601722030954</v>
      </c>
      <c r="I1858" s="8">
        <f t="shared" si="226"/>
        <v>0.92511129652058732</v>
      </c>
      <c r="J1858" s="22">
        <f t="shared" si="227"/>
        <v>-0.11230115382128596</v>
      </c>
      <c r="K1858" s="8"/>
      <c r="L1858" s="8">
        <v>1.1412957791087031</v>
      </c>
      <c r="M1858" s="8">
        <v>0.80515332770407699</v>
      </c>
      <c r="N1858" s="8">
        <v>1.1054408671426017</v>
      </c>
      <c r="O1858" s="8">
        <v>0.94629024722485611</v>
      </c>
      <c r="P1858" s="8">
        <f t="shared" si="228"/>
        <v>0.97322455340639002</v>
      </c>
      <c r="Q1858" s="8">
        <f t="shared" si="229"/>
        <v>1.025865557183729</v>
      </c>
      <c r="R1858" s="8">
        <f t="shared" si="230"/>
        <v>1.0540892680862703</v>
      </c>
      <c r="S1858" s="22">
        <f t="shared" si="231"/>
        <v>7.5997050250189518E-2</v>
      </c>
      <c r="T1858" s="25"/>
      <c r="U1858" s="1" t="s">
        <v>5266</v>
      </c>
    </row>
    <row r="1859" spans="1:21">
      <c r="A1859" s="6" t="s">
        <v>5267</v>
      </c>
      <c r="B1859" s="6" t="s">
        <v>5268</v>
      </c>
      <c r="C1859" s="7">
        <v>1.07523894762162</v>
      </c>
      <c r="D1859" s="7">
        <v>1.0691605130423822</v>
      </c>
      <c r="E1859" s="7">
        <v>1.0138458238896504</v>
      </c>
      <c r="F1859" s="8">
        <v>1.0798054510625554</v>
      </c>
      <c r="G1859" s="8">
        <f t="shared" si="224"/>
        <v>1.072199730332001</v>
      </c>
      <c r="H1859" s="8">
        <f t="shared" si="225"/>
        <v>1.0468256374761029</v>
      </c>
      <c r="I1859" s="8">
        <f t="shared" si="226"/>
        <v>0.97633454650465068</v>
      </c>
      <c r="J1859" s="22">
        <f t="shared" si="227"/>
        <v>-3.4552514842398852E-2</v>
      </c>
      <c r="K1859" s="8"/>
      <c r="L1859" s="8">
        <v>0.83542406514387402</v>
      </c>
      <c r="M1859" s="8">
        <v>1.0639676684086181</v>
      </c>
      <c r="N1859" s="8">
        <v>0.97102432450503284</v>
      </c>
      <c r="O1859" s="8">
        <v>0.70218561676106062</v>
      </c>
      <c r="P1859" s="8">
        <f t="shared" si="228"/>
        <v>0.94969586677624607</v>
      </c>
      <c r="Q1859" s="8">
        <f t="shared" si="229"/>
        <v>0.83660497063304673</v>
      </c>
      <c r="R1859" s="8">
        <f t="shared" si="230"/>
        <v>0.88091882875400129</v>
      </c>
      <c r="S1859" s="22">
        <f t="shared" si="231"/>
        <v>-0.18291900508238634</v>
      </c>
      <c r="T1859" s="25"/>
      <c r="U1859" s="1" t="s">
        <v>5269</v>
      </c>
    </row>
    <row r="1860" spans="1:21">
      <c r="A1860" s="6" t="s">
        <v>5270</v>
      </c>
      <c r="B1860" s="13" t="s">
        <v>5271</v>
      </c>
      <c r="C1860" s="14">
        <v>1.0569419373296547</v>
      </c>
      <c r="D1860" s="14">
        <v>1.0172967787127785</v>
      </c>
      <c r="E1860" s="14">
        <v>1.0711602445131139</v>
      </c>
      <c r="F1860" s="8">
        <v>1.0938016936300921</v>
      </c>
      <c r="G1860" s="8">
        <f t="shared" si="224"/>
        <v>1.0371193580212166</v>
      </c>
      <c r="H1860" s="8">
        <f t="shared" si="225"/>
        <v>1.0824809690716028</v>
      </c>
      <c r="I1860" s="8">
        <f t="shared" si="226"/>
        <v>1.0437380815424508</v>
      </c>
      <c r="J1860" s="22">
        <f t="shared" si="227"/>
        <v>6.1759723528942261E-2</v>
      </c>
      <c r="K1860" s="8"/>
      <c r="L1860" s="8">
        <v>1.0661280609987589</v>
      </c>
      <c r="M1860" s="8">
        <v>1.2569717491620618</v>
      </c>
      <c r="N1860" s="8">
        <v>0.92381532493424479</v>
      </c>
      <c r="O1860" s="8">
        <v>0.93594469228479449</v>
      </c>
      <c r="P1860" s="8">
        <f t="shared" si="228"/>
        <v>1.1615499050804103</v>
      </c>
      <c r="Q1860" s="8">
        <f t="shared" si="229"/>
        <v>0.92988000860951958</v>
      </c>
      <c r="R1860" s="8">
        <f t="shared" si="230"/>
        <v>0.80055106073565308</v>
      </c>
      <c r="S1860" s="22">
        <f t="shared" si="231"/>
        <v>-0.32093467125787423</v>
      </c>
      <c r="T1860" s="25"/>
      <c r="U1860" s="1" t="s">
        <v>5272</v>
      </c>
    </row>
    <row r="1861" spans="1:21">
      <c r="A1861" s="6" t="s">
        <v>5273</v>
      </c>
      <c r="B1861" s="6" t="s">
        <v>5274</v>
      </c>
      <c r="C1861" s="7">
        <v>0.11012430798746976</v>
      </c>
      <c r="D1861" s="7">
        <v>0.10715834481829829</v>
      </c>
      <c r="E1861" s="7">
        <v>0.15190908374874873</v>
      </c>
      <c r="F1861" s="8">
        <v>0.11967468913974681</v>
      </c>
      <c r="G1861" s="8">
        <f t="shared" si="224"/>
        <v>0.10864132640288403</v>
      </c>
      <c r="H1861" s="8">
        <f t="shared" si="225"/>
        <v>0.13579188644424778</v>
      </c>
      <c r="I1861" s="8">
        <f t="shared" si="226"/>
        <v>1.2499100567005135</v>
      </c>
      <c r="J1861" s="22">
        <f t="shared" si="227"/>
        <v>0.32182428255072359</v>
      </c>
      <c r="K1861" s="8"/>
      <c r="L1861" s="8">
        <v>1.0084298362165545</v>
      </c>
      <c r="M1861" s="8">
        <v>0.97147073674128415</v>
      </c>
      <c r="N1861" s="8">
        <v>1.0868788146797841</v>
      </c>
      <c r="O1861" s="8">
        <v>0.44359720938117891</v>
      </c>
      <c r="P1861" s="8">
        <f t="shared" si="228"/>
        <v>0.98995028647891936</v>
      </c>
      <c r="Q1861" s="8">
        <f t="shared" si="229"/>
        <v>0.76523801203048147</v>
      </c>
      <c r="R1861" s="8">
        <f t="shared" si="230"/>
        <v>0.77300650596536491</v>
      </c>
      <c r="S1861" s="22">
        <f t="shared" si="231"/>
        <v>-0.37144753832524857</v>
      </c>
      <c r="T1861" s="25"/>
      <c r="U1861" s="1" t="s">
        <v>5275</v>
      </c>
    </row>
    <row r="1862" spans="1:21">
      <c r="A1862" s="6" t="s">
        <v>5276</v>
      </c>
      <c r="B1862" s="13" t="s">
        <v>5277</v>
      </c>
      <c r="C1862" s="14">
        <v>1.015280039794352</v>
      </c>
      <c r="D1862" s="14">
        <v>1.1669501753170246</v>
      </c>
      <c r="E1862" s="14">
        <v>1.0688751409827402</v>
      </c>
      <c r="F1862" s="8">
        <v>1.1169661565980962</v>
      </c>
      <c r="G1862" s="8">
        <f t="shared" ref="G1862:G1925" si="232">AVERAGE(C1862:D1862)</f>
        <v>1.0911151075556882</v>
      </c>
      <c r="H1862" s="8">
        <f t="shared" ref="H1862:H1925" si="233">AVERAGE(E1862:F1862)</f>
        <v>1.0929206487904182</v>
      </c>
      <c r="I1862" s="8">
        <f t="shared" ref="I1862:I1925" si="234">H1862/G1862</f>
        <v>1.0016547669647566</v>
      </c>
      <c r="J1862" s="22">
        <f t="shared" ref="J1862:J1925" si="235">LOG(I1862,2)</f>
        <v>2.3853510376911705E-3</v>
      </c>
      <c r="K1862" s="8"/>
      <c r="L1862" s="8">
        <v>0.84587019983094491</v>
      </c>
      <c r="M1862" s="8">
        <v>0.79904026704237985</v>
      </c>
      <c r="N1862" s="8">
        <v>0.60826043306634558</v>
      </c>
      <c r="O1862" s="8">
        <v>0.55659085577531542</v>
      </c>
      <c r="P1862" s="8">
        <f t="shared" ref="P1862:P1925" si="236">AVERAGE(L1862:M1862)</f>
        <v>0.82245523343666238</v>
      </c>
      <c r="Q1862" s="8">
        <f t="shared" ref="Q1862:Q1925" si="237">AVERAGE(N1862:O1862)</f>
        <v>0.58242564442083045</v>
      </c>
      <c r="R1862" s="8">
        <f t="shared" ref="R1862:R1925" si="238">Q1862/P1862</f>
        <v>0.7081548280593235</v>
      </c>
      <c r="S1862" s="22">
        <f t="shared" ref="S1862:S1925" si="239">LOG(R1862,2)</f>
        <v>-0.49786327518179679</v>
      </c>
      <c r="T1862" s="25"/>
      <c r="U1862" s="1" t="s">
        <v>5278</v>
      </c>
    </row>
    <row r="1863" spans="1:21">
      <c r="A1863" s="6" t="s">
        <v>5279</v>
      </c>
      <c r="B1863" s="13" t="s">
        <v>5280</v>
      </c>
      <c r="C1863" s="14">
        <v>1.0219933313403249</v>
      </c>
      <c r="D1863" s="14">
        <v>1.1413252132700322</v>
      </c>
      <c r="E1863" s="14">
        <v>1.1670986634880214</v>
      </c>
      <c r="F1863" s="8">
        <v>1.2056783737124774</v>
      </c>
      <c r="G1863" s="8">
        <f t="shared" si="232"/>
        <v>1.0816592723051786</v>
      </c>
      <c r="H1863" s="8">
        <f t="shared" si="233"/>
        <v>1.1863885186002494</v>
      </c>
      <c r="I1863" s="8">
        <f t="shared" si="234"/>
        <v>1.0968227694030459</v>
      </c>
      <c r="J1863" s="22">
        <f t="shared" si="235"/>
        <v>0.13333042605097428</v>
      </c>
      <c r="K1863" s="8"/>
      <c r="L1863" s="8">
        <v>0.13193245851585708</v>
      </c>
      <c r="M1863" s="8">
        <v>0.14877924879399348</v>
      </c>
      <c r="N1863" s="8">
        <v>0.34127868110770937</v>
      </c>
      <c r="O1863" s="8">
        <v>0.21543987336157597</v>
      </c>
      <c r="P1863" s="8">
        <f t="shared" si="236"/>
        <v>0.14035585365492528</v>
      </c>
      <c r="Q1863" s="8">
        <f t="shared" si="237"/>
        <v>0.27835927723464265</v>
      </c>
      <c r="R1863" s="8">
        <f t="shared" si="238"/>
        <v>1.9832395299950116</v>
      </c>
      <c r="S1863" s="22">
        <f t="shared" si="239"/>
        <v>0.98785893266847835</v>
      </c>
      <c r="T1863" s="25"/>
      <c r="U1863" s="1" t="s">
        <v>5281</v>
      </c>
    </row>
    <row r="1864" spans="1:21">
      <c r="A1864" s="6" t="s">
        <v>5282</v>
      </c>
      <c r="B1864" s="6" t="s">
        <v>5283</v>
      </c>
      <c r="C1864" s="7">
        <v>0.67918107304273045</v>
      </c>
      <c r="D1864" s="7">
        <v>0.6577719708098908</v>
      </c>
      <c r="E1864" s="7">
        <v>0.65794454196401053</v>
      </c>
      <c r="F1864" s="8">
        <v>0.63978108900976505</v>
      </c>
      <c r="G1864" s="8">
        <f t="shared" si="232"/>
        <v>0.66847652192631069</v>
      </c>
      <c r="H1864" s="8">
        <f t="shared" si="233"/>
        <v>0.64886281548688785</v>
      </c>
      <c r="I1864" s="8">
        <f t="shared" si="234"/>
        <v>0.9706590945289999</v>
      </c>
      <c r="J1864" s="22">
        <f t="shared" si="235"/>
        <v>-4.2963399643411296E-2</v>
      </c>
      <c r="K1864" s="8"/>
      <c r="L1864" s="8">
        <v>0.18131822718537097</v>
      </c>
      <c r="M1864" s="8">
        <v>0.23533175595581515</v>
      </c>
      <c r="N1864" s="8">
        <v>0.275312751882893</v>
      </c>
      <c r="O1864" s="8">
        <v>0.18334341998655551</v>
      </c>
      <c r="P1864" s="8">
        <f t="shared" si="236"/>
        <v>0.20832499157059306</v>
      </c>
      <c r="Q1864" s="8">
        <f t="shared" si="237"/>
        <v>0.22932808593472426</v>
      </c>
      <c r="R1864" s="8">
        <f t="shared" si="238"/>
        <v>1.1008188897826696</v>
      </c>
      <c r="S1864" s="22">
        <f t="shared" si="239"/>
        <v>0.13857713165878871</v>
      </c>
      <c r="T1864" s="25"/>
      <c r="U1864" s="1" t="s">
        <v>5284</v>
      </c>
    </row>
    <row r="1865" spans="1:21">
      <c r="A1865" s="6" t="s">
        <v>5285</v>
      </c>
      <c r="B1865" s="13" t="s">
        <v>5286</v>
      </c>
      <c r="C1865" s="14">
        <v>1.2106368237821643</v>
      </c>
      <c r="D1865" s="14">
        <v>1.1473987040224711</v>
      </c>
      <c r="E1865" s="14">
        <v>1.1222445243792376</v>
      </c>
      <c r="F1865" s="8">
        <v>1.2098105293859276</v>
      </c>
      <c r="G1865" s="8">
        <f t="shared" si="232"/>
        <v>1.1790177639023178</v>
      </c>
      <c r="H1865" s="8">
        <f t="shared" si="233"/>
        <v>1.1660275268825826</v>
      </c>
      <c r="I1865" s="8">
        <f t="shared" si="234"/>
        <v>0.98898215326566408</v>
      </c>
      <c r="J1865" s="22">
        <f t="shared" si="235"/>
        <v>-1.5983607904426336E-2</v>
      </c>
      <c r="K1865" s="8"/>
      <c r="L1865" s="8">
        <v>1.2622931349308604</v>
      </c>
      <c r="M1865" s="8">
        <v>1.0979056948407986</v>
      </c>
      <c r="N1865" s="8">
        <v>1.1883611120027475</v>
      </c>
      <c r="O1865" s="8">
        <v>1.0321331201665382</v>
      </c>
      <c r="P1865" s="8">
        <f t="shared" si="236"/>
        <v>1.1800994148858295</v>
      </c>
      <c r="Q1865" s="8">
        <f t="shared" si="237"/>
        <v>1.110247116084643</v>
      </c>
      <c r="R1865" s="8">
        <f t="shared" si="238"/>
        <v>0.94080812351903043</v>
      </c>
      <c r="S1865" s="22">
        <f t="shared" si="239"/>
        <v>-8.8027577538316942E-2</v>
      </c>
      <c r="T1865" s="25"/>
      <c r="U1865" s="1" t="s">
        <v>5287</v>
      </c>
    </row>
    <row r="1866" spans="1:21">
      <c r="A1866" s="6" t="s">
        <v>5288</v>
      </c>
      <c r="B1866" s="13" t="s">
        <v>5289</v>
      </c>
      <c r="C1866" s="14">
        <v>1.2086557446102646</v>
      </c>
      <c r="D1866" s="14">
        <v>1.2601201079235884</v>
      </c>
      <c r="E1866" s="14">
        <v>1.2368661797660063</v>
      </c>
      <c r="F1866" s="8">
        <v>1.2144089873489163</v>
      </c>
      <c r="G1866" s="8">
        <f t="shared" si="232"/>
        <v>1.2343879262669266</v>
      </c>
      <c r="H1866" s="8">
        <f t="shared" si="233"/>
        <v>1.2256375835574613</v>
      </c>
      <c r="I1866" s="8">
        <f t="shared" si="234"/>
        <v>0.99291118900042363</v>
      </c>
      <c r="J1866" s="22">
        <f t="shared" si="235"/>
        <v>-1.0263413305582584E-2</v>
      </c>
      <c r="K1866" s="8"/>
      <c r="L1866" s="8">
        <v>0.93828515308379756</v>
      </c>
      <c r="M1866" s="8">
        <v>1.2811710375745731</v>
      </c>
      <c r="N1866" s="8">
        <v>0.94934423698284431</v>
      </c>
      <c r="O1866" s="8">
        <v>0.7823258179552941</v>
      </c>
      <c r="P1866" s="8">
        <f t="shared" si="236"/>
        <v>1.1097280953291853</v>
      </c>
      <c r="Q1866" s="8">
        <f t="shared" si="237"/>
        <v>0.86583502746906915</v>
      </c>
      <c r="R1866" s="8">
        <f t="shared" si="238"/>
        <v>0.78022267897275444</v>
      </c>
      <c r="S1866" s="22">
        <f t="shared" si="239"/>
        <v>-0.35804216065460226</v>
      </c>
      <c r="T1866" s="25"/>
      <c r="U1866" s="1" t="s">
        <v>5290</v>
      </c>
    </row>
    <row r="1867" spans="1:21">
      <c r="A1867" s="6" t="s">
        <v>5291</v>
      </c>
      <c r="B1867" s="6" t="s">
        <v>5292</v>
      </c>
      <c r="C1867" s="7">
        <v>1.154771707466264</v>
      </c>
      <c r="D1867" s="7">
        <v>1.1437093814483832</v>
      </c>
      <c r="E1867" s="7">
        <v>1.0844540858061691</v>
      </c>
      <c r="F1867" s="8">
        <v>1.1504538348683477</v>
      </c>
      <c r="G1867" s="8">
        <f t="shared" si="232"/>
        <v>1.1492405444573235</v>
      </c>
      <c r="H1867" s="8">
        <f t="shared" si="233"/>
        <v>1.1174539603372584</v>
      </c>
      <c r="I1867" s="8">
        <f t="shared" si="234"/>
        <v>0.97234122632257558</v>
      </c>
      <c r="J1867" s="22">
        <f t="shared" si="235"/>
        <v>-4.0465403346683984E-2</v>
      </c>
      <c r="K1867" s="8"/>
      <c r="L1867" s="8">
        <v>1.2688275255649004</v>
      </c>
      <c r="M1867" s="8">
        <v>1.1764058255447987</v>
      </c>
      <c r="N1867" s="8">
        <v>1.2103822346095547</v>
      </c>
      <c r="O1867" s="8">
        <v>0.86170902732464505</v>
      </c>
      <c r="P1867" s="8">
        <f t="shared" si="236"/>
        <v>1.2226166755548495</v>
      </c>
      <c r="Q1867" s="8">
        <f t="shared" si="237"/>
        <v>1.0360456309671</v>
      </c>
      <c r="R1867" s="8">
        <f t="shared" si="238"/>
        <v>0.84740021274200306</v>
      </c>
      <c r="S1867" s="22">
        <f t="shared" si="239"/>
        <v>-0.23888460399321285</v>
      </c>
      <c r="T1867" s="25"/>
      <c r="U1867" s="1" t="s">
        <v>5293</v>
      </c>
    </row>
    <row r="1868" spans="1:21">
      <c r="A1868" s="6" t="s">
        <v>5294</v>
      </c>
      <c r="B1868" s="9" t="s">
        <v>5295</v>
      </c>
      <c r="C1868" s="10">
        <v>0.20203058558351492</v>
      </c>
      <c r="D1868" s="10">
        <v>0.14909773681200189</v>
      </c>
      <c r="E1868" s="10">
        <v>0.22014601181299273</v>
      </c>
      <c r="F1868" s="8">
        <v>0.25222649535213754</v>
      </c>
      <c r="G1868" s="8">
        <f t="shared" si="232"/>
        <v>0.17556416119775842</v>
      </c>
      <c r="H1868" s="8">
        <f t="shared" si="233"/>
        <v>0.23618625358256512</v>
      </c>
      <c r="I1868" s="8">
        <f t="shared" si="234"/>
        <v>1.3452987897485578</v>
      </c>
      <c r="J1868" s="22">
        <f t="shared" si="235"/>
        <v>0.4279266297452135</v>
      </c>
      <c r="K1868" s="8"/>
      <c r="L1868" s="8">
        <v>1.0186092610818278</v>
      </c>
      <c r="M1868" s="8">
        <v>1.0825598046279865</v>
      </c>
      <c r="N1868" s="8">
        <v>0.81346611541119529</v>
      </c>
      <c r="O1868" s="8">
        <v>0.87129759043982413</v>
      </c>
      <c r="P1868" s="8">
        <f t="shared" si="236"/>
        <v>1.050584532854907</v>
      </c>
      <c r="Q1868" s="8">
        <f t="shared" si="237"/>
        <v>0.84238185292550971</v>
      </c>
      <c r="R1868" s="8">
        <f t="shared" si="238"/>
        <v>0.80182205865565359</v>
      </c>
      <c r="S1868" s="22">
        <f t="shared" si="239"/>
        <v>-0.31864598735706284</v>
      </c>
      <c r="T1868" s="25"/>
      <c r="U1868" s="1" t="s">
        <v>5296</v>
      </c>
    </row>
    <row r="1869" spans="1:21">
      <c r="A1869" s="6" t="s">
        <v>5297</v>
      </c>
      <c r="B1869" s="13" t="s">
        <v>5298</v>
      </c>
      <c r="C1869" s="14">
        <v>1.1288333917969706</v>
      </c>
      <c r="D1869" s="14">
        <v>1.1289520911520314</v>
      </c>
      <c r="E1869" s="14">
        <v>0.9886521981742713</v>
      </c>
      <c r="F1869" s="8">
        <v>1.0902291007040885</v>
      </c>
      <c r="G1869" s="8">
        <f t="shared" si="232"/>
        <v>1.1288927414745009</v>
      </c>
      <c r="H1869" s="8">
        <f t="shared" si="233"/>
        <v>1.0394406494391799</v>
      </c>
      <c r="I1869" s="8">
        <f t="shared" si="234"/>
        <v>0.92076121251476617</v>
      </c>
      <c r="J1869" s="22">
        <f t="shared" si="235"/>
        <v>-0.11910103432253799</v>
      </c>
      <c r="K1869" s="8"/>
      <c r="L1869" s="8">
        <v>1.0703065148735871</v>
      </c>
      <c r="M1869" s="8">
        <v>1.0499287084062379</v>
      </c>
      <c r="N1869" s="8">
        <v>0.89511965852847164</v>
      </c>
      <c r="O1869" s="8">
        <v>1.0401572335102933</v>
      </c>
      <c r="P1869" s="8">
        <f t="shared" si="236"/>
        <v>1.0601176116399125</v>
      </c>
      <c r="Q1869" s="8">
        <f t="shared" si="237"/>
        <v>0.96763844601938254</v>
      </c>
      <c r="R1869" s="8">
        <f t="shared" si="238"/>
        <v>0.91276518321634859</v>
      </c>
      <c r="S1869" s="22">
        <f t="shared" si="239"/>
        <v>-0.13168433279527189</v>
      </c>
      <c r="T1869" s="25"/>
      <c r="U1869" s="1" t="s">
        <v>5299</v>
      </c>
    </row>
    <row r="1870" spans="1:21">
      <c r="A1870" s="6" t="s">
        <v>5300</v>
      </c>
      <c r="B1870" s="6" t="s">
        <v>5301</v>
      </c>
      <c r="C1870" s="7">
        <v>0.9888546814050565</v>
      </c>
      <c r="D1870" s="7">
        <v>1.2911013719214022</v>
      </c>
      <c r="E1870" s="7">
        <v>1.0795030281570259</v>
      </c>
      <c r="F1870" s="8">
        <v>1.0600629295116273</v>
      </c>
      <c r="G1870" s="8">
        <f t="shared" si="232"/>
        <v>1.1399780266632293</v>
      </c>
      <c r="H1870" s="8">
        <f t="shared" si="233"/>
        <v>1.0697829788343265</v>
      </c>
      <c r="I1870" s="8">
        <f t="shared" si="234"/>
        <v>0.93842420977677343</v>
      </c>
      <c r="J1870" s="22">
        <f t="shared" si="235"/>
        <v>-9.1687861919113489E-2</v>
      </c>
      <c r="K1870" s="8"/>
      <c r="L1870" s="8">
        <v>0.9337510861132392</v>
      </c>
      <c r="M1870" s="8">
        <v>1.0520366603585474</v>
      </c>
      <c r="N1870" s="8">
        <v>1.0062970961141666</v>
      </c>
      <c r="O1870" s="8">
        <v>0.8103345154759487</v>
      </c>
      <c r="P1870" s="8">
        <f t="shared" si="236"/>
        <v>0.99289387323589329</v>
      </c>
      <c r="Q1870" s="8">
        <f t="shared" si="237"/>
        <v>0.90831580579505766</v>
      </c>
      <c r="R1870" s="8">
        <f t="shared" si="238"/>
        <v>0.91481660858154834</v>
      </c>
      <c r="S1870" s="22">
        <f t="shared" si="239"/>
        <v>-0.12844553663588953</v>
      </c>
      <c r="T1870" s="25"/>
      <c r="U1870" s="1" t="s">
        <v>5302</v>
      </c>
    </row>
    <row r="1871" spans="1:21">
      <c r="A1871" s="6" t="s">
        <v>5303</v>
      </c>
      <c r="B1871" s="6" t="s">
        <v>5304</v>
      </c>
      <c r="C1871" s="7">
        <v>0.67711443231191137</v>
      </c>
      <c r="D1871" s="7">
        <v>0.96441218104393478</v>
      </c>
      <c r="E1871" s="7">
        <v>1.1924360064065687</v>
      </c>
      <c r="F1871" s="8">
        <v>1.2102266145058236</v>
      </c>
      <c r="G1871" s="8">
        <f t="shared" si="232"/>
        <v>0.82076330667792308</v>
      </c>
      <c r="H1871" s="8">
        <f t="shared" si="233"/>
        <v>1.201331310456196</v>
      </c>
      <c r="I1871" s="8">
        <f t="shared" si="234"/>
        <v>1.4636757036795898</v>
      </c>
      <c r="J1871" s="22">
        <f t="shared" si="235"/>
        <v>0.54959594124510658</v>
      </c>
      <c r="K1871" s="8"/>
      <c r="L1871" s="8">
        <v>1.9420031157819286</v>
      </c>
      <c r="M1871" s="8">
        <v>1.8067677773633848</v>
      </c>
      <c r="N1871" s="8">
        <v>2.6994875719481892</v>
      </c>
      <c r="O1871" s="8">
        <v>2.3000944268448227</v>
      </c>
      <c r="P1871" s="8">
        <f t="shared" si="236"/>
        <v>1.8743854465726568</v>
      </c>
      <c r="Q1871" s="8">
        <f t="shared" si="237"/>
        <v>2.499790999396506</v>
      </c>
      <c r="R1871" s="8">
        <f t="shared" si="238"/>
        <v>1.3336589888528068</v>
      </c>
      <c r="S1871" s="22">
        <f t="shared" si="239"/>
        <v>0.41538982245683653</v>
      </c>
      <c r="T1871" s="25"/>
      <c r="U1871" s="1" t="s">
        <v>5305</v>
      </c>
    </row>
    <row r="1872" spans="1:21">
      <c r="A1872" s="6" t="s">
        <v>5306</v>
      </c>
      <c r="B1872" s="13" t="s">
        <v>5307</v>
      </c>
      <c r="C1872" s="14">
        <v>1.1193755487072028</v>
      </c>
      <c r="D1872" s="14">
        <v>0.99001775960980243</v>
      </c>
      <c r="E1872" s="14">
        <v>1.1532371392424521</v>
      </c>
      <c r="F1872" s="8">
        <v>0.96264879428631733</v>
      </c>
      <c r="G1872" s="8">
        <f t="shared" si="232"/>
        <v>1.0546966541585026</v>
      </c>
      <c r="H1872" s="8">
        <f t="shared" si="233"/>
        <v>1.0579429667643847</v>
      </c>
      <c r="I1872" s="8">
        <f t="shared" si="234"/>
        <v>1.0030779585704406</v>
      </c>
      <c r="J1872" s="22">
        <f t="shared" si="235"/>
        <v>4.4337356333350227E-3</v>
      </c>
      <c r="K1872" s="8"/>
      <c r="L1872" s="8">
        <v>0.80506359709591901</v>
      </c>
      <c r="M1872" s="8">
        <v>0.92880578922654311</v>
      </c>
      <c r="N1872" s="8">
        <v>0.72762271268288925</v>
      </c>
      <c r="O1872" s="8">
        <v>0.62497245062303974</v>
      </c>
      <c r="P1872" s="8">
        <f t="shared" si="236"/>
        <v>0.86693469316123106</v>
      </c>
      <c r="Q1872" s="8">
        <f t="shared" si="237"/>
        <v>0.6762975816529645</v>
      </c>
      <c r="R1872" s="8">
        <f t="shared" si="238"/>
        <v>0.78010210802255642</v>
      </c>
      <c r="S1872" s="22">
        <f t="shared" si="239"/>
        <v>-0.35826512335278143</v>
      </c>
      <c r="T1872" s="25"/>
      <c r="U1872" s="1" t="s">
        <v>5308</v>
      </c>
    </row>
    <row r="1873" spans="1:21">
      <c r="A1873" s="6" t="s">
        <v>5309</v>
      </c>
      <c r="B1873" s="6" t="s">
        <v>5310</v>
      </c>
      <c r="C1873" s="7">
        <v>1.0642344148129272</v>
      </c>
      <c r="D1873" s="7">
        <v>1.20722904909437</v>
      </c>
      <c r="E1873" s="7">
        <v>1.1520155430155228</v>
      </c>
      <c r="F1873" s="8">
        <v>1.0929193062206575</v>
      </c>
      <c r="G1873" s="8">
        <f t="shared" si="232"/>
        <v>1.1357317319536486</v>
      </c>
      <c r="H1873" s="8">
        <f t="shared" si="233"/>
        <v>1.1224674246180901</v>
      </c>
      <c r="I1873" s="8">
        <f t="shared" si="234"/>
        <v>0.98832091508727882</v>
      </c>
      <c r="J1873" s="22">
        <f t="shared" si="235"/>
        <v>-1.694852329006729E-2</v>
      </c>
      <c r="K1873" s="8"/>
      <c r="L1873" s="8">
        <v>1.0671949002859491</v>
      </c>
      <c r="M1873" s="8">
        <v>1.028511916570775</v>
      </c>
      <c r="N1873" s="8">
        <v>0.70126557257164435</v>
      </c>
      <c r="O1873" s="8">
        <v>0.8866897575457694</v>
      </c>
      <c r="P1873" s="8">
        <f t="shared" si="236"/>
        <v>1.0478534084283622</v>
      </c>
      <c r="Q1873" s="8">
        <f t="shared" si="237"/>
        <v>0.79397766505870693</v>
      </c>
      <c r="R1873" s="8">
        <f t="shared" si="238"/>
        <v>0.75771826352081595</v>
      </c>
      <c r="S1873" s="22">
        <f t="shared" si="239"/>
        <v>-0.40026657284638711</v>
      </c>
      <c r="T1873" s="25"/>
      <c r="U1873" s="1" t="s">
        <v>5311</v>
      </c>
    </row>
    <row r="1874" spans="1:21">
      <c r="A1874" s="6" t="s">
        <v>5312</v>
      </c>
      <c r="B1874" s="6" t="s">
        <v>5313</v>
      </c>
      <c r="C1874" s="7">
        <v>0.69620124160928543</v>
      </c>
      <c r="D1874" s="7">
        <v>0.79047774375068236</v>
      </c>
      <c r="E1874" s="7">
        <v>1.1482285947120416</v>
      </c>
      <c r="F1874" s="8">
        <v>1.1169805043608512</v>
      </c>
      <c r="G1874" s="8">
        <f t="shared" si="232"/>
        <v>0.74333949267998389</v>
      </c>
      <c r="H1874" s="8">
        <f t="shared" si="233"/>
        <v>1.1326045495364463</v>
      </c>
      <c r="I1874" s="8">
        <f t="shared" si="234"/>
        <v>1.5236706251850465</v>
      </c>
      <c r="J1874" s="22">
        <f t="shared" si="235"/>
        <v>0.60755106636829803</v>
      </c>
      <c r="K1874" s="8"/>
      <c r="L1874" s="8">
        <v>0.57138134156429476</v>
      </c>
      <c r="M1874" s="8">
        <v>0.44385036307825543</v>
      </c>
      <c r="N1874" s="8">
        <v>0.51530401285884964</v>
      </c>
      <c r="O1874" s="8">
        <v>0.57632310934392073</v>
      </c>
      <c r="P1874" s="8">
        <f t="shared" si="236"/>
        <v>0.50761585232127504</v>
      </c>
      <c r="Q1874" s="8">
        <f t="shared" si="237"/>
        <v>0.54581356110138524</v>
      </c>
      <c r="R1874" s="8">
        <f t="shared" si="238"/>
        <v>1.0752492433115239</v>
      </c>
      <c r="S1874" s="22">
        <f t="shared" si="239"/>
        <v>0.10467111601067594</v>
      </c>
      <c r="T1874" s="25"/>
      <c r="U1874" s="1" t="s">
        <v>5314</v>
      </c>
    </row>
    <row r="1875" spans="1:21">
      <c r="A1875" s="6" t="s">
        <v>5315</v>
      </c>
      <c r="B1875" s="6" t="s">
        <v>80</v>
      </c>
      <c r="C1875" s="7">
        <v>1.0378617096906591</v>
      </c>
      <c r="D1875" s="7">
        <v>1.0585319042256141</v>
      </c>
      <c r="E1875" s="7">
        <v>1.0083701984489433</v>
      </c>
      <c r="F1875" s="8">
        <v>0.98665977525686843</v>
      </c>
      <c r="G1875" s="8">
        <f t="shared" si="232"/>
        <v>1.0481968069581367</v>
      </c>
      <c r="H1875" s="8">
        <f t="shared" si="233"/>
        <v>0.99751498685290585</v>
      </c>
      <c r="I1875" s="8">
        <f t="shared" si="234"/>
        <v>0.95164856468862058</v>
      </c>
      <c r="J1875" s="22">
        <f t="shared" si="235"/>
        <v>-7.149919739118632E-2</v>
      </c>
      <c r="K1875" s="8"/>
      <c r="L1875" s="8">
        <v>0.97966962709938488</v>
      </c>
      <c r="M1875" s="8">
        <v>0.90363684291596946</v>
      </c>
      <c r="N1875" s="8">
        <v>0.9081277110417848</v>
      </c>
      <c r="O1875" s="8">
        <v>0.9343802425133706</v>
      </c>
      <c r="P1875" s="8">
        <f t="shared" si="236"/>
        <v>0.94165323500767717</v>
      </c>
      <c r="Q1875" s="8">
        <f t="shared" si="237"/>
        <v>0.9212539767775777</v>
      </c>
      <c r="R1875" s="8">
        <f t="shared" si="238"/>
        <v>0.97833676190797225</v>
      </c>
      <c r="S1875" s="22">
        <f t="shared" si="239"/>
        <v>-3.1596941461847515E-2</v>
      </c>
      <c r="T1875" s="25"/>
      <c r="U1875" s="1">
        <v>0</v>
      </c>
    </row>
    <row r="1876" spans="1:21">
      <c r="A1876" s="6" t="s">
        <v>5316</v>
      </c>
      <c r="B1876" s="6" t="s">
        <v>80</v>
      </c>
      <c r="C1876" s="7">
        <v>1.1584508544997925</v>
      </c>
      <c r="D1876" s="7">
        <v>1.1213343830699829</v>
      </c>
      <c r="E1876" s="7">
        <v>1.0523404767582429</v>
      </c>
      <c r="F1876" s="8">
        <v>0.92883829135407736</v>
      </c>
      <c r="G1876" s="8">
        <f t="shared" si="232"/>
        <v>1.1398926187848877</v>
      </c>
      <c r="H1876" s="8">
        <f t="shared" si="233"/>
        <v>0.99058938405616015</v>
      </c>
      <c r="I1876" s="8">
        <f t="shared" si="234"/>
        <v>0.86901991269328238</v>
      </c>
      <c r="J1876" s="22">
        <f t="shared" si="235"/>
        <v>-0.20253885960290996</v>
      </c>
      <c r="K1876" s="8"/>
      <c r="L1876" s="8">
        <v>1.2777178529581523</v>
      </c>
      <c r="M1876" s="8">
        <v>1.2067603336580532</v>
      </c>
      <c r="N1876" s="8">
        <v>1.1593731298101584</v>
      </c>
      <c r="O1876" s="8">
        <v>1.2236520518618252</v>
      </c>
      <c r="P1876" s="8">
        <f t="shared" si="236"/>
        <v>1.2422390933081027</v>
      </c>
      <c r="Q1876" s="8">
        <f t="shared" si="237"/>
        <v>1.1915125908359918</v>
      </c>
      <c r="R1876" s="8">
        <f t="shared" si="238"/>
        <v>0.95916526637635802</v>
      </c>
      <c r="S1876" s="22">
        <f t="shared" si="239"/>
        <v>-6.0148678560027931E-2</v>
      </c>
      <c r="T1876" s="25"/>
      <c r="U1876" s="1">
        <v>0</v>
      </c>
    </row>
    <row r="1877" spans="1:21">
      <c r="A1877" s="6" t="s">
        <v>5317</v>
      </c>
      <c r="B1877" s="6" t="s">
        <v>5318</v>
      </c>
      <c r="C1877" s="7">
        <v>0.90440542275174407</v>
      </c>
      <c r="D1877" s="7">
        <v>1.1947719318914951</v>
      </c>
      <c r="E1877" s="7">
        <v>1.0345842163068164</v>
      </c>
      <c r="F1877" s="8">
        <v>1.0288421977566713</v>
      </c>
      <c r="G1877" s="8">
        <f t="shared" si="232"/>
        <v>1.0495886773216196</v>
      </c>
      <c r="H1877" s="8">
        <f t="shared" si="233"/>
        <v>1.0317132070317439</v>
      </c>
      <c r="I1877" s="8">
        <f t="shared" si="234"/>
        <v>0.98296907095502295</v>
      </c>
      <c r="J1877" s="22">
        <f t="shared" si="235"/>
        <v>-2.4782071894040941E-2</v>
      </c>
      <c r="K1877" s="8"/>
      <c r="L1877" s="8">
        <v>1.1046231786115392</v>
      </c>
      <c r="M1877" s="8">
        <v>1.0280903261803132</v>
      </c>
      <c r="N1877" s="8">
        <v>1.1747197086179997</v>
      </c>
      <c r="O1877" s="8">
        <v>1.2555466407502105</v>
      </c>
      <c r="P1877" s="8">
        <f t="shared" si="236"/>
        <v>1.0663567523959263</v>
      </c>
      <c r="Q1877" s="8">
        <f t="shared" si="237"/>
        <v>1.2151331746841052</v>
      </c>
      <c r="R1877" s="8">
        <f t="shared" si="238"/>
        <v>1.1395184322262724</v>
      </c>
      <c r="S1877" s="22">
        <f t="shared" si="239"/>
        <v>0.1884242610370539</v>
      </c>
      <c r="T1877" s="25"/>
      <c r="U1877" s="1" t="s">
        <v>5319</v>
      </c>
    </row>
    <row r="1878" spans="1:21">
      <c r="A1878" s="6" t="s">
        <v>5320</v>
      </c>
      <c r="B1878" s="6" t="s">
        <v>5321</v>
      </c>
      <c r="C1878" s="7">
        <v>0.85375956152991883</v>
      </c>
      <c r="D1878" s="7">
        <v>1.0832006145371162</v>
      </c>
      <c r="E1878" s="7">
        <v>1.1466980064983006</v>
      </c>
      <c r="F1878" s="8">
        <v>0.98582760501707634</v>
      </c>
      <c r="G1878" s="8">
        <f t="shared" si="232"/>
        <v>0.96848008803351759</v>
      </c>
      <c r="H1878" s="8">
        <f t="shared" si="233"/>
        <v>1.0662628057576884</v>
      </c>
      <c r="I1878" s="8">
        <f t="shared" si="234"/>
        <v>1.1009651297247804</v>
      </c>
      <c r="J1878" s="22">
        <f t="shared" si="235"/>
        <v>0.13876877592335252</v>
      </c>
      <c r="K1878" s="8"/>
      <c r="L1878" s="8">
        <v>0.89854538963596198</v>
      </c>
      <c r="M1878" s="8">
        <v>1.1063796616890822</v>
      </c>
      <c r="N1878" s="8">
        <v>1.1016894812117961</v>
      </c>
      <c r="O1878" s="8">
        <v>0.95986563395108337</v>
      </c>
      <c r="P1878" s="8">
        <f t="shared" si="236"/>
        <v>1.0024625256625221</v>
      </c>
      <c r="Q1878" s="8">
        <f t="shared" si="237"/>
        <v>1.0307775575814397</v>
      </c>
      <c r="R1878" s="8">
        <f t="shared" si="238"/>
        <v>1.0282454767076747</v>
      </c>
      <c r="S1878" s="22">
        <f t="shared" si="239"/>
        <v>4.0184725379982751E-2</v>
      </c>
      <c r="T1878" s="25"/>
      <c r="U1878" s="1" t="s">
        <v>5322</v>
      </c>
    </row>
    <row r="1879" spans="1:21">
      <c r="A1879" s="6" t="s">
        <v>5323</v>
      </c>
      <c r="B1879" s="6" t="s">
        <v>5324</v>
      </c>
      <c r="C1879" s="7">
        <v>1.0622730806161624</v>
      </c>
      <c r="D1879" s="7">
        <v>1.0436389295613886</v>
      </c>
      <c r="E1879" s="7">
        <v>0.94124707870925262</v>
      </c>
      <c r="F1879" s="8">
        <v>1.0182535488434554</v>
      </c>
      <c r="G1879" s="8">
        <f t="shared" si="232"/>
        <v>1.0529560050887756</v>
      </c>
      <c r="H1879" s="8">
        <f t="shared" si="233"/>
        <v>0.97975031377635402</v>
      </c>
      <c r="I1879" s="8">
        <f t="shared" si="234"/>
        <v>0.93047602087966674</v>
      </c>
      <c r="J1879" s="22">
        <f t="shared" si="235"/>
        <v>-0.10395912354302231</v>
      </c>
      <c r="K1879" s="8"/>
      <c r="L1879" s="8">
        <v>0.84235852051061044</v>
      </c>
      <c r="M1879" s="8">
        <v>1.1602589135901089</v>
      </c>
      <c r="N1879" s="8">
        <v>0.77453939646686121</v>
      </c>
      <c r="O1879" s="8">
        <v>0.96637576364507338</v>
      </c>
      <c r="P1879" s="8">
        <f t="shared" si="236"/>
        <v>1.0013087170503596</v>
      </c>
      <c r="Q1879" s="8">
        <f t="shared" si="237"/>
        <v>0.87045758005596729</v>
      </c>
      <c r="R1879" s="8">
        <f t="shared" si="238"/>
        <v>0.86931988629855173</v>
      </c>
      <c r="S1879" s="22">
        <f t="shared" si="239"/>
        <v>-0.20204094724162552</v>
      </c>
      <c r="T1879" s="25"/>
      <c r="U1879" s="1" t="s">
        <v>5325</v>
      </c>
    </row>
    <row r="1880" spans="1:21">
      <c r="A1880" s="6" t="s">
        <v>5326</v>
      </c>
      <c r="B1880" s="6" t="s">
        <v>5327</v>
      </c>
      <c r="C1880" s="7">
        <v>1.5809801590766261</v>
      </c>
      <c r="D1880" s="7">
        <v>1.0922591613827752</v>
      </c>
      <c r="E1880" s="7">
        <v>0.95051683831359923</v>
      </c>
      <c r="F1880" s="8">
        <v>1.1194124501478295</v>
      </c>
      <c r="G1880" s="8">
        <f t="shared" si="232"/>
        <v>1.3366196602297007</v>
      </c>
      <c r="H1880" s="8">
        <f t="shared" si="233"/>
        <v>1.0349646442307143</v>
      </c>
      <c r="I1880" s="8">
        <f t="shared" si="234"/>
        <v>0.77431499402968051</v>
      </c>
      <c r="J1880" s="22">
        <f t="shared" si="235"/>
        <v>-0.36900751575534912</v>
      </c>
      <c r="K1880" s="8"/>
      <c r="L1880" s="8">
        <v>0.49630252672828312</v>
      </c>
      <c r="M1880" s="8">
        <v>0.42930549460732098</v>
      </c>
      <c r="N1880" s="8">
        <v>0.54516894241188685</v>
      </c>
      <c r="O1880" s="8">
        <v>0.42946669531670451</v>
      </c>
      <c r="P1880" s="8">
        <f t="shared" si="236"/>
        <v>0.46280401066780208</v>
      </c>
      <c r="Q1880" s="8">
        <f t="shared" si="237"/>
        <v>0.4873178188642957</v>
      </c>
      <c r="R1880" s="8">
        <f t="shared" si="238"/>
        <v>1.0529680115803697</v>
      </c>
      <c r="S1880" s="22">
        <f t="shared" si="239"/>
        <v>7.4461608979627503E-2</v>
      </c>
      <c r="T1880" s="25"/>
      <c r="U1880" s="1" t="s">
        <v>5328</v>
      </c>
    </row>
    <row r="1881" spans="1:21">
      <c r="A1881" s="6" t="s">
        <v>5329</v>
      </c>
      <c r="B1881" s="6" t="s">
        <v>5330</v>
      </c>
      <c r="C1881" s="7">
        <v>0.7537512624700573</v>
      </c>
      <c r="D1881" s="7">
        <v>0.96088438747922023</v>
      </c>
      <c r="E1881" s="7">
        <v>1.1028427019515357</v>
      </c>
      <c r="F1881" s="8">
        <v>1.194236032915337</v>
      </c>
      <c r="G1881" s="8">
        <f t="shared" si="232"/>
        <v>0.85731782497463871</v>
      </c>
      <c r="H1881" s="8">
        <f t="shared" si="233"/>
        <v>1.1485393674334363</v>
      </c>
      <c r="I1881" s="8">
        <f t="shared" si="234"/>
        <v>1.3396891257538155</v>
      </c>
      <c r="J1881" s="22">
        <f t="shared" si="235"/>
        <v>0.42189826279796089</v>
      </c>
      <c r="K1881" s="8"/>
      <c r="L1881" s="8">
        <v>0.6819770143363475</v>
      </c>
      <c r="M1881" s="8">
        <v>0.80797798332017146</v>
      </c>
      <c r="N1881" s="8">
        <v>0.95080581591692437</v>
      </c>
      <c r="O1881" s="8">
        <v>0.72045435280155967</v>
      </c>
      <c r="P1881" s="8">
        <f t="shared" si="236"/>
        <v>0.74497749882825948</v>
      </c>
      <c r="Q1881" s="8">
        <f t="shared" si="237"/>
        <v>0.83563008435924202</v>
      </c>
      <c r="R1881" s="8">
        <f t="shared" si="238"/>
        <v>1.1216849981020445</v>
      </c>
      <c r="S1881" s="22">
        <f t="shared" si="239"/>
        <v>0.16566758193447029</v>
      </c>
      <c r="T1881" s="25"/>
      <c r="U1881" s="1" t="s">
        <v>5331</v>
      </c>
    </row>
    <row r="1882" spans="1:21">
      <c r="A1882" s="6" t="s">
        <v>5332</v>
      </c>
      <c r="B1882" s="6" t="s">
        <v>5333</v>
      </c>
      <c r="C1882" s="7">
        <v>1.2510679512007052</v>
      </c>
      <c r="D1882" s="7">
        <v>1.1814942473210035</v>
      </c>
      <c r="E1882" s="7">
        <v>1.1712592765197398</v>
      </c>
      <c r="F1882" s="8">
        <v>1.0728754816518735</v>
      </c>
      <c r="G1882" s="8">
        <f t="shared" si="232"/>
        <v>1.2162810992608544</v>
      </c>
      <c r="H1882" s="8">
        <f t="shared" si="233"/>
        <v>1.1220673790858067</v>
      </c>
      <c r="I1882" s="8">
        <f t="shared" si="234"/>
        <v>0.92253951801742029</v>
      </c>
      <c r="J1882" s="22">
        <f t="shared" si="235"/>
        <v>-0.11631738292663821</v>
      </c>
      <c r="K1882" s="8"/>
      <c r="L1882" s="8">
        <v>1.1916594837914747</v>
      </c>
      <c r="M1882" s="8">
        <v>1.1587411881844463</v>
      </c>
      <c r="N1882" s="8">
        <v>1.448668320162418</v>
      </c>
      <c r="O1882" s="8">
        <v>1.3838819881286335</v>
      </c>
      <c r="P1882" s="8">
        <f t="shared" si="236"/>
        <v>1.1752003359879604</v>
      </c>
      <c r="Q1882" s="8">
        <f t="shared" si="237"/>
        <v>1.4162751541455258</v>
      </c>
      <c r="R1882" s="8">
        <f t="shared" si="238"/>
        <v>1.2051350827388083</v>
      </c>
      <c r="S1882" s="22">
        <f t="shared" si="239"/>
        <v>0.26919486618537841</v>
      </c>
      <c r="T1882" s="25"/>
      <c r="U1882" s="1" t="s">
        <v>5334</v>
      </c>
    </row>
    <row r="1883" spans="1:21">
      <c r="A1883" s="6" t="s">
        <v>5335</v>
      </c>
      <c r="B1883" s="6" t="s">
        <v>5336</v>
      </c>
      <c r="C1883" s="7">
        <v>1.1840074339831383</v>
      </c>
      <c r="D1883" s="7">
        <v>1.2275881654357903</v>
      </c>
      <c r="E1883" s="7">
        <v>1.0289361302223075</v>
      </c>
      <c r="F1883" s="8">
        <v>0.90106819654170722</v>
      </c>
      <c r="G1883" s="8">
        <f t="shared" si="232"/>
        <v>1.2057977997094644</v>
      </c>
      <c r="H1883" s="8">
        <f t="shared" si="233"/>
        <v>0.96500216338200739</v>
      </c>
      <c r="I1883" s="8">
        <f t="shared" si="234"/>
        <v>0.80030181147662027</v>
      </c>
      <c r="J1883" s="22">
        <f t="shared" si="235"/>
        <v>-0.32138392012902206</v>
      </c>
      <c r="K1883" s="8"/>
      <c r="L1883" s="8">
        <v>1.130849644421632</v>
      </c>
      <c r="M1883" s="8">
        <v>1.0215556751281543</v>
      </c>
      <c r="N1883" s="8">
        <v>1.2888690233696576</v>
      </c>
      <c r="O1883" s="8">
        <v>0.95047893532253958</v>
      </c>
      <c r="P1883" s="8">
        <f t="shared" si="236"/>
        <v>1.0762026597748933</v>
      </c>
      <c r="Q1883" s="8">
        <f t="shared" si="237"/>
        <v>1.1196739793460986</v>
      </c>
      <c r="R1883" s="8">
        <f t="shared" si="238"/>
        <v>1.0403932467331924</v>
      </c>
      <c r="S1883" s="22">
        <f t="shared" si="239"/>
        <v>5.7128939787473028E-2</v>
      </c>
      <c r="T1883" s="25"/>
      <c r="U1883" s="1" t="s">
        <v>5337</v>
      </c>
    </row>
    <row r="1884" spans="1:21">
      <c r="A1884" s="6" t="s">
        <v>5338</v>
      </c>
      <c r="B1884" s="11" t="s">
        <v>5339</v>
      </c>
      <c r="C1884" s="12">
        <v>1.0012018725229441</v>
      </c>
      <c r="D1884" s="12">
        <v>1.1958057175514847</v>
      </c>
      <c r="E1884" s="12">
        <v>1.0073354345861325</v>
      </c>
      <c r="F1884" s="8">
        <v>1.035879775388016</v>
      </c>
      <c r="G1884" s="8">
        <f t="shared" si="232"/>
        <v>1.0985037950372143</v>
      </c>
      <c r="H1884" s="8">
        <f t="shared" si="233"/>
        <v>1.0216076049870741</v>
      </c>
      <c r="I1884" s="8">
        <f t="shared" si="234"/>
        <v>0.9299991584939995</v>
      </c>
      <c r="J1884" s="22">
        <f t="shared" si="235"/>
        <v>-0.10469868408291165</v>
      </c>
      <c r="K1884" s="8"/>
      <c r="L1884" s="8">
        <v>0.90525758681786705</v>
      </c>
      <c r="M1884" s="8">
        <v>1.20878396753227</v>
      </c>
      <c r="N1884" s="8">
        <v>0.87134464120076827</v>
      </c>
      <c r="O1884" s="8">
        <v>0.84636732634035849</v>
      </c>
      <c r="P1884" s="8">
        <f t="shared" si="236"/>
        <v>1.0570207771750686</v>
      </c>
      <c r="Q1884" s="8">
        <f t="shared" si="237"/>
        <v>0.85885598377056338</v>
      </c>
      <c r="R1884" s="8">
        <f t="shared" si="238"/>
        <v>0.81252516725914437</v>
      </c>
      <c r="S1884" s="22">
        <f t="shared" si="239"/>
        <v>-0.29951559494488983</v>
      </c>
      <c r="T1884" s="25"/>
      <c r="U1884" s="1" t="s">
        <v>5340</v>
      </c>
    </row>
    <row r="1885" spans="1:21">
      <c r="A1885" s="6" t="s">
        <v>5341</v>
      </c>
      <c r="B1885" s="6" t="s">
        <v>5342</v>
      </c>
      <c r="C1885" s="7">
        <v>1.0174454054008473</v>
      </c>
      <c r="D1885" s="7">
        <v>1.029476066019531</v>
      </c>
      <c r="E1885" s="7">
        <v>1.0859774881597517</v>
      </c>
      <c r="F1885" s="8">
        <v>1.0612896632271829</v>
      </c>
      <c r="G1885" s="8">
        <f t="shared" si="232"/>
        <v>1.0234607357101893</v>
      </c>
      <c r="H1885" s="8">
        <f t="shared" si="233"/>
        <v>1.0736335756934672</v>
      </c>
      <c r="I1885" s="8">
        <f t="shared" si="234"/>
        <v>1.0490227306555757</v>
      </c>
      <c r="J1885" s="22">
        <f t="shared" si="235"/>
        <v>6.9045939162828029E-2</v>
      </c>
      <c r="K1885" s="8"/>
      <c r="L1885" s="8">
        <v>0.90699120065955119</v>
      </c>
      <c r="M1885" s="8">
        <v>0.95174030646766872</v>
      </c>
      <c r="N1885" s="8">
        <v>0.86686246580292259</v>
      </c>
      <c r="O1885" s="8">
        <v>0.87064153085825924</v>
      </c>
      <c r="P1885" s="8">
        <f t="shared" si="236"/>
        <v>0.92936575356360995</v>
      </c>
      <c r="Q1885" s="8">
        <f t="shared" si="237"/>
        <v>0.86875199833059091</v>
      </c>
      <c r="R1885" s="8">
        <f t="shared" si="238"/>
        <v>0.93477943963332155</v>
      </c>
      <c r="S1885" s="22">
        <f t="shared" si="239"/>
        <v>-9.7302092329796197E-2</v>
      </c>
      <c r="T1885" s="25"/>
      <c r="U1885" s="1" t="s">
        <v>5343</v>
      </c>
    </row>
    <row r="1886" spans="1:21">
      <c r="A1886" s="6" t="s">
        <v>5344</v>
      </c>
      <c r="B1886" s="6" t="s">
        <v>5345</v>
      </c>
      <c r="C1886" s="7">
        <v>1.0358477222268672</v>
      </c>
      <c r="D1886" s="7">
        <v>1.0979514436730931</v>
      </c>
      <c r="E1886" s="7">
        <v>1.1066799512761256</v>
      </c>
      <c r="F1886" s="8">
        <v>1.0324076168012974</v>
      </c>
      <c r="G1886" s="8">
        <f t="shared" si="232"/>
        <v>1.0668995829499801</v>
      </c>
      <c r="H1886" s="8">
        <f t="shared" si="233"/>
        <v>1.0695437840387116</v>
      </c>
      <c r="I1886" s="8">
        <f t="shared" si="234"/>
        <v>1.0024783973402822</v>
      </c>
      <c r="J1886" s="22">
        <f t="shared" si="235"/>
        <v>3.5711480160110771E-3</v>
      </c>
      <c r="K1886" s="8"/>
      <c r="L1886" s="8">
        <v>0.98718195374668261</v>
      </c>
      <c r="M1886" s="8">
        <v>1.0228626053385861</v>
      </c>
      <c r="N1886" s="8">
        <v>0.94125683354760092</v>
      </c>
      <c r="O1886" s="8">
        <v>1.2134578952867403</v>
      </c>
      <c r="P1886" s="8">
        <f t="shared" si="236"/>
        <v>1.0050222795426342</v>
      </c>
      <c r="Q1886" s="8">
        <f t="shared" si="237"/>
        <v>1.0773573644171706</v>
      </c>
      <c r="R1886" s="8">
        <f t="shared" si="238"/>
        <v>1.0719736132690059</v>
      </c>
      <c r="S1886" s="22">
        <f t="shared" si="239"/>
        <v>0.10026939415905252</v>
      </c>
      <c r="T1886" s="25"/>
      <c r="U1886" s="1" t="s">
        <v>5346</v>
      </c>
    </row>
    <row r="1887" spans="1:21">
      <c r="A1887" s="6" t="s">
        <v>5347</v>
      </c>
      <c r="B1887" s="6" t="s">
        <v>5348</v>
      </c>
      <c r="C1887" s="7">
        <v>1.0749690996281054</v>
      </c>
      <c r="D1887" s="7">
        <v>1.0962327750133602</v>
      </c>
      <c r="E1887" s="7">
        <v>1.065296582623853</v>
      </c>
      <c r="F1887" s="8">
        <v>1.0225220082630784</v>
      </c>
      <c r="G1887" s="8">
        <f t="shared" si="232"/>
        <v>1.0856009373207329</v>
      </c>
      <c r="H1887" s="8">
        <f t="shared" si="233"/>
        <v>1.0439092954434657</v>
      </c>
      <c r="I1887" s="8">
        <f t="shared" si="234"/>
        <v>0.96159579414129615</v>
      </c>
      <c r="J1887" s="22">
        <f t="shared" si="235"/>
        <v>-5.6497508930573044E-2</v>
      </c>
      <c r="K1887" s="8"/>
      <c r="L1887" s="8">
        <v>1.0973775617860391</v>
      </c>
      <c r="M1887" s="8">
        <v>1.1419197316050178</v>
      </c>
      <c r="N1887" s="8">
        <v>1.2706967252892614</v>
      </c>
      <c r="O1887" s="8">
        <v>1.1780811440038954</v>
      </c>
      <c r="P1887" s="8">
        <f t="shared" si="236"/>
        <v>1.1196486466955284</v>
      </c>
      <c r="Q1887" s="8">
        <f t="shared" si="237"/>
        <v>1.2243889346465784</v>
      </c>
      <c r="R1887" s="8">
        <f t="shared" si="238"/>
        <v>1.0935474608576314</v>
      </c>
      <c r="S1887" s="22">
        <f t="shared" si="239"/>
        <v>0.1290158358940621</v>
      </c>
      <c r="T1887" s="25"/>
      <c r="U1887" s="1" t="s">
        <v>5349</v>
      </c>
    </row>
    <row r="1888" spans="1:21">
      <c r="A1888" s="6" t="s">
        <v>5350</v>
      </c>
      <c r="B1888" s="6" t="s">
        <v>5351</v>
      </c>
      <c r="C1888" s="7">
        <v>0.94118372977027032</v>
      </c>
      <c r="D1888" s="7">
        <v>1.0516313849451833</v>
      </c>
      <c r="E1888" s="7">
        <v>0.99027620257007154</v>
      </c>
      <c r="F1888" s="8">
        <v>0.95286362008738346</v>
      </c>
      <c r="G1888" s="8">
        <f t="shared" si="232"/>
        <v>0.99640755735772679</v>
      </c>
      <c r="H1888" s="8">
        <f t="shared" si="233"/>
        <v>0.9715699113287275</v>
      </c>
      <c r="I1888" s="8">
        <f t="shared" si="234"/>
        <v>0.97507280445075728</v>
      </c>
      <c r="J1888" s="22">
        <f t="shared" si="235"/>
        <v>-3.641815223154974E-2</v>
      </c>
      <c r="K1888" s="8"/>
      <c r="L1888" s="8">
        <v>1.1020449836674961</v>
      </c>
      <c r="M1888" s="8">
        <v>0.91561001000508657</v>
      </c>
      <c r="N1888" s="8">
        <v>0.96917299118853129</v>
      </c>
      <c r="O1888" s="8">
        <v>0.9903976375546798</v>
      </c>
      <c r="P1888" s="8">
        <f t="shared" si="236"/>
        <v>1.0088274968362914</v>
      </c>
      <c r="Q1888" s="8">
        <f t="shared" si="237"/>
        <v>0.97978531437160554</v>
      </c>
      <c r="R1888" s="8">
        <f t="shared" si="238"/>
        <v>0.97121194400850208</v>
      </c>
      <c r="S1888" s="22">
        <f t="shared" si="239"/>
        <v>-4.2141930855673623E-2</v>
      </c>
      <c r="T1888" s="25"/>
      <c r="U1888" s="1" t="s">
        <v>5352</v>
      </c>
    </row>
    <row r="1889" spans="1:21">
      <c r="A1889" s="6" t="s">
        <v>5353</v>
      </c>
      <c r="B1889" s="6" t="s">
        <v>5354</v>
      </c>
      <c r="C1889" s="7">
        <v>1.1475911181754244</v>
      </c>
      <c r="D1889" s="7">
        <v>1.0837950412916102</v>
      </c>
      <c r="E1889" s="7">
        <v>1.0819893357718351</v>
      </c>
      <c r="F1889" s="8">
        <v>1.1604040083389646</v>
      </c>
      <c r="G1889" s="8">
        <f t="shared" si="232"/>
        <v>1.1156930797335174</v>
      </c>
      <c r="H1889" s="8">
        <f t="shared" si="233"/>
        <v>1.1211966720553999</v>
      </c>
      <c r="I1889" s="8">
        <f t="shared" si="234"/>
        <v>1.0049328909732029</v>
      </c>
      <c r="J1889" s="22">
        <f t="shared" si="235"/>
        <v>7.0991620083665618E-3</v>
      </c>
      <c r="K1889" s="8"/>
      <c r="L1889" s="8">
        <v>0.1405116244503451</v>
      </c>
      <c r="M1889" s="8">
        <v>0.11285974752664227</v>
      </c>
      <c r="N1889" s="8">
        <v>0.18104091063472491</v>
      </c>
      <c r="O1889" s="8">
        <v>0.12682136372865785</v>
      </c>
      <c r="P1889" s="8">
        <f t="shared" si="236"/>
        <v>0.12668568598849367</v>
      </c>
      <c r="Q1889" s="8">
        <f t="shared" si="237"/>
        <v>0.15393113718169138</v>
      </c>
      <c r="R1889" s="8">
        <f t="shared" si="238"/>
        <v>1.2150633750025421</v>
      </c>
      <c r="S1889" s="22">
        <f t="shared" si="239"/>
        <v>0.28103156355733505</v>
      </c>
      <c r="T1889" s="25"/>
      <c r="U1889" s="1" t="s">
        <v>5355</v>
      </c>
    </row>
    <row r="1890" spans="1:21">
      <c r="A1890" s="6" t="s">
        <v>5356</v>
      </c>
      <c r="B1890" s="6" t="s">
        <v>5357</v>
      </c>
      <c r="C1890" s="7">
        <v>0.95378102390653718</v>
      </c>
      <c r="D1890" s="7">
        <v>1.0958451053908642</v>
      </c>
      <c r="E1890" s="7">
        <v>1.0176974449345573</v>
      </c>
      <c r="F1890" s="8">
        <v>1.0289928492655991</v>
      </c>
      <c r="G1890" s="8">
        <f t="shared" si="232"/>
        <v>1.0248130646487006</v>
      </c>
      <c r="H1890" s="8">
        <f t="shared" si="233"/>
        <v>1.0233451471000783</v>
      </c>
      <c r="I1890" s="8">
        <f t="shared" si="234"/>
        <v>0.99856762408749589</v>
      </c>
      <c r="J1890" s="22">
        <f t="shared" si="235"/>
        <v>-2.0679630296978942E-3</v>
      </c>
      <c r="K1890" s="8"/>
      <c r="L1890" s="8">
        <v>1.2359333142098687</v>
      </c>
      <c r="M1890" s="8">
        <v>0.94322418058033897</v>
      </c>
      <c r="N1890" s="8">
        <v>1.143880393108909</v>
      </c>
      <c r="O1890" s="8">
        <v>1.0142176469776509</v>
      </c>
      <c r="P1890" s="8">
        <f t="shared" si="236"/>
        <v>1.089578747395104</v>
      </c>
      <c r="Q1890" s="8">
        <f t="shared" si="237"/>
        <v>1.0790490200432798</v>
      </c>
      <c r="R1890" s="8">
        <f t="shared" si="238"/>
        <v>0.99033596481484432</v>
      </c>
      <c r="S1890" s="22">
        <f t="shared" si="239"/>
        <v>-1.4010062070600028E-2</v>
      </c>
      <c r="T1890" s="25"/>
      <c r="U1890" s="1" t="s">
        <v>5358</v>
      </c>
    </row>
    <row r="1891" spans="1:21">
      <c r="A1891" s="6" t="s">
        <v>5359</v>
      </c>
      <c r="B1891" s="6" t="s">
        <v>5360</v>
      </c>
      <c r="C1891" s="7">
        <v>0.72186970928506422</v>
      </c>
      <c r="D1891" s="7">
        <v>0.82437945223796671</v>
      </c>
      <c r="E1891" s="7">
        <v>0.23291528531448405</v>
      </c>
      <c r="F1891" s="8">
        <v>0.23432048743385386</v>
      </c>
      <c r="G1891" s="8">
        <f t="shared" si="232"/>
        <v>0.77312458076151547</v>
      </c>
      <c r="H1891" s="8">
        <f t="shared" si="233"/>
        <v>0.23361788637416897</v>
      </c>
      <c r="I1891" s="8">
        <f t="shared" si="234"/>
        <v>0.30217366280614055</v>
      </c>
      <c r="J1891" s="22">
        <f t="shared" si="235"/>
        <v>-1.726550172951121</v>
      </c>
      <c r="K1891" s="8"/>
      <c r="L1891" s="8">
        <v>1.1046231786115392</v>
      </c>
      <c r="M1891" s="8">
        <v>1.0508983663043003</v>
      </c>
      <c r="N1891" s="8">
        <v>1.1772531121037386</v>
      </c>
      <c r="O1891" s="8">
        <v>1.2820918207427587</v>
      </c>
      <c r="P1891" s="8">
        <f t="shared" si="236"/>
        <v>1.0777607724579199</v>
      </c>
      <c r="Q1891" s="8">
        <f t="shared" si="237"/>
        <v>1.2296724664232488</v>
      </c>
      <c r="R1891" s="8">
        <f t="shared" si="238"/>
        <v>1.1409512183477248</v>
      </c>
      <c r="S1891" s="22">
        <f t="shared" si="239"/>
        <v>0.19023711016095363</v>
      </c>
      <c r="T1891" s="25"/>
      <c r="U1891" s="1" t="s">
        <v>5361</v>
      </c>
    </row>
    <row r="1892" spans="1:21">
      <c r="A1892" s="6" t="s">
        <v>5362</v>
      </c>
      <c r="B1892" s="13" t="s">
        <v>5363</v>
      </c>
      <c r="C1892" s="14">
        <v>1.0394478893598544</v>
      </c>
      <c r="D1892" s="14">
        <v>1.0837691966501104</v>
      </c>
      <c r="E1892" s="14">
        <v>0.98801265662017301</v>
      </c>
      <c r="F1892" s="8">
        <v>1.0776245911237903</v>
      </c>
      <c r="G1892" s="8">
        <f t="shared" si="232"/>
        <v>1.0616085430049824</v>
      </c>
      <c r="H1892" s="8">
        <f t="shared" si="233"/>
        <v>1.0328186238719816</v>
      </c>
      <c r="I1892" s="8">
        <f t="shared" si="234"/>
        <v>0.9728808520591703</v>
      </c>
      <c r="J1892" s="22">
        <f t="shared" si="235"/>
        <v>-3.9664964771835412E-2</v>
      </c>
      <c r="K1892" s="8"/>
      <c r="L1892" s="8">
        <v>1.0391459173602395</v>
      </c>
      <c r="M1892" s="8">
        <v>1.0370702014971509</v>
      </c>
      <c r="N1892" s="8">
        <v>1.3221443037688816</v>
      </c>
      <c r="O1892" s="8">
        <v>1.2244595098083668</v>
      </c>
      <c r="P1892" s="8">
        <f t="shared" si="236"/>
        <v>1.0381080594286951</v>
      </c>
      <c r="Q1892" s="8">
        <f t="shared" si="237"/>
        <v>1.2733019067886242</v>
      </c>
      <c r="R1892" s="8">
        <f t="shared" si="238"/>
        <v>1.2265600822802243</v>
      </c>
      <c r="S1892" s="22">
        <f t="shared" si="239"/>
        <v>0.29461790514272029</v>
      </c>
      <c r="T1892" s="25"/>
      <c r="U1892" s="1" t="s">
        <v>5364</v>
      </c>
    </row>
    <row r="1893" spans="1:21">
      <c r="A1893" s="6" t="s">
        <v>5365</v>
      </c>
      <c r="B1893" s="6" t="s">
        <v>5366</v>
      </c>
      <c r="C1893" s="7">
        <v>1.0402837599739119</v>
      </c>
      <c r="D1893" s="7">
        <v>1.0802220196042711</v>
      </c>
      <c r="E1893" s="7">
        <v>1.0317026863832948</v>
      </c>
      <c r="F1893" s="8">
        <v>1.048620588714487</v>
      </c>
      <c r="G1893" s="8">
        <f t="shared" si="232"/>
        <v>1.0602528897890915</v>
      </c>
      <c r="H1893" s="8">
        <f t="shared" si="233"/>
        <v>1.0401616375488909</v>
      </c>
      <c r="I1893" s="8">
        <f t="shared" si="234"/>
        <v>0.98105050933254501</v>
      </c>
      <c r="J1893" s="22">
        <f t="shared" si="235"/>
        <v>-2.7600679454360733E-2</v>
      </c>
      <c r="K1893" s="8"/>
      <c r="L1893" s="8">
        <v>0.54364352009734906</v>
      </c>
      <c r="M1893" s="8">
        <v>0.46425533797660989</v>
      </c>
      <c r="N1893" s="8">
        <v>0.67934188856044242</v>
      </c>
      <c r="O1893" s="8">
        <v>0.63223957214191229</v>
      </c>
      <c r="P1893" s="8">
        <f t="shared" si="236"/>
        <v>0.50394942903697948</v>
      </c>
      <c r="Q1893" s="8">
        <f t="shared" si="237"/>
        <v>0.65579073035117741</v>
      </c>
      <c r="R1893" s="8">
        <f t="shared" si="238"/>
        <v>1.3013026557136071</v>
      </c>
      <c r="S1893" s="22">
        <f t="shared" si="239"/>
        <v>0.37995654169947329</v>
      </c>
      <c r="T1893" s="25"/>
      <c r="U1893" s="1" t="s">
        <v>5367</v>
      </c>
    </row>
    <row r="1894" spans="1:21">
      <c r="A1894" s="6" t="s">
        <v>5368</v>
      </c>
      <c r="B1894" s="13" t="s">
        <v>5369</v>
      </c>
      <c r="C1894" s="14">
        <v>1.1334471343202324</v>
      </c>
      <c r="D1894" s="14">
        <v>1.1288099456237828</v>
      </c>
      <c r="E1894" s="14">
        <v>1.1709718421134034</v>
      </c>
      <c r="F1894" s="8">
        <v>1.0428599619683405</v>
      </c>
      <c r="G1894" s="8">
        <f t="shared" si="232"/>
        <v>1.1311285399720075</v>
      </c>
      <c r="H1894" s="8">
        <f t="shared" si="233"/>
        <v>1.1069159020408721</v>
      </c>
      <c r="I1894" s="8">
        <f t="shared" si="234"/>
        <v>0.97859426486424383</v>
      </c>
      <c r="J1894" s="22">
        <f t="shared" si="235"/>
        <v>-3.1217267129856237E-2</v>
      </c>
      <c r="K1894" s="8"/>
      <c r="L1894" s="8">
        <v>1.1506306228716174</v>
      </c>
      <c r="M1894" s="8">
        <v>0.77323893514611353</v>
      </c>
      <c r="N1894" s="8">
        <v>1.1134795512800424</v>
      </c>
      <c r="O1894" s="8">
        <v>0.85136347238458343</v>
      </c>
      <c r="P1894" s="8">
        <f t="shared" si="236"/>
        <v>0.96193477900886548</v>
      </c>
      <c r="Q1894" s="8">
        <f t="shared" si="237"/>
        <v>0.98242151183231297</v>
      </c>
      <c r="R1894" s="8">
        <f t="shared" si="238"/>
        <v>1.0212974239735422</v>
      </c>
      <c r="S1894" s="22">
        <f t="shared" si="239"/>
        <v>3.0403071509681301E-2</v>
      </c>
      <c r="T1894" s="25"/>
      <c r="U1894" s="1" t="s">
        <v>5370</v>
      </c>
    </row>
    <row r="1895" spans="1:21">
      <c r="A1895" s="6" t="s">
        <v>5371</v>
      </c>
      <c r="B1895" s="6" t="s">
        <v>5372</v>
      </c>
      <c r="C1895" s="7">
        <v>1.1513229184759799</v>
      </c>
      <c r="D1895" s="7">
        <v>1.0302384829437734</v>
      </c>
      <c r="E1895" s="7">
        <v>0.95679009423188954</v>
      </c>
      <c r="F1895" s="8">
        <v>1.0574659844529661</v>
      </c>
      <c r="G1895" s="8">
        <f t="shared" si="232"/>
        <v>1.0907807007098766</v>
      </c>
      <c r="H1895" s="8">
        <f t="shared" si="233"/>
        <v>1.0071280393424278</v>
      </c>
      <c r="I1895" s="8">
        <f t="shared" si="234"/>
        <v>0.92330936794810547</v>
      </c>
      <c r="J1895" s="22">
        <f t="shared" si="235"/>
        <v>-0.11511397050206555</v>
      </c>
      <c r="K1895" s="8"/>
      <c r="L1895" s="8">
        <v>1.2173525299579724</v>
      </c>
      <c r="M1895" s="8">
        <v>0.92311431895530782</v>
      </c>
      <c r="N1895" s="8">
        <v>1.1886534277895635</v>
      </c>
      <c r="O1895" s="8">
        <v>0.99090229877126823</v>
      </c>
      <c r="P1895" s="8">
        <f t="shared" si="236"/>
        <v>1.07023342445664</v>
      </c>
      <c r="Q1895" s="8">
        <f t="shared" si="237"/>
        <v>1.0897778632804158</v>
      </c>
      <c r="R1895" s="8">
        <f t="shared" si="238"/>
        <v>1.0182618467870208</v>
      </c>
      <c r="S1895" s="22">
        <f t="shared" si="239"/>
        <v>2.6108599218776504E-2</v>
      </c>
      <c r="T1895" s="25"/>
      <c r="U1895" s="1" t="s">
        <v>5373</v>
      </c>
    </row>
    <row r="1896" spans="1:21">
      <c r="A1896" s="6" t="s">
        <v>5374</v>
      </c>
      <c r="B1896" s="13" t="s">
        <v>5375</v>
      </c>
      <c r="C1896" s="14">
        <v>1.0218222082224864</v>
      </c>
      <c r="D1896" s="14">
        <v>0.99873386495558991</v>
      </c>
      <c r="E1896" s="14">
        <v>1.0061856969607872</v>
      </c>
      <c r="F1896" s="8">
        <v>1.0405069288765147</v>
      </c>
      <c r="G1896" s="8">
        <f t="shared" si="232"/>
        <v>1.010278036589038</v>
      </c>
      <c r="H1896" s="8">
        <f t="shared" si="233"/>
        <v>1.0233463129186511</v>
      </c>
      <c r="I1896" s="8">
        <f t="shared" si="234"/>
        <v>1.0129353265698371</v>
      </c>
      <c r="J1896" s="22">
        <f t="shared" si="235"/>
        <v>1.8542064548205513E-2</v>
      </c>
      <c r="K1896" s="8"/>
      <c r="L1896" s="8">
        <v>1.0235878444220488</v>
      </c>
      <c r="M1896" s="8">
        <v>0.9554924609427794</v>
      </c>
      <c r="N1896" s="8">
        <v>1.1644886560794387</v>
      </c>
      <c r="O1896" s="8">
        <v>0.95108452878244565</v>
      </c>
      <c r="P1896" s="8">
        <f t="shared" si="236"/>
        <v>0.98954015268241413</v>
      </c>
      <c r="Q1896" s="8">
        <f t="shared" si="237"/>
        <v>1.0577865924309422</v>
      </c>
      <c r="R1896" s="8">
        <f t="shared" si="238"/>
        <v>1.0689678327489065</v>
      </c>
      <c r="S1896" s="22">
        <f t="shared" si="239"/>
        <v>9.6218440306420794E-2</v>
      </c>
      <c r="T1896" s="25"/>
      <c r="U1896" s="1" t="s">
        <v>5376</v>
      </c>
    </row>
    <row r="1897" spans="1:21">
      <c r="A1897" s="6" t="s">
        <v>5377</v>
      </c>
      <c r="B1897" s="6" t="s">
        <v>5378</v>
      </c>
      <c r="C1897" s="7">
        <v>1.1116750084044693</v>
      </c>
      <c r="D1897" s="7">
        <v>1.1099175126874727</v>
      </c>
      <c r="E1897" s="7">
        <v>1.0790790624076798</v>
      </c>
      <c r="F1897" s="8">
        <v>1.0142505230348007</v>
      </c>
      <c r="G1897" s="8">
        <f t="shared" si="232"/>
        <v>1.1107962605459711</v>
      </c>
      <c r="H1897" s="8">
        <f t="shared" si="233"/>
        <v>1.0466647927212402</v>
      </c>
      <c r="I1897" s="8">
        <f t="shared" si="234"/>
        <v>0.94226531894047838</v>
      </c>
      <c r="J1897" s="22">
        <f t="shared" si="235"/>
        <v>-8.5794750097429845E-2</v>
      </c>
      <c r="K1897" s="8"/>
      <c r="L1897" s="8">
        <v>1.1654330179813817</v>
      </c>
      <c r="M1897" s="8">
        <v>0.99638672881758061</v>
      </c>
      <c r="N1897" s="8">
        <v>1.0556984640860747</v>
      </c>
      <c r="O1897" s="8">
        <v>0.98348377888741911</v>
      </c>
      <c r="P1897" s="8">
        <f t="shared" si="236"/>
        <v>1.0809098733994811</v>
      </c>
      <c r="Q1897" s="8">
        <f t="shared" si="237"/>
        <v>1.019591121486747</v>
      </c>
      <c r="R1897" s="8">
        <f t="shared" si="238"/>
        <v>0.94327117050019582</v>
      </c>
      <c r="S1897" s="22">
        <f t="shared" si="239"/>
        <v>-8.4255520066237946E-2</v>
      </c>
      <c r="T1897" s="25"/>
      <c r="U1897" s="1" t="s">
        <v>5379</v>
      </c>
    </row>
    <row r="1898" spans="1:21">
      <c r="A1898" s="6" t="s">
        <v>5380</v>
      </c>
      <c r="B1898" s="13" t="s">
        <v>5381</v>
      </c>
      <c r="C1898" s="14">
        <v>1.0606145027048044</v>
      </c>
      <c r="D1898" s="14">
        <v>1.0657813261662912</v>
      </c>
      <c r="E1898" s="14">
        <v>1.1012474409963691</v>
      </c>
      <c r="F1898" s="8">
        <v>1.0672224631263898</v>
      </c>
      <c r="G1898" s="8">
        <f t="shared" si="232"/>
        <v>1.0631979144355479</v>
      </c>
      <c r="H1898" s="8">
        <f t="shared" si="233"/>
        <v>1.0842349520613794</v>
      </c>
      <c r="I1898" s="8">
        <f t="shared" si="234"/>
        <v>1.0197865678066158</v>
      </c>
      <c r="J1898" s="22">
        <f t="shared" si="235"/>
        <v>2.8267240640978793E-2</v>
      </c>
      <c r="K1898" s="8"/>
      <c r="L1898" s="8">
        <v>1.0658613511769612</v>
      </c>
      <c r="M1898" s="8">
        <v>0.99217082491296194</v>
      </c>
      <c r="N1898" s="8">
        <v>1.0012790084404914</v>
      </c>
      <c r="O1898" s="8">
        <v>1.0151765032891689</v>
      </c>
      <c r="P1898" s="8">
        <f t="shared" si="236"/>
        <v>1.0290160880449615</v>
      </c>
      <c r="Q1898" s="8">
        <f t="shared" si="237"/>
        <v>1.00822775586483</v>
      </c>
      <c r="R1898" s="8">
        <f t="shared" si="238"/>
        <v>0.97979785503681738</v>
      </c>
      <c r="S1898" s="22">
        <f t="shared" si="239"/>
        <v>-2.9443961595985609E-2</v>
      </c>
      <c r="T1898" s="25"/>
      <c r="U1898" s="1" t="s">
        <v>5382</v>
      </c>
    </row>
    <row r="1899" spans="1:21">
      <c r="A1899" s="6" t="s">
        <v>5383</v>
      </c>
      <c r="B1899" s="6" t="s">
        <v>80</v>
      </c>
      <c r="C1899" s="7">
        <v>1.0352751179479458</v>
      </c>
      <c r="D1899" s="7">
        <v>1.0282613678690431</v>
      </c>
      <c r="E1899" s="7">
        <v>1.0471666574441891</v>
      </c>
      <c r="F1899" s="8">
        <v>0.91926115971509159</v>
      </c>
      <c r="G1899" s="8">
        <f t="shared" si="232"/>
        <v>1.0317682429084944</v>
      </c>
      <c r="H1899" s="8">
        <f t="shared" si="233"/>
        <v>0.98321390857964031</v>
      </c>
      <c r="I1899" s="8">
        <f t="shared" si="234"/>
        <v>0.95294065827032792</v>
      </c>
      <c r="J1899" s="22">
        <f t="shared" si="235"/>
        <v>-6.9541717776998829E-2</v>
      </c>
      <c r="K1899" s="8"/>
      <c r="L1899" s="8">
        <v>1.0663503191835901</v>
      </c>
      <c r="M1899" s="8">
        <v>1.0119434142256236</v>
      </c>
      <c r="N1899" s="8">
        <v>1.0752349025049457</v>
      </c>
      <c r="O1899" s="8">
        <v>1.1734887269329413</v>
      </c>
      <c r="P1899" s="8">
        <f t="shared" si="236"/>
        <v>1.0391468667046069</v>
      </c>
      <c r="Q1899" s="8">
        <f t="shared" si="237"/>
        <v>1.1243618147189434</v>
      </c>
      <c r="R1899" s="8">
        <f t="shared" si="238"/>
        <v>1.0820047201648928</v>
      </c>
      <c r="S1899" s="22">
        <f t="shared" si="239"/>
        <v>0.11370679282797172</v>
      </c>
      <c r="T1899" s="25"/>
      <c r="U1899" s="1">
        <v>0</v>
      </c>
    </row>
    <row r="1900" spans="1:21">
      <c r="A1900" s="6" t="s">
        <v>5384</v>
      </c>
      <c r="B1900" s="6" t="s">
        <v>80</v>
      </c>
      <c r="C1900" s="7">
        <v>1.09747837128225</v>
      </c>
      <c r="D1900" s="7">
        <v>1.009084643876236</v>
      </c>
      <c r="E1900" s="7">
        <v>1.0272474530850817</v>
      </c>
      <c r="F1900" s="8">
        <v>1.0325080511405826</v>
      </c>
      <c r="G1900" s="8">
        <f t="shared" si="232"/>
        <v>1.053281507579243</v>
      </c>
      <c r="H1900" s="8">
        <f t="shared" si="233"/>
        <v>1.0298777521128322</v>
      </c>
      <c r="I1900" s="8">
        <f t="shared" si="234"/>
        <v>0.97778015155682385</v>
      </c>
      <c r="J1900" s="22">
        <f t="shared" si="235"/>
        <v>-3.2417975224660632E-2</v>
      </c>
      <c r="K1900" s="8"/>
      <c r="L1900" s="8">
        <v>1.3507963441306823</v>
      </c>
      <c r="M1900" s="8">
        <v>1.2607239036371722</v>
      </c>
      <c r="N1900" s="8">
        <v>1.0739194814642736</v>
      </c>
      <c r="O1900" s="8">
        <v>1.4080552604032164</v>
      </c>
      <c r="P1900" s="8">
        <f t="shared" si="236"/>
        <v>1.3057601238839274</v>
      </c>
      <c r="Q1900" s="8">
        <f t="shared" si="237"/>
        <v>1.2409873709337451</v>
      </c>
      <c r="R1900" s="8">
        <f t="shared" si="238"/>
        <v>0.95039460022908462</v>
      </c>
      <c r="S1900" s="22">
        <f t="shared" si="239"/>
        <v>-7.3401455555135622E-2</v>
      </c>
      <c r="T1900" s="25"/>
      <c r="U1900" s="1">
        <v>0</v>
      </c>
    </row>
    <row r="1901" spans="1:21">
      <c r="A1901" s="6" t="s">
        <v>5385</v>
      </c>
      <c r="B1901" s="13" t="s">
        <v>5386</v>
      </c>
      <c r="C1901" s="14">
        <v>4.392598801747389E-2</v>
      </c>
      <c r="D1901" s="14">
        <v>5.6832366657928957E-2</v>
      </c>
      <c r="E1901" s="14">
        <v>0.19457872136937646</v>
      </c>
      <c r="F1901" s="8">
        <v>0.19078937523507772</v>
      </c>
      <c r="G1901" s="8">
        <f t="shared" si="232"/>
        <v>5.037917733770142E-2</v>
      </c>
      <c r="H1901" s="8">
        <f t="shared" si="233"/>
        <v>0.19268404830222707</v>
      </c>
      <c r="I1901" s="8">
        <f t="shared" si="234"/>
        <v>3.8246763540942408</v>
      </c>
      <c r="J1901" s="22">
        <f t="shared" si="235"/>
        <v>1.9353376714397261</v>
      </c>
      <c r="K1901" s="8"/>
      <c r="L1901" s="8">
        <v>0.51488331098017948</v>
      </c>
      <c r="M1901" s="8">
        <v>0.49241757605946274</v>
      </c>
      <c r="N1901" s="8">
        <v>0.61664015228840507</v>
      </c>
      <c r="O1901" s="8">
        <v>0.24839425080479666</v>
      </c>
      <c r="P1901" s="8">
        <f t="shared" si="236"/>
        <v>0.50365044351982113</v>
      </c>
      <c r="Q1901" s="8">
        <f t="shared" si="237"/>
        <v>0.43251720154660089</v>
      </c>
      <c r="R1901" s="8">
        <f t="shared" si="238"/>
        <v>0.85876465932185608</v>
      </c>
      <c r="S1901" s="22">
        <f t="shared" si="239"/>
        <v>-0.2196652735907616</v>
      </c>
      <c r="T1901" s="25"/>
      <c r="U1901" s="1" t="s">
        <v>5387</v>
      </c>
    </row>
    <row r="1902" spans="1:21">
      <c r="A1902" s="6" t="s">
        <v>5388</v>
      </c>
      <c r="B1902" s="6" t="s">
        <v>5389</v>
      </c>
      <c r="C1902" s="7">
        <v>0.95582791966222103</v>
      </c>
      <c r="D1902" s="7">
        <v>0.96230584276170594</v>
      </c>
      <c r="E1902" s="7">
        <v>0.84519368597181066</v>
      </c>
      <c r="F1902" s="8">
        <v>0.77976503632926386</v>
      </c>
      <c r="G1902" s="8">
        <f t="shared" si="232"/>
        <v>0.95906688121196348</v>
      </c>
      <c r="H1902" s="8">
        <f t="shared" si="233"/>
        <v>0.8124793611505372</v>
      </c>
      <c r="I1902" s="8">
        <f t="shared" si="234"/>
        <v>0.84715610252729712</v>
      </c>
      <c r="J1902" s="22">
        <f t="shared" si="235"/>
        <v>-0.2393002604048049</v>
      </c>
      <c r="K1902" s="8"/>
      <c r="L1902" s="8">
        <v>1.2475796430950286</v>
      </c>
      <c r="M1902" s="8">
        <v>1.2123674858511959</v>
      </c>
      <c r="N1902" s="8">
        <v>1.2997821460774557</v>
      </c>
      <c r="O1902" s="8">
        <v>1.3712654577139241</v>
      </c>
      <c r="P1902" s="8">
        <f t="shared" si="236"/>
        <v>1.2299735644731122</v>
      </c>
      <c r="Q1902" s="8">
        <f t="shared" si="237"/>
        <v>1.3355238018956899</v>
      </c>
      <c r="R1902" s="8">
        <f t="shared" si="238"/>
        <v>1.0858150455191227</v>
      </c>
      <c r="S1902" s="22">
        <f t="shared" si="239"/>
        <v>0.11877837971978739</v>
      </c>
      <c r="T1902" s="25"/>
      <c r="U1902" s="1" t="s">
        <v>5390</v>
      </c>
    </row>
    <row r="1903" spans="1:21">
      <c r="A1903" s="6" t="s">
        <v>5391</v>
      </c>
      <c r="B1903" s="6" t="s">
        <v>5392</v>
      </c>
      <c r="C1903" s="7">
        <v>0.59169766987697336</v>
      </c>
      <c r="D1903" s="7">
        <v>0.67300092581361282</v>
      </c>
      <c r="E1903" s="7">
        <v>0.5323860074161445</v>
      </c>
      <c r="F1903" s="8">
        <v>0.59213934278167135</v>
      </c>
      <c r="G1903" s="8">
        <f t="shared" si="232"/>
        <v>0.63234929784529315</v>
      </c>
      <c r="H1903" s="8">
        <f t="shared" si="233"/>
        <v>0.56226267509890793</v>
      </c>
      <c r="I1903" s="8">
        <f t="shared" si="234"/>
        <v>0.88916470219038313</v>
      </c>
      <c r="J1903" s="22">
        <f t="shared" si="235"/>
        <v>-0.16947741708662711</v>
      </c>
      <c r="K1903" s="8"/>
      <c r="L1903" s="8">
        <v>0.83320148329556099</v>
      </c>
      <c r="M1903" s="8">
        <v>0.81683138151987067</v>
      </c>
      <c r="N1903" s="8">
        <v>0.9231332547650074</v>
      </c>
      <c r="O1903" s="8">
        <v>0.83778808565835616</v>
      </c>
      <c r="P1903" s="8">
        <f t="shared" si="236"/>
        <v>0.82501643240771583</v>
      </c>
      <c r="Q1903" s="8">
        <f t="shared" si="237"/>
        <v>0.88046067021168173</v>
      </c>
      <c r="R1903" s="8">
        <f t="shared" si="238"/>
        <v>1.0672037981621265</v>
      </c>
      <c r="S1903" s="22">
        <f t="shared" si="239"/>
        <v>9.3835706174035069E-2</v>
      </c>
      <c r="T1903" s="25"/>
      <c r="U1903" s="1" t="s">
        <v>5393</v>
      </c>
    </row>
    <row r="1904" spans="1:21">
      <c r="A1904" s="6" t="s">
        <v>5394</v>
      </c>
      <c r="B1904" s="6" t="s">
        <v>5395</v>
      </c>
      <c r="C1904" s="7">
        <v>0.87764439978514996</v>
      </c>
      <c r="D1904" s="7">
        <v>0.86677758661829074</v>
      </c>
      <c r="E1904" s="7">
        <v>0.85337838069223748</v>
      </c>
      <c r="F1904" s="8">
        <v>0.96355987722126202</v>
      </c>
      <c r="G1904" s="8">
        <f t="shared" si="232"/>
        <v>0.87221099320172035</v>
      </c>
      <c r="H1904" s="8">
        <f t="shared" si="233"/>
        <v>0.90846912895674969</v>
      </c>
      <c r="I1904" s="8">
        <f t="shared" si="234"/>
        <v>1.0415703723498515</v>
      </c>
      <c r="J1904" s="22">
        <f t="shared" si="235"/>
        <v>5.8760316488822302E-2</v>
      </c>
      <c r="K1904" s="8"/>
      <c r="L1904" s="8">
        <v>1.122270478487144</v>
      </c>
      <c r="M1904" s="8">
        <v>1.1365233746071057</v>
      </c>
      <c r="N1904" s="8">
        <v>1.2631452341298472</v>
      </c>
      <c r="O1904" s="8">
        <v>1.1565321100555719</v>
      </c>
      <c r="P1904" s="8">
        <f t="shared" si="236"/>
        <v>1.1293969265471249</v>
      </c>
      <c r="Q1904" s="8">
        <f t="shared" si="237"/>
        <v>1.2098386720927095</v>
      </c>
      <c r="R1904" s="8">
        <f t="shared" si="238"/>
        <v>1.0712253979577553</v>
      </c>
      <c r="S1904" s="22">
        <f t="shared" si="239"/>
        <v>9.9262071407168251E-2</v>
      </c>
      <c r="T1904" s="25"/>
      <c r="U1904" s="1" t="s">
        <v>5396</v>
      </c>
    </row>
    <row r="1905" spans="1:21">
      <c r="A1905" s="6" t="s">
        <v>5397</v>
      </c>
      <c r="B1905" s="6" t="s">
        <v>5398</v>
      </c>
      <c r="C1905" s="7">
        <v>0.9715909914785007</v>
      </c>
      <c r="D1905" s="7">
        <v>0.88055278053765229</v>
      </c>
      <c r="E1905" s="7">
        <v>0.86213794422533707</v>
      </c>
      <c r="F1905" s="8">
        <v>0.79823060699499393</v>
      </c>
      <c r="G1905" s="8">
        <f t="shared" si="232"/>
        <v>0.92607188600807655</v>
      </c>
      <c r="H1905" s="8">
        <f t="shared" si="233"/>
        <v>0.8301842756101655</v>
      </c>
      <c r="I1905" s="8">
        <f t="shared" si="234"/>
        <v>0.89645770285582904</v>
      </c>
      <c r="J1905" s="22">
        <f t="shared" si="235"/>
        <v>-0.15769258019270829</v>
      </c>
      <c r="K1905" s="8"/>
      <c r="L1905" s="8">
        <v>1.1170251853251256</v>
      </c>
      <c r="M1905" s="8">
        <v>1.0472726889463282</v>
      </c>
      <c r="N1905" s="8">
        <v>0.98101178055458038</v>
      </c>
      <c r="O1905" s="8">
        <v>0.72938685633517386</v>
      </c>
      <c r="P1905" s="8">
        <f t="shared" si="236"/>
        <v>1.0821489371357269</v>
      </c>
      <c r="Q1905" s="8">
        <f t="shared" si="237"/>
        <v>0.85519931844487718</v>
      </c>
      <c r="R1905" s="8">
        <f t="shared" si="238"/>
        <v>0.79027875840127082</v>
      </c>
      <c r="S1905" s="22">
        <f t="shared" si="239"/>
        <v>-0.33956646384271266</v>
      </c>
      <c r="T1905" s="25"/>
      <c r="U1905" s="1" t="s">
        <v>5399</v>
      </c>
    </row>
    <row r="1906" spans="1:21">
      <c r="A1906" s="6" t="s">
        <v>5400</v>
      </c>
      <c r="B1906" s="13" t="s">
        <v>5401</v>
      </c>
      <c r="C1906" s="14">
        <v>1.0039003524580901</v>
      </c>
      <c r="D1906" s="14">
        <v>1.0792528455480308</v>
      </c>
      <c r="E1906" s="14">
        <v>1.0475115787317926</v>
      </c>
      <c r="F1906" s="8">
        <v>0.99826711532569168</v>
      </c>
      <c r="G1906" s="8">
        <f t="shared" si="232"/>
        <v>1.0415765990030605</v>
      </c>
      <c r="H1906" s="8">
        <f t="shared" si="233"/>
        <v>1.0228893470287421</v>
      </c>
      <c r="I1906" s="8">
        <f t="shared" si="234"/>
        <v>0.9820586868097797</v>
      </c>
      <c r="J1906" s="22">
        <f t="shared" si="235"/>
        <v>-2.6118853810150389E-2</v>
      </c>
      <c r="K1906" s="8"/>
      <c r="L1906" s="8">
        <v>0.80128520795378699</v>
      </c>
      <c r="M1906" s="8">
        <v>1.1749302591781821</v>
      </c>
      <c r="N1906" s="8">
        <v>0.9118303776747877</v>
      </c>
      <c r="O1906" s="8">
        <v>1.0771489006862209</v>
      </c>
      <c r="P1906" s="8">
        <f t="shared" si="236"/>
        <v>0.98810773356598447</v>
      </c>
      <c r="Q1906" s="8">
        <f t="shared" si="237"/>
        <v>0.99448963918050426</v>
      </c>
      <c r="R1906" s="8">
        <f t="shared" si="238"/>
        <v>1.0064587143665884</v>
      </c>
      <c r="S1906" s="22">
        <f t="shared" si="239"/>
        <v>9.2879931234203048E-3</v>
      </c>
      <c r="T1906" s="25"/>
      <c r="U1906" s="1" t="s">
        <v>5402</v>
      </c>
    </row>
    <row r="1907" spans="1:21">
      <c r="A1907" s="6" t="s">
        <v>5403</v>
      </c>
      <c r="B1907" s="6" t="s">
        <v>5404</v>
      </c>
      <c r="C1907" s="7">
        <v>0.76459783547766846</v>
      </c>
      <c r="D1907" s="7">
        <v>0.92486987954933209</v>
      </c>
      <c r="E1907" s="7">
        <v>0.9410746180654509</v>
      </c>
      <c r="F1907" s="8">
        <v>0.8712535455367445</v>
      </c>
      <c r="G1907" s="8">
        <f t="shared" si="232"/>
        <v>0.84473385751350027</v>
      </c>
      <c r="H1907" s="8">
        <f t="shared" si="233"/>
        <v>0.90616408180109764</v>
      </c>
      <c r="I1907" s="8">
        <f t="shared" si="234"/>
        <v>1.0727213947223793</v>
      </c>
      <c r="J1907" s="22">
        <f t="shared" si="235"/>
        <v>0.10127543057369173</v>
      </c>
      <c r="K1907" s="8"/>
      <c r="L1907" s="8">
        <v>1.1097795684996252</v>
      </c>
      <c r="M1907" s="8">
        <v>1.0416655367531853</v>
      </c>
      <c r="N1907" s="8">
        <v>1.1382289545637991</v>
      </c>
      <c r="O1907" s="8">
        <v>1.3137340790228498</v>
      </c>
      <c r="P1907" s="8">
        <f t="shared" si="236"/>
        <v>1.0757225526264054</v>
      </c>
      <c r="Q1907" s="8">
        <f t="shared" si="237"/>
        <v>1.2259815167933246</v>
      </c>
      <c r="R1907" s="8">
        <f t="shared" si="238"/>
        <v>1.1396818945554854</v>
      </c>
      <c r="S1907" s="22">
        <f t="shared" si="239"/>
        <v>0.18863119878566784</v>
      </c>
      <c r="T1907" s="25"/>
      <c r="U1907" s="1" t="s">
        <v>5405</v>
      </c>
    </row>
    <row r="1908" spans="1:21">
      <c r="A1908" s="6" t="s">
        <v>5406</v>
      </c>
      <c r="B1908" s="6" t="s">
        <v>5407</v>
      </c>
      <c r="C1908" s="7">
        <v>1.0396453391112066</v>
      </c>
      <c r="D1908" s="7">
        <v>1.0680685769390181</v>
      </c>
      <c r="E1908" s="7">
        <v>1.1250613815613337</v>
      </c>
      <c r="F1908" s="8">
        <v>1.1142257339118844</v>
      </c>
      <c r="G1908" s="8">
        <f t="shared" si="232"/>
        <v>1.0538569580251123</v>
      </c>
      <c r="H1908" s="8">
        <f t="shared" si="233"/>
        <v>1.1196435577366091</v>
      </c>
      <c r="I1908" s="8">
        <f t="shared" si="234"/>
        <v>1.0624246006163667</v>
      </c>
      <c r="J1908" s="22">
        <f t="shared" si="235"/>
        <v>8.7360458025195348E-2</v>
      </c>
      <c r="K1908" s="8"/>
      <c r="L1908" s="8">
        <v>1.0158977112268861</v>
      </c>
      <c r="M1908" s="8">
        <v>1.1400225748479393</v>
      </c>
      <c r="N1908" s="8">
        <v>1.4056004609048569</v>
      </c>
      <c r="O1908" s="8">
        <v>1.3679851598060997</v>
      </c>
      <c r="P1908" s="8">
        <f t="shared" si="236"/>
        <v>1.0779601430374126</v>
      </c>
      <c r="Q1908" s="8">
        <f t="shared" si="237"/>
        <v>1.3867928103554783</v>
      </c>
      <c r="R1908" s="8">
        <f t="shared" si="238"/>
        <v>1.2864972970594768</v>
      </c>
      <c r="S1908" s="22">
        <f t="shared" si="239"/>
        <v>0.36344842596173615</v>
      </c>
      <c r="T1908" s="25"/>
      <c r="U1908" s="1" t="s">
        <v>5408</v>
      </c>
    </row>
    <row r="1909" spans="1:21">
      <c r="A1909" s="6" t="s">
        <v>5409</v>
      </c>
      <c r="B1909" s="6" t="s">
        <v>5410</v>
      </c>
      <c r="C1909" s="7">
        <v>0.17362414802231962</v>
      </c>
      <c r="D1909" s="7">
        <v>0.18896955748572627</v>
      </c>
      <c r="E1909" s="7">
        <v>0.32436972755054483</v>
      </c>
      <c r="F1909" s="8">
        <v>0.34392304711956612</v>
      </c>
      <c r="G1909" s="8">
        <f t="shared" si="232"/>
        <v>0.18129685275402296</v>
      </c>
      <c r="H1909" s="8">
        <f t="shared" si="233"/>
        <v>0.33414638733505547</v>
      </c>
      <c r="I1909" s="8">
        <f t="shared" si="234"/>
        <v>1.8430898400007707</v>
      </c>
      <c r="J1909" s="22">
        <f t="shared" si="235"/>
        <v>0.88212639574595764</v>
      </c>
      <c r="K1909" s="8"/>
      <c r="L1909" s="8">
        <v>1.1153360231204077</v>
      </c>
      <c r="M1909" s="8">
        <v>1.0793135586214302</v>
      </c>
      <c r="N1909" s="8">
        <v>0.73307927403678841</v>
      </c>
      <c r="O1909" s="8">
        <v>1.2982914457952455</v>
      </c>
      <c r="P1909" s="8">
        <f t="shared" si="236"/>
        <v>1.0973247908709189</v>
      </c>
      <c r="Q1909" s="8">
        <f t="shared" si="237"/>
        <v>1.0156853599160169</v>
      </c>
      <c r="R1909" s="8">
        <f t="shared" si="238"/>
        <v>0.92560139747676085</v>
      </c>
      <c r="S1909" s="22">
        <f t="shared" si="239"/>
        <v>-0.11153705225346484</v>
      </c>
      <c r="T1909" s="25"/>
      <c r="U1909" s="1" t="s">
        <v>5411</v>
      </c>
    </row>
    <row r="1910" spans="1:21">
      <c r="A1910" s="6" t="s">
        <v>5412</v>
      </c>
      <c r="B1910" s="13" t="s">
        <v>5413</v>
      </c>
      <c r="C1910" s="14">
        <v>1.2444665478471653</v>
      </c>
      <c r="D1910" s="14">
        <v>1.2396511518557942</v>
      </c>
      <c r="E1910" s="14">
        <v>1.1923138467838756</v>
      </c>
      <c r="F1910" s="8">
        <v>1.1706554848274371</v>
      </c>
      <c r="G1910" s="8">
        <f t="shared" si="232"/>
        <v>1.2420588498514797</v>
      </c>
      <c r="H1910" s="8">
        <f t="shared" si="233"/>
        <v>1.1814846658056564</v>
      </c>
      <c r="I1910" s="8">
        <f t="shared" si="234"/>
        <v>0.9512308260972766</v>
      </c>
      <c r="J1910" s="22">
        <f t="shared" si="235"/>
        <v>-7.2132626295529578E-2</v>
      </c>
      <c r="K1910" s="8"/>
      <c r="L1910" s="8">
        <v>1.1104463430541192</v>
      </c>
      <c r="M1910" s="8">
        <v>1.0522896145928244</v>
      </c>
      <c r="N1910" s="8">
        <v>1.3701815314023151</v>
      </c>
      <c r="O1910" s="8">
        <v>1.3092425941952133</v>
      </c>
      <c r="P1910" s="8">
        <f t="shared" si="236"/>
        <v>1.0813679788234718</v>
      </c>
      <c r="Q1910" s="8">
        <f t="shared" si="237"/>
        <v>1.3397120627987642</v>
      </c>
      <c r="R1910" s="8">
        <f t="shared" si="238"/>
        <v>1.2389048770025266</v>
      </c>
      <c r="S1910" s="22">
        <f t="shared" si="239"/>
        <v>0.30906542174406648</v>
      </c>
      <c r="T1910" s="25"/>
      <c r="U1910" s="1" t="s">
        <v>5414</v>
      </c>
    </row>
    <row r="1911" spans="1:21">
      <c r="A1911" s="6" t="s">
        <v>5415</v>
      </c>
      <c r="B1911" s="6" t="s">
        <v>5416</v>
      </c>
      <c r="C1911" s="7">
        <v>0.8836731988597688</v>
      </c>
      <c r="D1911" s="7">
        <v>0.83722423906333765</v>
      </c>
      <c r="E1911" s="7">
        <v>1.33580110242697</v>
      </c>
      <c r="F1911" s="8">
        <v>1.1584455387229022</v>
      </c>
      <c r="G1911" s="8">
        <f t="shared" si="232"/>
        <v>0.86044871896155328</v>
      </c>
      <c r="H1911" s="8">
        <f t="shared" si="233"/>
        <v>1.2471233205749361</v>
      </c>
      <c r="I1911" s="8">
        <f t="shared" si="234"/>
        <v>1.4493871547395032</v>
      </c>
      <c r="J1911" s="22">
        <f t="shared" si="235"/>
        <v>0.53544301354062018</v>
      </c>
      <c r="K1911" s="8"/>
      <c r="L1911" s="8">
        <v>1.4032492757508681</v>
      </c>
      <c r="M1911" s="8">
        <v>1.1215990747847557</v>
      </c>
      <c r="N1911" s="8">
        <v>1.3506938122812469</v>
      </c>
      <c r="O1911" s="8">
        <v>1.0489888048005898</v>
      </c>
      <c r="P1911" s="8">
        <f t="shared" si="236"/>
        <v>1.262424175267812</v>
      </c>
      <c r="Q1911" s="8">
        <f t="shared" si="237"/>
        <v>1.1998413085409183</v>
      </c>
      <c r="R1911" s="8">
        <f t="shared" si="238"/>
        <v>0.95042643514520997</v>
      </c>
      <c r="S1911" s="22">
        <f t="shared" si="239"/>
        <v>-7.3353131094525473E-2</v>
      </c>
      <c r="T1911" s="25"/>
      <c r="U1911" s="1" t="s">
        <v>5417</v>
      </c>
    </row>
    <row r="1912" spans="1:21">
      <c r="A1912" s="6" t="s">
        <v>5418</v>
      </c>
      <c r="B1912" s="13" t="s">
        <v>5419</v>
      </c>
      <c r="C1912" s="14">
        <v>1.1494274008629994</v>
      </c>
      <c r="D1912" s="14">
        <v>1.2473463938623419</v>
      </c>
      <c r="E1912" s="14">
        <v>1.1242709369439088</v>
      </c>
      <c r="F1912" s="8">
        <v>1.0314534905780877</v>
      </c>
      <c r="G1912" s="8">
        <f t="shared" si="232"/>
        <v>1.1983868973626706</v>
      </c>
      <c r="H1912" s="8">
        <f t="shared" si="233"/>
        <v>1.0778622137609983</v>
      </c>
      <c r="I1912" s="8">
        <f t="shared" si="234"/>
        <v>0.89942756895380371</v>
      </c>
      <c r="J1912" s="22">
        <f t="shared" si="235"/>
        <v>-0.15292098919557101</v>
      </c>
      <c r="K1912" s="8"/>
      <c r="L1912" s="8">
        <v>1.4356989707362371</v>
      </c>
      <c r="M1912" s="8">
        <v>1.1199548722619543</v>
      </c>
      <c r="N1912" s="8">
        <v>1.216423427537086</v>
      </c>
      <c r="O1912" s="8">
        <v>1.1858024606176973</v>
      </c>
      <c r="P1912" s="8">
        <f t="shared" si="236"/>
        <v>1.2778269214990958</v>
      </c>
      <c r="Q1912" s="8">
        <f t="shared" si="237"/>
        <v>1.2011129440773916</v>
      </c>
      <c r="R1912" s="8">
        <f t="shared" si="238"/>
        <v>0.93996528314514893</v>
      </c>
      <c r="S1912" s="22">
        <f t="shared" si="239"/>
        <v>-8.9320621883531293E-2</v>
      </c>
      <c r="T1912" s="25"/>
      <c r="U1912" s="1" t="s">
        <v>5420</v>
      </c>
    </row>
    <row r="1913" spans="1:21">
      <c r="A1913" s="6" t="s">
        <v>5421</v>
      </c>
      <c r="B1913" s="6" t="s">
        <v>5422</v>
      </c>
      <c r="C1913" s="7">
        <v>1.2344953354038819</v>
      </c>
      <c r="D1913" s="7">
        <v>7.0026056143546386E-2</v>
      </c>
      <c r="E1913" s="7">
        <v>1.6049403087999896</v>
      </c>
      <c r="F1913" s="8">
        <v>1.1994084013885271</v>
      </c>
      <c r="G1913" s="8">
        <f t="shared" si="232"/>
        <v>0.65226069577371415</v>
      </c>
      <c r="H1913" s="8">
        <f t="shared" si="233"/>
        <v>1.4021743550942585</v>
      </c>
      <c r="I1913" s="8">
        <f t="shared" si="234"/>
        <v>2.1497146220515311</v>
      </c>
      <c r="J1913" s="22">
        <f t="shared" si="235"/>
        <v>1.1041451525228199</v>
      </c>
      <c r="K1913" s="8"/>
      <c r="L1913" s="8">
        <v>0.41700080638047682</v>
      </c>
      <c r="M1913" s="8">
        <v>0.41294778745740046</v>
      </c>
      <c r="N1913" s="8">
        <v>0.41986290846341745</v>
      </c>
      <c r="O1913" s="8">
        <v>0.50163324928884168</v>
      </c>
      <c r="P1913" s="8">
        <f t="shared" si="236"/>
        <v>0.41497429691893861</v>
      </c>
      <c r="Q1913" s="8">
        <f t="shared" si="237"/>
        <v>0.46074807887612956</v>
      </c>
      <c r="R1913" s="8">
        <f t="shared" si="238"/>
        <v>1.1103051015377283</v>
      </c>
      <c r="S1913" s="22">
        <f t="shared" si="239"/>
        <v>0.1509561702625902</v>
      </c>
      <c r="T1913" s="25"/>
      <c r="U1913" s="1" t="s">
        <v>5423</v>
      </c>
    </row>
    <row r="1914" spans="1:21">
      <c r="A1914" s="6" t="s">
        <v>5424</v>
      </c>
      <c r="B1914" s="6" t="s">
        <v>5425</v>
      </c>
      <c r="C1914" s="7">
        <v>1.2770457568202691</v>
      </c>
      <c r="D1914" s="7">
        <v>1.191205371364531</v>
      </c>
      <c r="E1914" s="7">
        <v>1.0487116173782469</v>
      </c>
      <c r="F1914" s="8">
        <v>1.0899206238048551</v>
      </c>
      <c r="G1914" s="8">
        <f t="shared" si="232"/>
        <v>1.2341255640924</v>
      </c>
      <c r="H1914" s="8">
        <f t="shared" si="233"/>
        <v>1.0693161205915511</v>
      </c>
      <c r="I1914" s="8">
        <f t="shared" si="234"/>
        <v>0.86645650305278865</v>
      </c>
      <c r="J1914" s="22">
        <f t="shared" si="235"/>
        <v>-0.20680076835839215</v>
      </c>
      <c r="K1914" s="8"/>
      <c r="L1914" s="8">
        <v>1.6340866265166516</v>
      </c>
      <c r="M1914" s="8">
        <v>1.4964772499834493</v>
      </c>
      <c r="N1914" s="8">
        <v>1.7217887036441908</v>
      </c>
      <c r="O1914" s="8">
        <v>1.4789096952122238</v>
      </c>
      <c r="P1914" s="8">
        <f t="shared" si="236"/>
        <v>1.5652819382500505</v>
      </c>
      <c r="Q1914" s="8">
        <f t="shared" si="237"/>
        <v>1.6003491994282073</v>
      </c>
      <c r="R1914" s="8">
        <f t="shared" si="238"/>
        <v>1.0224031596616781</v>
      </c>
      <c r="S1914" s="22">
        <f t="shared" si="239"/>
        <v>3.1964199947222327E-2</v>
      </c>
      <c r="T1914" s="25"/>
      <c r="U1914" s="1" t="s">
        <v>5426</v>
      </c>
    </row>
    <row r="1915" spans="1:21">
      <c r="A1915" s="6" t="s">
        <v>5427</v>
      </c>
      <c r="B1915" s="13" t="s">
        <v>5428</v>
      </c>
      <c r="C1915" s="14">
        <v>0.73857395824945571</v>
      </c>
      <c r="D1915" s="14">
        <v>0.7283989148683061</v>
      </c>
      <c r="E1915" s="14">
        <v>0.95267978222128002</v>
      </c>
      <c r="F1915" s="8">
        <v>0.88187088997547036</v>
      </c>
      <c r="G1915" s="8">
        <f t="shared" si="232"/>
        <v>0.73348643655888091</v>
      </c>
      <c r="H1915" s="8">
        <f t="shared" si="233"/>
        <v>0.91727533609837519</v>
      </c>
      <c r="I1915" s="8">
        <f t="shared" si="234"/>
        <v>1.2505689135871847</v>
      </c>
      <c r="J1915" s="22">
        <f t="shared" si="235"/>
        <v>0.32258456055853635</v>
      </c>
      <c r="K1915" s="8"/>
      <c r="L1915" s="8">
        <v>0.92454959726122354</v>
      </c>
      <c r="M1915" s="8">
        <v>0.89410890009153121</v>
      </c>
      <c r="N1915" s="8">
        <v>1.1359878668648764</v>
      </c>
      <c r="O1915" s="8">
        <v>1.0138139180043804</v>
      </c>
      <c r="P1915" s="8">
        <f t="shared" si="236"/>
        <v>0.90932924867637732</v>
      </c>
      <c r="Q1915" s="8">
        <f t="shared" si="237"/>
        <v>1.0749008924346284</v>
      </c>
      <c r="R1915" s="8">
        <f t="shared" si="238"/>
        <v>1.1820810712943168</v>
      </c>
      <c r="S1915" s="22">
        <f t="shared" si="239"/>
        <v>0.24132898402929748</v>
      </c>
      <c r="T1915" s="25"/>
      <c r="U1915" s="1" t="s">
        <v>5429</v>
      </c>
    </row>
    <row r="1916" spans="1:21">
      <c r="A1916" s="6" t="s">
        <v>5430</v>
      </c>
      <c r="B1916" s="6" t="s">
        <v>5431</v>
      </c>
      <c r="C1916" s="7">
        <v>1.1008547620303717</v>
      </c>
      <c r="D1916" s="7">
        <v>1.3741208215789431</v>
      </c>
      <c r="E1916" s="7">
        <v>1.0968999956005321</v>
      </c>
      <c r="F1916" s="8">
        <v>1.0879334586632827</v>
      </c>
      <c r="G1916" s="8">
        <f t="shared" si="232"/>
        <v>1.2374877918046574</v>
      </c>
      <c r="H1916" s="8">
        <f t="shared" si="233"/>
        <v>1.0924167271319074</v>
      </c>
      <c r="I1916" s="8">
        <f t="shared" si="234"/>
        <v>0.88276970032876889</v>
      </c>
      <c r="J1916" s="22">
        <f t="shared" si="235"/>
        <v>-0.17989098264139181</v>
      </c>
      <c r="K1916" s="8"/>
      <c r="L1916" s="8">
        <v>1.3736000338943732</v>
      </c>
      <c r="M1916" s="8">
        <v>1.1948714846470285</v>
      </c>
      <c r="N1916" s="8">
        <v>1.6435942306709039</v>
      </c>
      <c r="O1916" s="8">
        <v>1.3265020078025356</v>
      </c>
      <c r="P1916" s="8">
        <f t="shared" si="236"/>
        <v>1.2842357592707008</v>
      </c>
      <c r="Q1916" s="8">
        <f t="shared" si="237"/>
        <v>1.4850481192367198</v>
      </c>
      <c r="R1916" s="8">
        <f t="shared" si="238"/>
        <v>1.1563672079027432</v>
      </c>
      <c r="S1916" s="22">
        <f t="shared" si="239"/>
        <v>0.20959960276634332</v>
      </c>
      <c r="T1916" s="25"/>
      <c r="U1916" s="1" t="s">
        <v>5432</v>
      </c>
    </row>
    <row r="1917" spans="1:21">
      <c r="A1917" s="6" t="s">
        <v>5433</v>
      </c>
      <c r="B1917" s="6" t="s">
        <v>5434</v>
      </c>
      <c r="C1917" s="7">
        <v>1.1704557993820028</v>
      </c>
      <c r="D1917" s="7">
        <v>1.417010004147762</v>
      </c>
      <c r="E1917" s="7">
        <v>1.2625053288112067</v>
      </c>
      <c r="F1917" s="8">
        <v>1.3394210442335361</v>
      </c>
      <c r="G1917" s="8">
        <f t="shared" si="232"/>
        <v>1.2937329017648824</v>
      </c>
      <c r="H1917" s="8">
        <f t="shared" si="233"/>
        <v>1.3009631865223714</v>
      </c>
      <c r="I1917" s="8">
        <f t="shared" si="234"/>
        <v>1.0055886997599162</v>
      </c>
      <c r="J1917" s="22">
        <f t="shared" si="235"/>
        <v>8.0403427669112956E-3</v>
      </c>
      <c r="K1917" s="8"/>
      <c r="L1917" s="8">
        <v>1.0273662335641809</v>
      </c>
      <c r="M1917" s="8">
        <v>0.76413258271213713</v>
      </c>
      <c r="N1917" s="8">
        <v>1.3552247069768952</v>
      </c>
      <c r="O1917" s="8">
        <v>1.1135349744022427</v>
      </c>
      <c r="P1917" s="8">
        <f t="shared" si="236"/>
        <v>0.89574940813815895</v>
      </c>
      <c r="Q1917" s="8">
        <f t="shared" si="237"/>
        <v>1.234379840689569</v>
      </c>
      <c r="R1917" s="8">
        <f t="shared" si="238"/>
        <v>1.3780414806583721</v>
      </c>
      <c r="S1917" s="22">
        <f t="shared" si="239"/>
        <v>0.4626193155018784</v>
      </c>
      <c r="T1917" s="25"/>
      <c r="U1917" s="1" t="s">
        <v>5435</v>
      </c>
    </row>
    <row r="1918" spans="1:21">
      <c r="A1918" s="6" t="s">
        <v>5436</v>
      </c>
      <c r="B1918" s="6" t="s">
        <v>5437</v>
      </c>
      <c r="C1918" s="7">
        <v>1.2752489640829647</v>
      </c>
      <c r="D1918" s="7">
        <v>1.473247944051197</v>
      </c>
      <c r="E1918" s="7">
        <v>1.6249529293411564</v>
      </c>
      <c r="F1918" s="8">
        <v>1.6693765443110757</v>
      </c>
      <c r="G1918" s="8">
        <f t="shared" si="232"/>
        <v>1.374248454067081</v>
      </c>
      <c r="H1918" s="8">
        <f t="shared" si="233"/>
        <v>1.6471647368261162</v>
      </c>
      <c r="I1918" s="8">
        <f t="shared" si="234"/>
        <v>1.1985931160783487</v>
      </c>
      <c r="J1918" s="22">
        <f t="shared" si="235"/>
        <v>0.26134199316402451</v>
      </c>
      <c r="K1918" s="8"/>
      <c r="L1918" s="8">
        <v>1.2401562197216633</v>
      </c>
      <c r="M1918" s="8">
        <v>1.2755217263423839</v>
      </c>
      <c r="N1918" s="8">
        <v>1.3644813735594026</v>
      </c>
      <c r="O1918" s="8">
        <v>1.6172373346790965</v>
      </c>
      <c r="P1918" s="8">
        <f t="shared" si="236"/>
        <v>1.2578389730320236</v>
      </c>
      <c r="Q1918" s="8">
        <f t="shared" si="237"/>
        <v>1.4908593541192494</v>
      </c>
      <c r="R1918" s="8">
        <f t="shared" si="238"/>
        <v>1.1852545405915749</v>
      </c>
      <c r="S1918" s="22">
        <f t="shared" si="239"/>
        <v>0.24519691989527248</v>
      </c>
      <c r="T1918" s="25"/>
      <c r="U1918" s="1" t="s">
        <v>5438</v>
      </c>
    </row>
    <row r="1919" spans="1:21">
      <c r="A1919" s="6" t="s">
        <v>5439</v>
      </c>
      <c r="B1919" s="6" t="s">
        <v>5440</v>
      </c>
      <c r="C1919" s="7">
        <v>0.27825935292219978</v>
      </c>
      <c r="D1919" s="7">
        <v>0.27105213888890151</v>
      </c>
      <c r="E1919" s="7">
        <v>0.42295972892390493</v>
      </c>
      <c r="F1919" s="8">
        <v>0.47214900286131378</v>
      </c>
      <c r="G1919" s="8">
        <f t="shared" si="232"/>
        <v>0.27465574590555064</v>
      </c>
      <c r="H1919" s="8">
        <f t="shared" si="233"/>
        <v>0.44755436589260933</v>
      </c>
      <c r="I1919" s="8">
        <f t="shared" si="234"/>
        <v>1.6295102963056725</v>
      </c>
      <c r="J1919" s="22">
        <f t="shared" si="235"/>
        <v>0.70443846799068588</v>
      </c>
      <c r="K1919" s="8"/>
      <c r="L1919" s="8">
        <v>0.99473873203094665</v>
      </c>
      <c r="M1919" s="8">
        <v>0.93356976063876218</v>
      </c>
      <c r="N1919" s="8">
        <v>1.1855841120279953</v>
      </c>
      <c r="O1919" s="8">
        <v>1.3058108979224123</v>
      </c>
      <c r="P1919" s="8">
        <f t="shared" si="236"/>
        <v>0.96415424633485447</v>
      </c>
      <c r="Q1919" s="8">
        <f t="shared" si="237"/>
        <v>1.2456975049752037</v>
      </c>
      <c r="R1919" s="8">
        <f t="shared" si="238"/>
        <v>1.29201059862632</v>
      </c>
      <c r="S1919" s="22">
        <f t="shared" si="239"/>
        <v>0.36961790480189666</v>
      </c>
      <c r="T1919" s="25"/>
      <c r="U1919" s="1" t="s">
        <v>5441</v>
      </c>
    </row>
    <row r="1920" spans="1:21">
      <c r="A1920" s="6" t="s">
        <v>5442</v>
      </c>
      <c r="B1920" s="6" t="s">
        <v>5443</v>
      </c>
      <c r="C1920" s="7">
        <v>1.207234106400529</v>
      </c>
      <c r="D1920" s="7">
        <v>1.7474595903634418</v>
      </c>
      <c r="E1920" s="7">
        <v>1.1150299207801959</v>
      </c>
      <c r="F1920" s="8">
        <v>1.085358035248754</v>
      </c>
      <c r="G1920" s="8">
        <f t="shared" si="232"/>
        <v>1.4773468483819854</v>
      </c>
      <c r="H1920" s="8">
        <f t="shared" si="233"/>
        <v>1.1001939780144749</v>
      </c>
      <c r="I1920" s="8">
        <f t="shared" si="234"/>
        <v>0.74470932754852082</v>
      </c>
      <c r="J1920" s="22">
        <f t="shared" si="235"/>
        <v>-0.42525066734424488</v>
      </c>
      <c r="K1920" s="8"/>
      <c r="L1920" s="8">
        <v>1.345284341146866</v>
      </c>
      <c r="M1920" s="8">
        <v>1.3090381623841025</v>
      </c>
      <c r="N1920" s="8">
        <v>1.5235498808851229</v>
      </c>
      <c r="O1920" s="8">
        <v>1.581456854422981</v>
      </c>
      <c r="P1920" s="8">
        <f t="shared" si="236"/>
        <v>1.3271612517654843</v>
      </c>
      <c r="Q1920" s="8">
        <f t="shared" si="237"/>
        <v>1.5525033676540518</v>
      </c>
      <c r="R1920" s="8">
        <f t="shared" si="238"/>
        <v>1.1697925670967273</v>
      </c>
      <c r="S1920" s="22">
        <f t="shared" si="239"/>
        <v>0.22625272728510476</v>
      </c>
      <c r="T1920" s="25"/>
      <c r="U1920" s="1" t="s">
        <v>5444</v>
      </c>
    </row>
    <row r="1921" spans="1:21">
      <c r="A1921" s="6" t="s">
        <v>5445</v>
      </c>
      <c r="B1921" s="6" t="s">
        <v>5446</v>
      </c>
      <c r="C1921" s="7">
        <v>1.2081292119399922</v>
      </c>
      <c r="D1921" s="7">
        <v>1.5565129178029853</v>
      </c>
      <c r="E1921" s="7">
        <v>1.0950460436796627</v>
      </c>
      <c r="F1921" s="8">
        <v>1.0073133797427412</v>
      </c>
      <c r="G1921" s="8">
        <f t="shared" si="232"/>
        <v>1.3823210648714888</v>
      </c>
      <c r="H1921" s="8">
        <f t="shared" si="233"/>
        <v>1.0511797117112018</v>
      </c>
      <c r="I1921" s="8">
        <f t="shared" si="234"/>
        <v>0.76044541201354521</v>
      </c>
      <c r="J1921" s="22">
        <f t="shared" si="235"/>
        <v>-0.39508340596970576</v>
      </c>
      <c r="K1921" s="8"/>
      <c r="L1921" s="8">
        <v>1.2099735582215734</v>
      </c>
      <c r="M1921" s="8">
        <v>1.3169640617247855</v>
      </c>
      <c r="N1921" s="8">
        <v>1.5020159512563425</v>
      </c>
      <c r="O1921" s="8">
        <v>1.4763359230076232</v>
      </c>
      <c r="P1921" s="8">
        <f t="shared" si="236"/>
        <v>1.2634688099731795</v>
      </c>
      <c r="Q1921" s="8">
        <f t="shared" si="237"/>
        <v>1.4891759371319828</v>
      </c>
      <c r="R1921" s="8">
        <f t="shared" si="238"/>
        <v>1.1786408381253153</v>
      </c>
      <c r="S1921" s="22">
        <f t="shared" si="239"/>
        <v>0.23712415937289213</v>
      </c>
      <c r="T1921" s="25"/>
      <c r="U1921" s="1" t="s">
        <v>5447</v>
      </c>
    </row>
    <row r="1922" spans="1:21">
      <c r="A1922" s="6" t="s">
        <v>5448</v>
      </c>
      <c r="B1922" s="6" t="s">
        <v>5449</v>
      </c>
      <c r="C1922" s="7">
        <v>1.1915171061928984</v>
      </c>
      <c r="D1922" s="7">
        <v>1.6199292068829731</v>
      </c>
      <c r="E1922" s="7">
        <v>1.1649572771608159</v>
      </c>
      <c r="F1922" s="8">
        <v>1.0945406034119765</v>
      </c>
      <c r="G1922" s="8">
        <f t="shared" si="232"/>
        <v>1.4057231565379358</v>
      </c>
      <c r="H1922" s="8">
        <f t="shared" si="233"/>
        <v>1.1297489402863961</v>
      </c>
      <c r="I1922" s="8">
        <f t="shared" si="234"/>
        <v>0.80367811758097607</v>
      </c>
      <c r="J1922" s="22">
        <f t="shared" si="235"/>
        <v>-0.31531029392058052</v>
      </c>
      <c r="K1922" s="8"/>
      <c r="L1922" s="8">
        <v>1.1574761749644213</v>
      </c>
      <c r="M1922" s="8">
        <v>1.1060002303376666</v>
      </c>
      <c r="N1922" s="8">
        <v>1.0249565871725894</v>
      </c>
      <c r="O1922" s="8">
        <v>1.0453047779194946</v>
      </c>
      <c r="P1922" s="8">
        <f t="shared" si="236"/>
        <v>1.1317382026510439</v>
      </c>
      <c r="Q1922" s="8">
        <f t="shared" si="237"/>
        <v>1.035130682546042</v>
      </c>
      <c r="R1922" s="8">
        <f t="shared" si="238"/>
        <v>0.91463792608687833</v>
      </c>
      <c r="S1922" s="22">
        <f t="shared" si="239"/>
        <v>-0.12872735216602571</v>
      </c>
      <c r="T1922" s="25"/>
      <c r="U1922" s="1" t="s">
        <v>5450</v>
      </c>
    </row>
    <row r="1923" spans="1:21">
      <c r="A1923" s="6" t="s">
        <v>5451</v>
      </c>
      <c r="B1923" s="6" t="s">
        <v>80</v>
      </c>
      <c r="C1923" s="7">
        <v>1.1485388769819147</v>
      </c>
      <c r="D1923" s="7">
        <v>1.9222210561846858</v>
      </c>
      <c r="E1923" s="7">
        <v>1.1499100859891092</v>
      </c>
      <c r="F1923" s="8">
        <v>1.0104268442605839</v>
      </c>
      <c r="G1923" s="8">
        <f t="shared" si="232"/>
        <v>1.5353799665833003</v>
      </c>
      <c r="H1923" s="8">
        <f t="shared" si="233"/>
        <v>1.0801684651248467</v>
      </c>
      <c r="I1923" s="8">
        <f t="shared" si="234"/>
        <v>0.70351866549917197</v>
      </c>
      <c r="J1923" s="22">
        <f t="shared" si="235"/>
        <v>-0.50733939386214599</v>
      </c>
      <c r="K1923" s="8"/>
      <c r="L1923" s="8">
        <v>1.2482464176495225</v>
      </c>
      <c r="M1923" s="8">
        <v>1.3168797436466932</v>
      </c>
      <c r="N1923" s="8">
        <v>1.4265010396622027</v>
      </c>
      <c r="O1923" s="8">
        <v>1.4137074660290061</v>
      </c>
      <c r="P1923" s="8">
        <f t="shared" si="236"/>
        <v>1.2825630806481079</v>
      </c>
      <c r="Q1923" s="8">
        <f t="shared" si="237"/>
        <v>1.4201042528456043</v>
      </c>
      <c r="R1923" s="8">
        <f t="shared" si="238"/>
        <v>1.1072393040722752</v>
      </c>
      <c r="S1923" s="22">
        <f t="shared" si="239"/>
        <v>0.14696706086159683</v>
      </c>
      <c r="T1923" s="25"/>
      <c r="U1923" s="1">
        <v>0</v>
      </c>
    </row>
    <row r="1924" spans="1:21">
      <c r="A1924" s="6" t="s">
        <v>5452</v>
      </c>
      <c r="B1924" s="6" t="s">
        <v>80</v>
      </c>
      <c r="C1924" s="7">
        <v>1.2753937605672896</v>
      </c>
      <c r="D1924" s="7">
        <v>1.8090990603403225</v>
      </c>
      <c r="E1924" s="7">
        <v>1.6338777676578995</v>
      </c>
      <c r="F1924" s="8">
        <v>1.0647403001697688</v>
      </c>
      <c r="G1924" s="8">
        <f t="shared" si="232"/>
        <v>1.5422464104538061</v>
      </c>
      <c r="H1924" s="8">
        <f t="shared" si="233"/>
        <v>1.3493090339138343</v>
      </c>
      <c r="I1924" s="8">
        <f t="shared" si="234"/>
        <v>0.8748984758646966</v>
      </c>
      <c r="J1924" s="22">
        <f t="shared" si="235"/>
        <v>-0.19281248007311061</v>
      </c>
      <c r="K1924" s="8"/>
      <c r="L1924" s="8">
        <v>1.3227918128419389</v>
      </c>
      <c r="M1924" s="8">
        <v>1.2887596646028867</v>
      </c>
      <c r="N1924" s="8">
        <v>1.3747611453957662</v>
      </c>
      <c r="O1924" s="8">
        <v>1.3892313970244701</v>
      </c>
      <c r="P1924" s="8">
        <f t="shared" si="236"/>
        <v>1.3057757387224127</v>
      </c>
      <c r="Q1924" s="8">
        <f t="shared" si="237"/>
        <v>1.3819962712101181</v>
      </c>
      <c r="R1924" s="8">
        <f t="shared" si="238"/>
        <v>1.0583718399931987</v>
      </c>
      <c r="S1924" s="22">
        <f t="shared" si="239"/>
        <v>8.184658157935111E-2</v>
      </c>
      <c r="T1924" s="25"/>
      <c r="U1924" s="1">
        <v>0</v>
      </c>
    </row>
    <row r="1925" spans="1:21">
      <c r="A1925" s="6" t="s">
        <v>5453</v>
      </c>
      <c r="B1925" s="6" t="s">
        <v>5454</v>
      </c>
      <c r="C1925" s="7">
        <v>1.1785025334234123</v>
      </c>
      <c r="D1925" s="7">
        <v>1.1496622404157473</v>
      </c>
      <c r="E1925" s="7">
        <v>1.2816645151468005</v>
      </c>
      <c r="F1925" s="8">
        <v>1.1064197817323198</v>
      </c>
      <c r="G1925" s="8">
        <f t="shared" si="232"/>
        <v>1.1640823869195798</v>
      </c>
      <c r="H1925" s="8">
        <f t="shared" si="233"/>
        <v>1.1940421484395602</v>
      </c>
      <c r="I1925" s="8">
        <f t="shared" si="234"/>
        <v>1.0257368051064328</v>
      </c>
      <c r="J1925" s="22">
        <f t="shared" si="235"/>
        <v>3.6660595780579064E-2</v>
      </c>
      <c r="K1925" s="8"/>
      <c r="L1925" s="8">
        <v>1.6338985605247867</v>
      </c>
      <c r="M1925" s="8">
        <v>1.509310189877362</v>
      </c>
      <c r="N1925" s="8">
        <v>1.7668197365106095</v>
      </c>
      <c r="O1925" s="8">
        <v>1.6617453852853801</v>
      </c>
      <c r="P1925" s="8">
        <f t="shared" si="236"/>
        <v>1.5716043752010744</v>
      </c>
      <c r="Q1925" s="8">
        <f t="shared" si="237"/>
        <v>1.7142825608979948</v>
      </c>
      <c r="R1925" s="8">
        <f t="shared" si="238"/>
        <v>1.0907850524904945</v>
      </c>
      <c r="S1925" s="22">
        <f t="shared" si="239"/>
        <v>0.12536683561371284</v>
      </c>
      <c r="T1925" s="25"/>
      <c r="U1925" s="1" t="s">
        <v>5455</v>
      </c>
    </row>
    <row r="1926" spans="1:21">
      <c r="A1926" s="6" t="s">
        <v>5456</v>
      </c>
      <c r="B1926" s="6" t="s">
        <v>5457</v>
      </c>
      <c r="C1926" s="7">
        <v>1.1072192240510799</v>
      </c>
      <c r="D1926" s="7">
        <v>1.1353390464441244</v>
      </c>
      <c r="E1926" s="7">
        <v>1.0751984168192124</v>
      </c>
      <c r="F1926" s="8">
        <v>1.155035861672554</v>
      </c>
      <c r="G1926" s="8">
        <f t="shared" ref="G1926:G1989" si="240">AVERAGE(C1926:D1926)</f>
        <v>1.1212791352476021</v>
      </c>
      <c r="H1926" s="8">
        <f t="shared" ref="H1926:H1989" si="241">AVERAGE(E1926:F1926)</f>
        <v>1.1151171392458832</v>
      </c>
      <c r="I1926" s="8">
        <f t="shared" ref="I1926:I1989" si="242">H1926/G1926</f>
        <v>0.99450449419059395</v>
      </c>
      <c r="J1926" s="22">
        <f t="shared" ref="J1926:J1989" si="243">LOG(I1926,2)</f>
        <v>-7.9502042387678811E-3</v>
      </c>
      <c r="K1926" s="8"/>
      <c r="L1926" s="8">
        <v>1.548422407348284</v>
      </c>
      <c r="M1926" s="8">
        <v>1.2234485659067709</v>
      </c>
      <c r="N1926" s="8">
        <v>1.41620856833183</v>
      </c>
      <c r="O1926" s="8">
        <v>1.3001347290150056</v>
      </c>
      <c r="P1926" s="8">
        <f t="shared" ref="P1926:P1989" si="244">AVERAGE(L1926:M1926)</f>
        <v>1.3859354866275275</v>
      </c>
      <c r="Q1926" s="8">
        <f t="shared" ref="Q1926:Q1989" si="245">AVERAGE(N1926:O1926)</f>
        <v>1.3581716486734177</v>
      </c>
      <c r="R1926" s="8">
        <f t="shared" ref="R1926:R1989" si="246">Q1926/P1926</f>
        <v>0.97996743843996004</v>
      </c>
      <c r="S1926" s="22">
        <f t="shared" ref="S1926:S1989" si="247">LOG(R1926,2)</f>
        <v>-2.9194281559140382E-2</v>
      </c>
      <c r="T1926" s="25"/>
      <c r="U1926" s="1" t="s">
        <v>5458</v>
      </c>
    </row>
    <row r="1927" spans="1:21">
      <c r="A1927" s="6" t="s">
        <v>5459</v>
      </c>
      <c r="B1927" s="6" t="s">
        <v>5460</v>
      </c>
      <c r="C1927" s="7">
        <v>1.2057149557953259</v>
      </c>
      <c r="D1927" s="7">
        <v>1.2678785739101792</v>
      </c>
      <c r="E1927" s="7">
        <v>1.1446278440799817</v>
      </c>
      <c r="F1927" s="8">
        <v>1.0865377721613858</v>
      </c>
      <c r="G1927" s="8">
        <f t="shared" si="240"/>
        <v>1.2367967648527527</v>
      </c>
      <c r="H1927" s="8">
        <f t="shared" si="241"/>
        <v>1.1155828081206838</v>
      </c>
      <c r="I1927" s="8">
        <f t="shared" si="242"/>
        <v>0.90199363373456098</v>
      </c>
      <c r="J1927" s="22">
        <f t="shared" si="243"/>
        <v>-0.14881084390336921</v>
      </c>
      <c r="K1927" s="8"/>
      <c r="L1927" s="8">
        <v>1.4954519404855626</v>
      </c>
      <c r="M1927" s="8">
        <v>1.1382218709011787</v>
      </c>
      <c r="N1927" s="8">
        <v>1.3220703192990138</v>
      </c>
      <c r="O1927" s="8">
        <v>1.4036270252210907</v>
      </c>
      <c r="P1927" s="8">
        <f t="shared" si="244"/>
        <v>1.3168369056933706</v>
      </c>
      <c r="Q1927" s="8">
        <f t="shared" si="245"/>
        <v>1.3628486722600521</v>
      </c>
      <c r="R1927" s="8">
        <f t="shared" si="246"/>
        <v>1.034941127764379</v>
      </c>
      <c r="S1927" s="22">
        <f t="shared" si="247"/>
        <v>4.954870289554799E-2</v>
      </c>
      <c r="T1927" s="25"/>
      <c r="U1927" s="1" t="s">
        <v>5461</v>
      </c>
    </row>
    <row r="1928" spans="1:21">
      <c r="A1928" s="6" t="s">
        <v>5462</v>
      </c>
      <c r="B1928" s="13" t="s">
        <v>5463</v>
      </c>
      <c r="C1928" s="14">
        <v>1.0554874733859934</v>
      </c>
      <c r="D1928" s="14">
        <v>1.1483026965993453</v>
      </c>
      <c r="E1928" s="14">
        <v>1.1229141975172263</v>
      </c>
      <c r="F1928" s="8">
        <v>1.0971901032610072</v>
      </c>
      <c r="G1928" s="8">
        <f t="shared" si="240"/>
        <v>1.1018950849926692</v>
      </c>
      <c r="H1928" s="8">
        <f t="shared" si="241"/>
        <v>1.1100521503891168</v>
      </c>
      <c r="I1928" s="8">
        <f t="shared" si="242"/>
        <v>1.0074027604874032</v>
      </c>
      <c r="J1928" s="22">
        <f t="shared" si="243"/>
        <v>1.0640589390482492E-2</v>
      </c>
      <c r="K1928" s="8"/>
      <c r="L1928" s="8">
        <v>1.2804289671829794</v>
      </c>
      <c r="M1928" s="8">
        <v>1.2582949485937864</v>
      </c>
      <c r="N1928" s="8">
        <v>1.2595946943392087</v>
      </c>
      <c r="O1928" s="8">
        <v>1.3505030211034701</v>
      </c>
      <c r="P1928" s="8">
        <f t="shared" si="244"/>
        <v>1.2693619578883828</v>
      </c>
      <c r="Q1928" s="8">
        <f t="shared" si="245"/>
        <v>1.3050488577213395</v>
      </c>
      <c r="R1928" s="8">
        <f t="shared" si="246"/>
        <v>1.0281140454944173</v>
      </c>
      <c r="S1928" s="22">
        <f t="shared" si="247"/>
        <v>4.0000307083672727E-2</v>
      </c>
      <c r="T1928" s="25"/>
      <c r="U1928" s="1" t="s">
        <v>5464</v>
      </c>
    </row>
    <row r="1929" spans="1:21">
      <c r="A1929" s="6" t="s">
        <v>5465</v>
      </c>
      <c r="B1929" s="6" t="s">
        <v>5466</v>
      </c>
      <c r="C1929" s="7">
        <v>1.0913345335527416</v>
      </c>
      <c r="D1929" s="7">
        <v>1.1433123710614934</v>
      </c>
      <c r="E1929" s="7">
        <v>1.1031583387593098</v>
      </c>
      <c r="F1929" s="8">
        <v>1.1047248931072358</v>
      </c>
      <c r="G1929" s="8">
        <f t="shared" si="240"/>
        <v>1.1173234523071174</v>
      </c>
      <c r="H1929" s="8">
        <f t="shared" si="241"/>
        <v>1.1039416159332727</v>
      </c>
      <c r="I1929" s="8">
        <f t="shared" si="242"/>
        <v>0.98802331021852885</v>
      </c>
      <c r="J1929" s="22">
        <f t="shared" si="243"/>
        <v>-1.738301548635339E-2</v>
      </c>
      <c r="K1929" s="8"/>
      <c r="L1929" s="8">
        <v>1.1705854473993667</v>
      </c>
      <c r="M1929" s="8">
        <v>1.2272737377679961</v>
      </c>
      <c r="N1929" s="8">
        <v>1.4751724174552725</v>
      </c>
      <c r="O1929" s="8">
        <v>1.1666357907136651</v>
      </c>
      <c r="P1929" s="8">
        <f t="shared" si="244"/>
        <v>1.1989295925836814</v>
      </c>
      <c r="Q1929" s="8">
        <f t="shared" si="245"/>
        <v>1.3209041040844687</v>
      </c>
      <c r="R1929" s="8">
        <f t="shared" si="246"/>
        <v>1.1017361755480015</v>
      </c>
      <c r="S1929" s="22">
        <f t="shared" si="247"/>
        <v>0.13977879396640772</v>
      </c>
      <c r="T1929" s="25"/>
      <c r="U1929" s="1" t="s">
        <v>5467</v>
      </c>
    </row>
    <row r="1930" spans="1:21">
      <c r="A1930" s="6" t="s">
        <v>5468</v>
      </c>
      <c r="B1930" s="6" t="s">
        <v>5469</v>
      </c>
      <c r="C1930" s="7">
        <v>0.19153680683748248</v>
      </c>
      <c r="D1930" s="7">
        <v>0.22917110354596437</v>
      </c>
      <c r="E1930" s="7">
        <v>0.49992238725631633</v>
      </c>
      <c r="F1930" s="8">
        <v>0.49270324513129454</v>
      </c>
      <c r="G1930" s="8">
        <f t="shared" si="240"/>
        <v>0.21035395519172342</v>
      </c>
      <c r="H1930" s="8">
        <f t="shared" si="241"/>
        <v>0.49631281619380541</v>
      </c>
      <c r="I1930" s="8">
        <f t="shared" si="242"/>
        <v>2.359417562372192</v>
      </c>
      <c r="J1930" s="22">
        <f t="shared" si="243"/>
        <v>1.2384307648485491</v>
      </c>
      <c r="K1930" s="8"/>
      <c r="L1930" s="8">
        <v>1.235549227514025</v>
      </c>
      <c r="M1930" s="8">
        <v>1.0246329259977207</v>
      </c>
      <c r="N1930" s="8">
        <v>1.2137150422835039</v>
      </c>
      <c r="O1930" s="8">
        <v>1.2962563194924897</v>
      </c>
      <c r="P1930" s="8">
        <f t="shared" si="244"/>
        <v>1.1300910767558729</v>
      </c>
      <c r="Q1930" s="8">
        <f t="shared" si="245"/>
        <v>1.2549856808879967</v>
      </c>
      <c r="R1930" s="8">
        <f t="shared" si="246"/>
        <v>1.1105172907750549</v>
      </c>
      <c r="S1930" s="22">
        <f t="shared" si="247"/>
        <v>0.15123185584862558</v>
      </c>
      <c r="T1930" s="25"/>
      <c r="U1930" s="1" t="s">
        <v>5470</v>
      </c>
    </row>
    <row r="1931" spans="1:21">
      <c r="A1931" s="6" t="s">
        <v>5471</v>
      </c>
      <c r="B1931" s="6" t="s">
        <v>5472</v>
      </c>
      <c r="C1931" s="7">
        <v>1.1314798935909269</v>
      </c>
      <c r="D1931" s="7">
        <v>1.1150178650471991</v>
      </c>
      <c r="E1931" s="7">
        <v>1.0736728678803771</v>
      </c>
      <c r="F1931" s="8">
        <v>1.2391128756443393</v>
      </c>
      <c r="G1931" s="8">
        <f t="shared" si="240"/>
        <v>1.1232488793190631</v>
      </c>
      <c r="H1931" s="8">
        <f t="shared" si="241"/>
        <v>1.1563928717623582</v>
      </c>
      <c r="I1931" s="8">
        <f t="shared" si="242"/>
        <v>1.0295072561865253</v>
      </c>
      <c r="J1931" s="22">
        <f t="shared" si="243"/>
        <v>4.1953998428082354E-2</v>
      </c>
      <c r="K1931" s="8"/>
      <c r="L1931" s="8">
        <v>1.3943654430763799</v>
      </c>
      <c r="M1931" s="8">
        <v>1.229746104946593</v>
      </c>
      <c r="N1931" s="8">
        <v>1.2544969552219081</v>
      </c>
      <c r="O1931" s="8">
        <v>1.3800503778605329</v>
      </c>
      <c r="P1931" s="8">
        <f t="shared" si="244"/>
        <v>1.3120557740114864</v>
      </c>
      <c r="Q1931" s="8">
        <f t="shared" si="245"/>
        <v>1.3172736665412206</v>
      </c>
      <c r="R1931" s="8">
        <f t="shared" si="246"/>
        <v>1.0039768831730231</v>
      </c>
      <c r="S1931" s="22">
        <f t="shared" si="247"/>
        <v>5.7260512452686511E-3</v>
      </c>
      <c r="T1931" s="25"/>
      <c r="U1931" s="1" t="s">
        <v>5473</v>
      </c>
    </row>
    <row r="1932" spans="1:21">
      <c r="A1932" s="6" t="s">
        <v>5474</v>
      </c>
      <c r="B1932" s="13" t="s">
        <v>5475</v>
      </c>
      <c r="C1932" s="14">
        <v>1.0460920745519666</v>
      </c>
      <c r="D1932" s="14">
        <v>1.2092582434735546</v>
      </c>
      <c r="E1932" s="14">
        <v>1.1622140332359994</v>
      </c>
      <c r="F1932" s="8">
        <v>1.0706163572532128</v>
      </c>
      <c r="G1932" s="8">
        <f t="shared" si="240"/>
        <v>1.1276751590127607</v>
      </c>
      <c r="H1932" s="8">
        <f t="shared" si="241"/>
        <v>1.1164151952446062</v>
      </c>
      <c r="I1932" s="8">
        <f t="shared" si="242"/>
        <v>0.9900148871080815</v>
      </c>
      <c r="J1932" s="22">
        <f t="shared" si="243"/>
        <v>-1.4477875356206212E-2</v>
      </c>
      <c r="K1932" s="8"/>
      <c r="L1932" s="8">
        <v>1.3992674719055447</v>
      </c>
      <c r="M1932" s="8">
        <v>1.2368833158583914</v>
      </c>
      <c r="N1932" s="8">
        <v>1.3338517608145528</v>
      </c>
      <c r="O1932" s="8">
        <v>1.113715913413019</v>
      </c>
      <c r="P1932" s="8">
        <f t="shared" si="244"/>
        <v>1.318075393881968</v>
      </c>
      <c r="Q1932" s="8">
        <f t="shared" si="245"/>
        <v>1.2237838371137859</v>
      </c>
      <c r="R1932" s="8">
        <f t="shared" si="246"/>
        <v>0.92846269856348917</v>
      </c>
      <c r="S1932" s="22">
        <f t="shared" si="247"/>
        <v>-0.10708414453115886</v>
      </c>
      <c r="T1932" s="25"/>
      <c r="U1932" s="1" t="s">
        <v>5476</v>
      </c>
    </row>
    <row r="1933" spans="1:21">
      <c r="A1933" s="6" t="s">
        <v>5477</v>
      </c>
      <c r="B1933" s="9" t="s">
        <v>5478</v>
      </c>
      <c r="C1933" s="10">
        <v>1.1563111339101686</v>
      </c>
      <c r="D1933" s="10">
        <v>1.3417337924070729</v>
      </c>
      <c r="E1933" s="10">
        <v>1.1146931837912808</v>
      </c>
      <c r="F1933" s="8">
        <v>1.2081745718817949</v>
      </c>
      <c r="G1933" s="8">
        <f t="shared" si="240"/>
        <v>1.2490224631586209</v>
      </c>
      <c r="H1933" s="8">
        <f t="shared" si="241"/>
        <v>1.1614338778365378</v>
      </c>
      <c r="I1933" s="8">
        <f t="shared" si="242"/>
        <v>0.92987429137136368</v>
      </c>
      <c r="J1933" s="22">
        <f t="shared" si="243"/>
        <v>-0.10489240175642375</v>
      </c>
      <c r="K1933" s="8"/>
      <c r="L1933" s="8">
        <v>1.8771914864926498</v>
      </c>
      <c r="M1933" s="8">
        <v>1.6928717907788431</v>
      </c>
      <c r="N1933" s="8">
        <v>1.8901283816035341</v>
      </c>
      <c r="O1933" s="8">
        <v>1.6094889201399012</v>
      </c>
      <c r="P1933" s="8">
        <f t="shared" si="244"/>
        <v>1.7850316386357465</v>
      </c>
      <c r="Q1933" s="8">
        <f t="shared" si="245"/>
        <v>1.7498086508717177</v>
      </c>
      <c r="R1933" s="8">
        <f t="shared" si="246"/>
        <v>0.98026758349731613</v>
      </c>
      <c r="S1933" s="22">
        <f t="shared" si="247"/>
        <v>-2.8752479648315395E-2</v>
      </c>
      <c r="T1933" s="25"/>
      <c r="U1933" s="1" t="s">
        <v>5479</v>
      </c>
    </row>
    <row r="1934" spans="1:21">
      <c r="A1934" s="6" t="s">
        <v>5480</v>
      </c>
      <c r="B1934" s="6" t="s">
        <v>5481</v>
      </c>
      <c r="C1934" s="7">
        <v>0.28581792242460247</v>
      </c>
      <c r="D1934" s="7">
        <v>0.36418180183124388</v>
      </c>
      <c r="E1934" s="7">
        <v>0.46329226218050512</v>
      </c>
      <c r="F1934" s="8">
        <v>0.45502929590015195</v>
      </c>
      <c r="G1934" s="8">
        <f t="shared" si="240"/>
        <v>0.3249998621279232</v>
      </c>
      <c r="H1934" s="8">
        <f t="shared" si="241"/>
        <v>0.45916077904032854</v>
      </c>
      <c r="I1934" s="8">
        <f t="shared" si="242"/>
        <v>1.4128029963889592</v>
      </c>
      <c r="J1934" s="22">
        <f t="shared" si="243"/>
        <v>0.49856030788873057</v>
      </c>
      <c r="K1934" s="8"/>
      <c r="L1934" s="8">
        <v>0.45398498059613585</v>
      </c>
      <c r="M1934" s="8">
        <v>0.40322909229794213</v>
      </c>
      <c r="N1934" s="8">
        <v>0.47176743453328845</v>
      </c>
      <c r="O1934" s="8">
        <v>0.39105594961894996</v>
      </c>
      <c r="P1934" s="8">
        <f t="shared" si="244"/>
        <v>0.42860703644703901</v>
      </c>
      <c r="Q1934" s="8">
        <f t="shared" si="245"/>
        <v>0.43141169207611918</v>
      </c>
      <c r="R1934" s="8">
        <f t="shared" si="246"/>
        <v>1.0065436527881799</v>
      </c>
      <c r="S1934" s="22">
        <f t="shared" si="247"/>
        <v>9.4097418522674989E-3</v>
      </c>
      <c r="T1934" s="25"/>
      <c r="U1934" s="1" t="s">
        <v>5482</v>
      </c>
    </row>
    <row r="1935" spans="1:21">
      <c r="A1935" s="6" t="s">
        <v>5483</v>
      </c>
      <c r="B1935" s="6" t="s">
        <v>5484</v>
      </c>
      <c r="C1935" s="7">
        <v>0.86578410065296474</v>
      </c>
      <c r="D1935" s="7">
        <v>0.84007012147132465</v>
      </c>
      <c r="E1935" s="7">
        <v>1.2291093542039258</v>
      </c>
      <c r="F1935" s="8">
        <v>1.176191233163888</v>
      </c>
      <c r="G1935" s="8">
        <f t="shared" si="240"/>
        <v>0.85292711106214469</v>
      </c>
      <c r="H1935" s="8">
        <f t="shared" si="241"/>
        <v>1.2026502936839067</v>
      </c>
      <c r="I1935" s="8">
        <f t="shared" si="242"/>
        <v>1.4100270446161032</v>
      </c>
      <c r="J1935" s="22">
        <f t="shared" si="243"/>
        <v>0.4957228340846036</v>
      </c>
      <c r="K1935" s="8"/>
      <c r="L1935" s="8">
        <v>1.4592816306781338</v>
      </c>
      <c r="M1935" s="8">
        <v>1.452678986956295</v>
      </c>
      <c r="N1935" s="8">
        <v>1.1352098598770761</v>
      </c>
      <c r="O1935" s="8">
        <v>0.97266428288362083</v>
      </c>
      <c r="P1935" s="8">
        <f t="shared" si="244"/>
        <v>1.4559803088172143</v>
      </c>
      <c r="Q1935" s="8">
        <f t="shared" si="245"/>
        <v>1.0539370713803484</v>
      </c>
      <c r="R1935" s="8">
        <f t="shared" si="246"/>
        <v>0.72386766840035688</v>
      </c>
      <c r="S1935" s="22">
        <f t="shared" si="247"/>
        <v>-0.46620211524763877</v>
      </c>
      <c r="T1935" s="25"/>
      <c r="U1935" s="1" t="s">
        <v>5485</v>
      </c>
    </row>
    <row r="1936" spans="1:21">
      <c r="A1936" s="6" t="s">
        <v>5486</v>
      </c>
      <c r="B1936" s="13" t="s">
        <v>5487</v>
      </c>
      <c r="C1936" s="14">
        <v>1.0787743687956743</v>
      </c>
      <c r="D1936" s="14">
        <v>1.2099060261154873</v>
      </c>
      <c r="E1936" s="14">
        <v>1.2728417571172033</v>
      </c>
      <c r="F1936" s="8">
        <v>1.1858160929208419</v>
      </c>
      <c r="G1936" s="8">
        <f t="shared" si="240"/>
        <v>1.1443401974555809</v>
      </c>
      <c r="H1936" s="8">
        <f t="shared" si="241"/>
        <v>1.2293289250190225</v>
      </c>
      <c r="I1936" s="8">
        <f t="shared" si="242"/>
        <v>1.0742687600701368</v>
      </c>
      <c r="J1936" s="22">
        <f t="shared" si="243"/>
        <v>0.10335497126947939</v>
      </c>
      <c r="K1936" s="8"/>
      <c r="L1936" s="8">
        <v>1.458282187907139</v>
      </c>
      <c r="M1936" s="8">
        <v>1.4001994949577776</v>
      </c>
      <c r="N1936" s="8">
        <v>1.7501671220607611</v>
      </c>
      <c r="O1936" s="8">
        <v>1.2724755453149572</v>
      </c>
      <c r="P1936" s="8">
        <f t="shared" si="244"/>
        <v>1.4292408414324584</v>
      </c>
      <c r="Q1936" s="8">
        <f t="shared" si="245"/>
        <v>1.5113213336878593</v>
      </c>
      <c r="R1936" s="8">
        <f t="shared" si="246"/>
        <v>1.05742943377768</v>
      </c>
      <c r="S1936" s="22">
        <f t="shared" si="247"/>
        <v>8.0561390119832987E-2</v>
      </c>
      <c r="T1936" s="25"/>
      <c r="U1936" s="1" t="s">
        <v>5488</v>
      </c>
    </row>
    <row r="1937" spans="1:21">
      <c r="A1937" s="6" t="s">
        <v>5489</v>
      </c>
      <c r="B1937" s="13" t="s">
        <v>5490</v>
      </c>
      <c r="C1937" s="14">
        <v>1.1339675821890862</v>
      </c>
      <c r="D1937" s="14">
        <v>1.1402414014997384</v>
      </c>
      <c r="E1937" s="14">
        <v>1.1617055169230541</v>
      </c>
      <c r="F1937" s="8">
        <v>1.0517706008312939</v>
      </c>
      <c r="G1937" s="8">
        <f t="shared" si="240"/>
        <v>1.1371044918444122</v>
      </c>
      <c r="H1937" s="8">
        <f t="shared" si="241"/>
        <v>1.106738058877174</v>
      </c>
      <c r="I1937" s="8">
        <f t="shared" si="242"/>
        <v>0.97329494942194539</v>
      </c>
      <c r="J1937" s="22">
        <f t="shared" si="243"/>
        <v>-3.9051026174631805E-2</v>
      </c>
      <c r="K1937" s="8"/>
      <c r="L1937" s="8">
        <v>1.34563070986216</v>
      </c>
      <c r="M1937" s="8">
        <v>1.0332628869041436</v>
      </c>
      <c r="N1937" s="8">
        <v>1.4620882203875345</v>
      </c>
      <c r="O1937" s="8">
        <v>1.1922537062439682</v>
      </c>
      <c r="P1937" s="8">
        <f t="shared" si="244"/>
        <v>1.1894467983831518</v>
      </c>
      <c r="Q1937" s="8">
        <f t="shared" si="245"/>
        <v>1.3271709633157514</v>
      </c>
      <c r="R1937" s="8">
        <f t="shared" si="246"/>
        <v>1.1157884195575722</v>
      </c>
      <c r="S1937" s="22">
        <f t="shared" si="247"/>
        <v>0.15806348326546615</v>
      </c>
      <c r="T1937" s="25"/>
      <c r="U1937" s="1" t="s">
        <v>5491</v>
      </c>
    </row>
    <row r="1938" spans="1:21">
      <c r="A1938" s="6" t="s">
        <v>5492</v>
      </c>
      <c r="B1938" s="13" t="s">
        <v>5493</v>
      </c>
      <c r="C1938" s="14">
        <v>0.26411340997644195</v>
      </c>
      <c r="D1938" s="14">
        <v>0.46249281439023815</v>
      </c>
      <c r="E1938" s="14">
        <v>0.78335242954814366</v>
      </c>
      <c r="F1938" s="8">
        <v>0.80792618397788252</v>
      </c>
      <c r="G1938" s="8">
        <f t="shared" si="240"/>
        <v>0.36330311218334005</v>
      </c>
      <c r="H1938" s="8">
        <f t="shared" si="241"/>
        <v>0.79563930676301309</v>
      </c>
      <c r="I1938" s="8">
        <f t="shared" si="242"/>
        <v>2.1900151143255155</v>
      </c>
      <c r="J1938" s="22">
        <f t="shared" si="243"/>
        <v>1.1309408265786054</v>
      </c>
      <c r="K1938" s="8"/>
      <c r="L1938" s="8">
        <v>1.2909469125348763</v>
      </c>
      <c r="M1938" s="8">
        <v>1.3169786827574621</v>
      </c>
      <c r="N1938" s="8">
        <v>1.5492595592933731</v>
      </c>
      <c r="O1938" s="8">
        <v>1.3190674912893929</v>
      </c>
      <c r="P1938" s="8">
        <f t="shared" si="244"/>
        <v>1.3039627976461692</v>
      </c>
      <c r="Q1938" s="8">
        <f t="shared" si="245"/>
        <v>1.4341635252913831</v>
      </c>
      <c r="R1938" s="8">
        <f t="shared" si="246"/>
        <v>1.0998500324397629</v>
      </c>
      <c r="S1938" s="22">
        <f t="shared" si="247"/>
        <v>0.13730682174516823</v>
      </c>
      <c r="T1938" s="25"/>
      <c r="U1938" s="1" t="s">
        <v>5494</v>
      </c>
    </row>
    <row r="1939" spans="1:21">
      <c r="A1939" s="6" t="s">
        <v>5495</v>
      </c>
      <c r="B1939" s="9" t="s">
        <v>5496</v>
      </c>
      <c r="C1939" s="10">
        <v>1.1029437470108183</v>
      </c>
      <c r="D1939" s="10">
        <v>1.1818674342313391</v>
      </c>
      <c r="E1939" s="10">
        <v>1.0681300400692755</v>
      </c>
      <c r="F1939" s="8">
        <v>1.1305346219627901</v>
      </c>
      <c r="G1939" s="8">
        <f t="shared" si="240"/>
        <v>1.1424055906210788</v>
      </c>
      <c r="H1939" s="8">
        <f t="shared" si="241"/>
        <v>1.0993323310160328</v>
      </c>
      <c r="I1939" s="8">
        <f t="shared" si="242"/>
        <v>0.96229600068603582</v>
      </c>
      <c r="J1939" s="22">
        <f t="shared" si="243"/>
        <v>-5.5447361976348676E-2</v>
      </c>
      <c r="K1939" s="8"/>
      <c r="L1939" s="8">
        <v>1.4170670717318319</v>
      </c>
      <c r="M1939" s="8">
        <v>1.4139141355333902</v>
      </c>
      <c r="N1939" s="8">
        <v>1.7068929811094546</v>
      </c>
      <c r="O1939" s="8">
        <v>1.5926994894437463</v>
      </c>
      <c r="P1939" s="8">
        <f t="shared" si="244"/>
        <v>1.4154906036326111</v>
      </c>
      <c r="Q1939" s="8">
        <f t="shared" si="245"/>
        <v>1.6497962352766005</v>
      </c>
      <c r="R1939" s="8">
        <f t="shared" si="246"/>
        <v>1.1655296270018922</v>
      </c>
      <c r="S1939" s="22">
        <f t="shared" si="247"/>
        <v>0.22098567729857294</v>
      </c>
      <c r="T1939" s="25"/>
      <c r="U1939" s="1" t="s">
        <v>5497</v>
      </c>
    </row>
    <row r="1940" spans="1:21">
      <c r="A1940" s="6" t="s">
        <v>5498</v>
      </c>
      <c r="B1940" s="13" t="s">
        <v>5499</v>
      </c>
      <c r="C1940" s="14">
        <v>0.64679142791102684</v>
      </c>
      <c r="D1940" s="14">
        <v>0.69895747064537062</v>
      </c>
      <c r="E1940" s="14">
        <v>1.0461960364375775</v>
      </c>
      <c r="F1940" s="8">
        <v>1.0113567280197047</v>
      </c>
      <c r="G1940" s="8">
        <f t="shared" si="240"/>
        <v>0.67287444927819873</v>
      </c>
      <c r="H1940" s="8">
        <f t="shared" si="241"/>
        <v>1.0287763822286411</v>
      </c>
      <c r="I1940" s="8">
        <f t="shared" si="242"/>
        <v>1.5289276971836618</v>
      </c>
      <c r="J1940" s="22">
        <f t="shared" si="243"/>
        <v>0.61252018342797854</v>
      </c>
      <c r="K1940" s="8"/>
      <c r="L1940" s="8">
        <v>1.2157031496328434</v>
      </c>
      <c r="M1940" s="8">
        <v>1.2375363939810395</v>
      </c>
      <c r="N1940" s="8">
        <v>1.6582378933121085</v>
      </c>
      <c r="O1940" s="8">
        <v>1.26155476060682</v>
      </c>
      <c r="P1940" s="8">
        <f t="shared" si="244"/>
        <v>1.2266197718069414</v>
      </c>
      <c r="Q1940" s="8">
        <f t="shared" si="245"/>
        <v>1.4598963269594643</v>
      </c>
      <c r="R1940" s="8">
        <f t="shared" si="246"/>
        <v>1.1901783751690891</v>
      </c>
      <c r="S1940" s="22">
        <f t="shared" si="247"/>
        <v>0.2511778102447435</v>
      </c>
      <c r="T1940" s="25"/>
      <c r="U1940" s="1" t="s">
        <v>5500</v>
      </c>
    </row>
    <row r="1941" spans="1:21">
      <c r="A1941" s="6" t="s">
        <v>5501</v>
      </c>
      <c r="B1941" s="6" t="s">
        <v>5502</v>
      </c>
      <c r="C1941" s="7">
        <v>1.0712276192868853</v>
      </c>
      <c r="D1941" s="7">
        <v>1.0612119191839506</v>
      </c>
      <c r="E1941" s="7">
        <v>0.98224163481285021</v>
      </c>
      <c r="F1941" s="8">
        <v>1.0568201394811558</v>
      </c>
      <c r="G1941" s="8">
        <f t="shared" si="240"/>
        <v>1.0662197692354178</v>
      </c>
      <c r="H1941" s="8">
        <f t="shared" si="241"/>
        <v>1.019530887147003</v>
      </c>
      <c r="I1941" s="8">
        <f t="shared" si="242"/>
        <v>0.9562108268524272</v>
      </c>
      <c r="J1941" s="22">
        <f t="shared" si="243"/>
        <v>-6.4599353960303557E-2</v>
      </c>
      <c r="K1941" s="8"/>
      <c r="L1941" s="8">
        <v>0.70793862945460961</v>
      </c>
      <c r="M1941" s="8">
        <v>0.58525129476746662</v>
      </c>
      <c r="N1941" s="8">
        <v>0.95928121878446071</v>
      </c>
      <c r="O1941" s="8">
        <v>0.74980883045168101</v>
      </c>
      <c r="P1941" s="8">
        <f t="shared" si="244"/>
        <v>0.64659496211103806</v>
      </c>
      <c r="Q1941" s="8">
        <f t="shared" si="245"/>
        <v>0.8545450246180708</v>
      </c>
      <c r="R1941" s="8">
        <f t="shared" si="246"/>
        <v>1.3216079225673305</v>
      </c>
      <c r="S1941" s="22">
        <f t="shared" si="247"/>
        <v>0.4022942403372628</v>
      </c>
      <c r="T1941" s="25"/>
      <c r="U1941" s="1" t="s">
        <v>5503</v>
      </c>
    </row>
    <row r="1942" spans="1:21">
      <c r="A1942" s="6" t="s">
        <v>5504</v>
      </c>
      <c r="B1942" s="13" t="s">
        <v>5505</v>
      </c>
      <c r="C1942" s="14">
        <v>1.2110098526281055</v>
      </c>
      <c r="D1942" s="14">
        <v>1.1133384285681143</v>
      </c>
      <c r="E1942" s="14">
        <v>1.0645619506067776</v>
      </c>
      <c r="F1942" s="8">
        <v>1.0608422067883501</v>
      </c>
      <c r="G1942" s="8">
        <f t="shared" si="240"/>
        <v>1.1621741405981099</v>
      </c>
      <c r="H1942" s="8">
        <f t="shared" si="241"/>
        <v>1.0627020786975638</v>
      </c>
      <c r="I1942" s="8">
        <f t="shared" si="242"/>
        <v>0.91440864288259505</v>
      </c>
      <c r="J1942" s="22">
        <f t="shared" si="243"/>
        <v>-0.12908905508723417</v>
      </c>
      <c r="K1942" s="8"/>
      <c r="L1942" s="8">
        <v>1.4350570416097375</v>
      </c>
      <c r="M1942" s="8">
        <v>1.1384551130878386</v>
      </c>
      <c r="N1942" s="8">
        <v>1.9104060549812405</v>
      </c>
      <c r="O1942" s="8">
        <v>1.1524489769339354</v>
      </c>
      <c r="P1942" s="8">
        <f t="shared" si="244"/>
        <v>1.2867560773487881</v>
      </c>
      <c r="Q1942" s="8">
        <f t="shared" si="245"/>
        <v>1.5314275159575881</v>
      </c>
      <c r="R1942" s="8">
        <f t="shared" si="246"/>
        <v>1.1901459359048976</v>
      </c>
      <c r="S1942" s="22">
        <f t="shared" si="247"/>
        <v>0.25113848790083904</v>
      </c>
      <c r="T1942" s="25"/>
      <c r="U1942" s="1" t="s">
        <v>5506</v>
      </c>
    </row>
    <row r="1943" spans="1:21">
      <c r="A1943" s="6" t="s">
        <v>5507</v>
      </c>
      <c r="B1943" s="13" t="s">
        <v>5508</v>
      </c>
      <c r="C1943" s="14">
        <v>1.085134331083323</v>
      </c>
      <c r="D1943" s="14">
        <v>1.0494398691972231</v>
      </c>
      <c r="E1943" s="14">
        <v>1.1152610270074028</v>
      </c>
      <c r="F1943" s="8">
        <v>1.1645553397533368</v>
      </c>
      <c r="G1943" s="8">
        <f t="shared" si="240"/>
        <v>1.0672871001402731</v>
      </c>
      <c r="H1943" s="8">
        <f t="shared" si="241"/>
        <v>1.1399081833803697</v>
      </c>
      <c r="I1943" s="8">
        <f t="shared" si="242"/>
        <v>1.0680426880738576</v>
      </c>
      <c r="J1943" s="22">
        <f t="shared" si="243"/>
        <v>9.4969310547653535E-2</v>
      </c>
      <c r="K1943" s="8"/>
      <c r="L1943" s="8">
        <v>0.83458230629351493</v>
      </c>
      <c r="M1943" s="8">
        <v>1.0944189882464159</v>
      </c>
      <c r="N1943" s="8">
        <v>1.3369104042849329</v>
      </c>
      <c r="O1943" s="8">
        <v>1.3221804252482545</v>
      </c>
      <c r="P1943" s="8">
        <f t="shared" si="244"/>
        <v>0.96450064726996543</v>
      </c>
      <c r="Q1943" s="8">
        <f t="shared" si="245"/>
        <v>1.3295454147665937</v>
      </c>
      <c r="R1943" s="8">
        <f t="shared" si="246"/>
        <v>1.3784805832218914</v>
      </c>
      <c r="S1943" s="22">
        <f t="shared" si="247"/>
        <v>0.46307894621152523</v>
      </c>
      <c r="T1943" s="25"/>
      <c r="U1943" s="1" t="s">
        <v>5509</v>
      </c>
    </row>
    <row r="1944" spans="1:21">
      <c r="A1944" s="6" t="s">
        <v>5510</v>
      </c>
      <c r="B1944" s="13" t="s">
        <v>5511</v>
      </c>
      <c r="C1944" s="14">
        <v>0.90939092341947581</v>
      </c>
      <c r="D1944" s="14">
        <v>0.8761380191888114</v>
      </c>
      <c r="E1944" s="14">
        <v>1.2110824509100222</v>
      </c>
      <c r="F1944" s="8">
        <v>1.2455323760844244</v>
      </c>
      <c r="G1944" s="8">
        <f t="shared" si="240"/>
        <v>0.8927644713041436</v>
      </c>
      <c r="H1944" s="8">
        <f t="shared" si="241"/>
        <v>1.2283074134972232</v>
      </c>
      <c r="I1944" s="8">
        <f t="shared" si="242"/>
        <v>1.375847105231373</v>
      </c>
      <c r="J1944" s="22">
        <f t="shared" si="243"/>
        <v>0.46032015551942307</v>
      </c>
      <c r="K1944" s="8"/>
      <c r="L1944" s="8">
        <v>1.3892730441955972</v>
      </c>
      <c r="M1944" s="8">
        <v>1.3687117997586673</v>
      </c>
      <c r="N1944" s="8">
        <v>1.974354360130488</v>
      </c>
      <c r="O1944" s="8">
        <v>1.719819464714633</v>
      </c>
      <c r="P1944" s="8">
        <f t="shared" si="244"/>
        <v>1.3789924219771321</v>
      </c>
      <c r="Q1944" s="8">
        <f t="shared" si="245"/>
        <v>1.8470869124225606</v>
      </c>
      <c r="R1944" s="8">
        <f t="shared" si="246"/>
        <v>1.339446746033816</v>
      </c>
      <c r="S1944" s="22">
        <f t="shared" si="247"/>
        <v>0.42163722338992521</v>
      </c>
      <c r="T1944" s="25"/>
      <c r="U1944" s="1" t="s">
        <v>5512</v>
      </c>
    </row>
    <row r="1945" spans="1:21">
      <c r="A1945" s="6" t="s">
        <v>5513</v>
      </c>
      <c r="B1945" s="6" t="s">
        <v>5514</v>
      </c>
      <c r="C1945" s="7">
        <v>1.082821617524178</v>
      </c>
      <c r="D1945" s="7">
        <v>1.1782286551933221</v>
      </c>
      <c r="E1945" s="7">
        <v>1.084072026480104</v>
      </c>
      <c r="F1945" s="8">
        <v>1.0779403837470993</v>
      </c>
      <c r="G1945" s="8">
        <f t="shared" si="240"/>
        <v>1.1305251363587501</v>
      </c>
      <c r="H1945" s="8">
        <f t="shared" si="241"/>
        <v>1.0810062051136016</v>
      </c>
      <c r="I1945" s="8">
        <f t="shared" si="242"/>
        <v>0.95619829258760092</v>
      </c>
      <c r="J1945" s="22">
        <f t="shared" si="243"/>
        <v>-6.4618265313028764E-2</v>
      </c>
      <c r="K1945" s="8"/>
      <c r="L1945" s="8">
        <v>1.0416097374281401</v>
      </c>
      <c r="M1945" s="8">
        <v>1.2122995893844193</v>
      </c>
      <c r="N1945" s="8">
        <v>1.5250736192590697</v>
      </c>
      <c r="O1945" s="8">
        <v>1.3551469061896406</v>
      </c>
      <c r="P1945" s="8">
        <f t="shared" si="244"/>
        <v>1.1269546634062797</v>
      </c>
      <c r="Q1945" s="8">
        <f t="shared" si="245"/>
        <v>1.4401102627243552</v>
      </c>
      <c r="R1945" s="8">
        <f t="shared" si="246"/>
        <v>1.277877726129236</v>
      </c>
      <c r="S1945" s="22">
        <f t="shared" si="247"/>
        <v>0.35374979845523136</v>
      </c>
      <c r="T1945" s="25"/>
      <c r="U1945" s="1" t="s">
        <v>5515</v>
      </c>
    </row>
    <row r="1946" spans="1:21">
      <c r="A1946" s="6" t="s">
        <v>5516</v>
      </c>
      <c r="B1946" s="13" t="s">
        <v>5517</v>
      </c>
      <c r="C1946" s="14">
        <v>1.049287270916575</v>
      </c>
      <c r="D1946" s="14">
        <v>1.0742235532385738</v>
      </c>
      <c r="E1946" s="14">
        <v>1.1680873966505152</v>
      </c>
      <c r="F1946" s="8">
        <v>1.0166521572472988</v>
      </c>
      <c r="G1946" s="8">
        <f t="shared" si="240"/>
        <v>1.0617554120775745</v>
      </c>
      <c r="H1946" s="8">
        <f t="shared" si="241"/>
        <v>1.0923697769489071</v>
      </c>
      <c r="I1946" s="8">
        <f t="shared" si="242"/>
        <v>1.0288337262264842</v>
      </c>
      <c r="J1946" s="22">
        <f t="shared" si="243"/>
        <v>4.1009841579217457E-2</v>
      </c>
      <c r="K1946" s="8"/>
      <c r="L1946" s="8">
        <v>1.2863780312960431</v>
      </c>
      <c r="M1946" s="8">
        <v>1.2663184798148932</v>
      </c>
      <c r="N1946" s="8">
        <v>1.6916564053033007</v>
      </c>
      <c r="O1946" s="8">
        <v>1.6965490075795369</v>
      </c>
      <c r="P1946" s="8">
        <f t="shared" si="244"/>
        <v>1.2763482555554682</v>
      </c>
      <c r="Q1946" s="8">
        <f t="shared" si="245"/>
        <v>1.6941027064414187</v>
      </c>
      <c r="R1946" s="8">
        <f t="shared" si="246"/>
        <v>1.3273044398874845</v>
      </c>
      <c r="S1946" s="22">
        <f t="shared" si="247"/>
        <v>0.4084993153512666</v>
      </c>
      <c r="T1946" s="25"/>
      <c r="U1946" s="1" t="s">
        <v>5518</v>
      </c>
    </row>
    <row r="1947" spans="1:21">
      <c r="A1947" s="6" t="s">
        <v>5519</v>
      </c>
      <c r="B1947" s="6" t="s">
        <v>80</v>
      </c>
      <c r="C1947" s="7">
        <v>1.0338666446521441</v>
      </c>
      <c r="D1947" s="7">
        <v>1.0797736909361206</v>
      </c>
      <c r="E1947" s="7">
        <v>1.1249143616814772</v>
      </c>
      <c r="F1947" s="8">
        <v>1.1133398451342171</v>
      </c>
      <c r="G1947" s="8">
        <f t="shared" si="240"/>
        <v>1.0568201677941325</v>
      </c>
      <c r="H1947" s="8">
        <f t="shared" si="241"/>
        <v>1.1191271034078472</v>
      </c>
      <c r="I1947" s="8">
        <f t="shared" si="242"/>
        <v>1.0589569895735109</v>
      </c>
      <c r="J1947" s="22">
        <f t="shared" si="243"/>
        <v>8.2643994250824956E-2</v>
      </c>
      <c r="K1947" s="8"/>
      <c r="L1947" s="8">
        <v>1.108667588110597</v>
      </c>
      <c r="M1947" s="8">
        <v>1.3212703389920075</v>
      </c>
      <c r="N1947" s="8">
        <v>1.8433991063616126</v>
      </c>
      <c r="O1947" s="8">
        <v>1.6783306891645604</v>
      </c>
      <c r="P1947" s="8">
        <f t="shared" si="244"/>
        <v>1.2149689635513021</v>
      </c>
      <c r="Q1947" s="8">
        <f t="shared" si="245"/>
        <v>1.7608648977630865</v>
      </c>
      <c r="R1947" s="8">
        <f t="shared" si="246"/>
        <v>1.4493085425130152</v>
      </c>
      <c r="S1947" s="22">
        <f t="shared" si="247"/>
        <v>0.53536476216056483</v>
      </c>
      <c r="T1947" s="25"/>
      <c r="U1947" s="1">
        <v>0</v>
      </c>
    </row>
    <row r="1948" spans="1:21">
      <c r="A1948" s="6" t="s">
        <v>5520</v>
      </c>
      <c r="B1948" s="6" t="s">
        <v>80</v>
      </c>
      <c r="C1948" s="7">
        <v>1.1212628728345724</v>
      </c>
      <c r="D1948" s="7">
        <v>1.2195347952622397</v>
      </c>
      <c r="E1948" s="7">
        <v>1.2911229185675792</v>
      </c>
      <c r="F1948" s="8">
        <v>1.2102558599861728</v>
      </c>
      <c r="G1948" s="8">
        <f t="shared" si="240"/>
        <v>1.1703988340484059</v>
      </c>
      <c r="H1948" s="8">
        <f t="shared" si="241"/>
        <v>1.250689389276876</v>
      </c>
      <c r="I1948" s="8">
        <f t="shared" si="242"/>
        <v>1.0686010212012476</v>
      </c>
      <c r="J1948" s="22">
        <f t="shared" si="243"/>
        <v>9.5723300975619915E-2</v>
      </c>
      <c r="K1948" s="8"/>
      <c r="L1948" s="8">
        <v>1.4871708432401776</v>
      </c>
      <c r="M1948" s="8">
        <v>1.4513261822736667</v>
      </c>
      <c r="N1948" s="8">
        <v>1.847250731472462</v>
      </c>
      <c r="O1948" s="8">
        <v>1.6624087974405473</v>
      </c>
      <c r="P1948" s="8">
        <f t="shared" si="244"/>
        <v>1.4692485127569221</v>
      </c>
      <c r="Q1948" s="8">
        <f t="shared" si="245"/>
        <v>1.7548297644565047</v>
      </c>
      <c r="R1948" s="8">
        <f t="shared" si="246"/>
        <v>1.1943723265465236</v>
      </c>
      <c r="S1948" s="22">
        <f t="shared" si="247"/>
        <v>0.25625264391344738</v>
      </c>
      <c r="T1948" s="25"/>
      <c r="U1948" s="1">
        <v>0</v>
      </c>
    </row>
    <row r="1949" spans="1:21">
      <c r="A1949" s="6" t="s">
        <v>5521</v>
      </c>
      <c r="B1949" s="13" t="s">
        <v>5522</v>
      </c>
      <c r="C1949" s="14">
        <v>0.98159475364923099</v>
      </c>
      <c r="D1949" s="14">
        <v>1.0335971850778571</v>
      </c>
      <c r="E1949" s="14">
        <v>0.82618645364188492</v>
      </c>
      <c r="F1949" s="8">
        <v>0.78028105759568278</v>
      </c>
      <c r="G1949" s="8">
        <f t="shared" si="240"/>
        <v>1.0075959693635441</v>
      </c>
      <c r="H1949" s="8">
        <f t="shared" si="241"/>
        <v>0.80323375561878385</v>
      </c>
      <c r="I1949" s="8">
        <f t="shared" si="242"/>
        <v>0.7971784128177416</v>
      </c>
      <c r="J1949" s="22">
        <f t="shared" si="243"/>
        <v>-0.32702545162266577</v>
      </c>
      <c r="K1949" s="8"/>
      <c r="L1949" s="8">
        <v>1.5607488681905524</v>
      </c>
      <c r="M1949" s="8">
        <v>1.3012115109392408</v>
      </c>
      <c r="N1949" s="8">
        <v>1.5762209350693182</v>
      </c>
      <c r="O1949" s="8">
        <v>1.4772147427404079</v>
      </c>
      <c r="P1949" s="8">
        <f t="shared" si="244"/>
        <v>1.4309801895648966</v>
      </c>
      <c r="Q1949" s="8">
        <f t="shared" si="245"/>
        <v>1.526717838904863</v>
      </c>
      <c r="R1949" s="8">
        <f t="shared" si="246"/>
        <v>1.0669035462811518</v>
      </c>
      <c r="S1949" s="22">
        <f t="shared" si="247"/>
        <v>9.342975480173342E-2</v>
      </c>
      <c r="T1949" s="25"/>
      <c r="U1949" s="1" t="s">
        <v>5523</v>
      </c>
    </row>
    <row r="1950" spans="1:21">
      <c r="A1950" s="6" t="s">
        <v>5524</v>
      </c>
      <c r="B1950" s="13" t="s">
        <v>5525</v>
      </c>
      <c r="C1950" s="14">
        <v>1.3465242165394562</v>
      </c>
      <c r="D1950" s="14">
        <v>1.1948070924368586</v>
      </c>
      <c r="E1950" s="14">
        <v>1.095259385364896</v>
      </c>
      <c r="F1950" s="8">
        <v>1.0835343943905114</v>
      </c>
      <c r="G1950" s="8">
        <f t="shared" si="240"/>
        <v>1.2706656544881574</v>
      </c>
      <c r="H1950" s="8">
        <f t="shared" si="241"/>
        <v>1.0893968898777038</v>
      </c>
      <c r="I1950" s="8">
        <f t="shared" si="242"/>
        <v>0.85734346090949365</v>
      </c>
      <c r="J1950" s="22">
        <f t="shared" si="243"/>
        <v>-0.22205481577193159</v>
      </c>
      <c r="K1950" s="8"/>
      <c r="L1950" s="8">
        <v>1.2102776031617293</v>
      </c>
      <c r="M1950" s="8">
        <v>0.9727598636845195</v>
      </c>
      <c r="N1950" s="8">
        <v>0.98341051727301643</v>
      </c>
      <c r="O1950" s="8">
        <v>0.91698869355381862</v>
      </c>
      <c r="P1950" s="8">
        <f t="shared" si="244"/>
        <v>1.0915187334231244</v>
      </c>
      <c r="Q1950" s="8">
        <f t="shared" si="245"/>
        <v>0.95019960541341753</v>
      </c>
      <c r="R1950" s="8">
        <f t="shared" si="246"/>
        <v>0.87052981897386739</v>
      </c>
      <c r="S1950" s="22">
        <f t="shared" si="247"/>
        <v>-0.20003437834479396</v>
      </c>
      <c r="T1950" s="25"/>
      <c r="U1950" s="1" t="s">
        <v>5526</v>
      </c>
    </row>
    <row r="1951" spans="1:21">
      <c r="A1951" s="6" t="s">
        <v>5527</v>
      </c>
      <c r="B1951" s="13" t="s">
        <v>5528</v>
      </c>
      <c r="C1951" s="14">
        <v>1.0115915614245892</v>
      </c>
      <c r="D1951" s="14">
        <v>1.1726625228626413</v>
      </c>
      <c r="E1951" s="14">
        <v>0.89440391702346855</v>
      </c>
      <c r="F1951" s="8">
        <v>0.77792753349452981</v>
      </c>
      <c r="G1951" s="8">
        <f t="shared" si="240"/>
        <v>1.0921270421436153</v>
      </c>
      <c r="H1951" s="8">
        <f t="shared" si="241"/>
        <v>0.83616572525899913</v>
      </c>
      <c r="I1951" s="8">
        <f t="shared" si="242"/>
        <v>0.76563045597495871</v>
      </c>
      <c r="J1951" s="22">
        <f t="shared" si="243"/>
        <v>-0.38527987502932054</v>
      </c>
      <c r="K1951" s="8"/>
      <c r="L1951" s="8">
        <v>0.65463501500155663</v>
      </c>
      <c r="M1951" s="8">
        <v>1.0395137775066337</v>
      </c>
      <c r="N1951" s="8">
        <v>0.68094466297985279</v>
      </c>
      <c r="O1951" s="8">
        <v>0.60564426596342136</v>
      </c>
      <c r="P1951" s="8">
        <f t="shared" si="244"/>
        <v>0.8470743962540952</v>
      </c>
      <c r="Q1951" s="8">
        <f t="shared" si="245"/>
        <v>0.64329446447163707</v>
      </c>
      <c r="R1951" s="8">
        <f t="shared" si="246"/>
        <v>0.75943089215822468</v>
      </c>
      <c r="S1951" s="22">
        <f t="shared" si="247"/>
        <v>-0.39700940873389967</v>
      </c>
      <c r="T1951" s="25"/>
      <c r="U1951" s="1" t="s">
        <v>5529</v>
      </c>
    </row>
    <row r="1952" spans="1:21">
      <c r="A1952" s="6" t="s">
        <v>5530</v>
      </c>
      <c r="B1952" s="13" t="s">
        <v>5531</v>
      </c>
      <c r="C1952" s="14">
        <v>1.1386690854112957</v>
      </c>
      <c r="D1952" s="14">
        <v>1.1504699693890212</v>
      </c>
      <c r="E1952" s="14">
        <v>0.97620724123256841</v>
      </c>
      <c r="F1952" s="8">
        <v>1.0712749927292817</v>
      </c>
      <c r="G1952" s="8">
        <f t="shared" si="240"/>
        <v>1.1445695274001584</v>
      </c>
      <c r="H1952" s="8">
        <f t="shared" si="241"/>
        <v>1.0237411169809252</v>
      </c>
      <c r="I1952" s="8">
        <f t="shared" si="242"/>
        <v>0.89443331529742032</v>
      </c>
      <c r="J1952" s="22">
        <f t="shared" si="243"/>
        <v>-0.16095416909530519</v>
      </c>
      <c r="K1952" s="8"/>
      <c r="L1952" s="8">
        <v>0.99135204380097597</v>
      </c>
      <c r="M1952" s="8">
        <v>1.1190960115950521</v>
      </c>
      <c r="N1952" s="8">
        <v>0.97423458686187547</v>
      </c>
      <c r="O1952" s="8">
        <v>0.9704699196011447</v>
      </c>
      <c r="P1952" s="8">
        <f t="shared" si="244"/>
        <v>1.055224027698014</v>
      </c>
      <c r="Q1952" s="8">
        <f t="shared" si="245"/>
        <v>0.97235225323151009</v>
      </c>
      <c r="R1952" s="8">
        <f t="shared" si="246"/>
        <v>0.92146523175056017</v>
      </c>
      <c r="S1952" s="22">
        <f t="shared" si="247"/>
        <v>-0.11799836302740271</v>
      </c>
      <c r="T1952" s="25"/>
      <c r="U1952" s="1" t="s">
        <v>5532</v>
      </c>
    </row>
    <row r="1953" spans="1:21">
      <c r="A1953" s="6" t="s">
        <v>5533</v>
      </c>
      <c r="B1953" s="13" t="s">
        <v>5534</v>
      </c>
      <c r="C1953" s="14">
        <v>1.0773821760939521</v>
      </c>
      <c r="D1953" s="14">
        <v>1.1447358934104319</v>
      </c>
      <c r="E1953" s="14">
        <v>1.0890554863469659</v>
      </c>
      <c r="F1953" s="8">
        <v>1.1394218099865467</v>
      </c>
      <c r="G1953" s="8">
        <f t="shared" si="240"/>
        <v>1.111059034752192</v>
      </c>
      <c r="H1953" s="8">
        <f t="shared" si="241"/>
        <v>1.1142386481667563</v>
      </c>
      <c r="I1953" s="8">
        <f t="shared" si="242"/>
        <v>1.0028617862013727</v>
      </c>
      <c r="J1953" s="22">
        <f t="shared" si="243"/>
        <v>4.1227883011914386E-3</v>
      </c>
      <c r="K1953" s="8"/>
      <c r="L1953" s="8">
        <v>1.3076518845643599</v>
      </c>
      <c r="M1953" s="8">
        <v>1.2842314797503871</v>
      </c>
      <c r="N1953" s="8">
        <v>1.4659398454983836</v>
      </c>
      <c r="O1953" s="8">
        <v>1.084729905402636</v>
      </c>
      <c r="P1953" s="8">
        <f t="shared" si="244"/>
        <v>1.2959416821573735</v>
      </c>
      <c r="Q1953" s="8">
        <f t="shared" si="245"/>
        <v>1.2753348754505098</v>
      </c>
      <c r="R1953" s="8">
        <f t="shared" si="246"/>
        <v>0.98409897066312491</v>
      </c>
      <c r="S1953" s="22">
        <f t="shared" si="247"/>
        <v>-2.3124680435918692E-2</v>
      </c>
      <c r="T1953" s="25"/>
      <c r="U1953" s="1" t="s">
        <v>5535</v>
      </c>
    </row>
    <row r="1954" spans="1:21">
      <c r="A1954" s="6" t="s">
        <v>5536</v>
      </c>
      <c r="B1954" s="6" t="s">
        <v>5537</v>
      </c>
      <c r="C1954" s="7">
        <v>1.1652652913414636</v>
      </c>
      <c r="D1954" s="7">
        <v>1.2811061355121134</v>
      </c>
      <c r="E1954" s="7">
        <v>1.1091503559801794</v>
      </c>
      <c r="F1954" s="8">
        <v>1.1928591016116055</v>
      </c>
      <c r="G1954" s="8">
        <f t="shared" si="240"/>
        <v>1.2231857134267885</v>
      </c>
      <c r="H1954" s="8">
        <f t="shared" si="241"/>
        <v>1.1510047287958924</v>
      </c>
      <c r="I1954" s="8">
        <f t="shared" si="242"/>
        <v>0.94098934950059299</v>
      </c>
      <c r="J1954" s="22">
        <f t="shared" si="243"/>
        <v>-8.774970084920726E-2</v>
      </c>
      <c r="K1954" s="8"/>
      <c r="L1954" s="8">
        <v>1.5059222933245551</v>
      </c>
      <c r="M1954" s="8">
        <v>1.4351858229567893</v>
      </c>
      <c r="N1954" s="8">
        <v>0.94240203815162116</v>
      </c>
      <c r="O1954" s="8">
        <v>0.80614783193665052</v>
      </c>
      <c r="P1954" s="8">
        <f t="shared" si="244"/>
        <v>1.4705540581406722</v>
      </c>
      <c r="Q1954" s="8">
        <f t="shared" si="245"/>
        <v>0.87427493504413589</v>
      </c>
      <c r="R1954" s="8">
        <f t="shared" si="246"/>
        <v>0.59452077276883308</v>
      </c>
      <c r="S1954" s="22">
        <f t="shared" si="247"/>
        <v>-0.75020087575408445</v>
      </c>
      <c r="T1954" s="25"/>
      <c r="U1954" s="1" t="s">
        <v>5538</v>
      </c>
    </row>
    <row r="1955" spans="1:21">
      <c r="A1955" s="6" t="s">
        <v>5539</v>
      </c>
      <c r="B1955" s="13" t="s">
        <v>5540</v>
      </c>
      <c r="C1955" s="14">
        <v>1.1785786095273314</v>
      </c>
      <c r="D1955" s="14">
        <v>1.1932876022891152</v>
      </c>
      <c r="E1955" s="14">
        <v>1.2620781618265322</v>
      </c>
      <c r="F1955" s="8">
        <v>1.2996809940236378</v>
      </c>
      <c r="G1955" s="8">
        <f t="shared" si="240"/>
        <v>1.1859331059082234</v>
      </c>
      <c r="H1955" s="8">
        <f t="shared" si="241"/>
        <v>1.280879577925085</v>
      </c>
      <c r="I1955" s="8">
        <f t="shared" si="242"/>
        <v>1.0800605628967148</v>
      </c>
      <c r="J1955" s="22">
        <f t="shared" si="243"/>
        <v>0.11111221177858138</v>
      </c>
      <c r="K1955" s="8"/>
      <c r="L1955" s="8">
        <v>1.1819124654706403</v>
      </c>
      <c r="M1955" s="8">
        <v>1.1165303475417914</v>
      </c>
      <c r="N1955" s="8">
        <v>0.7706648714443417</v>
      </c>
      <c r="O1955" s="8">
        <v>1.2185350339294385</v>
      </c>
      <c r="P1955" s="8">
        <f t="shared" si="244"/>
        <v>1.1492214065062158</v>
      </c>
      <c r="Q1955" s="8">
        <f t="shared" si="245"/>
        <v>0.99459995268689005</v>
      </c>
      <c r="R1955" s="8">
        <f t="shared" si="246"/>
        <v>0.86545547016097157</v>
      </c>
      <c r="S1955" s="22">
        <f t="shared" si="247"/>
        <v>-0.20846850363818684</v>
      </c>
      <c r="T1955" s="25"/>
      <c r="U1955" s="1" t="s">
        <v>5541</v>
      </c>
    </row>
    <row r="1956" spans="1:21">
      <c r="A1956" s="6" t="s">
        <v>5542</v>
      </c>
      <c r="B1956" s="6" t="s">
        <v>5543</v>
      </c>
      <c r="C1956" s="7">
        <v>1.1240776886795845</v>
      </c>
      <c r="D1956" s="7">
        <v>1.2048197327788306</v>
      </c>
      <c r="E1956" s="7">
        <v>1.1040736681226109</v>
      </c>
      <c r="F1956" s="8">
        <v>1.1891004884948388</v>
      </c>
      <c r="G1956" s="8">
        <f t="shared" si="240"/>
        <v>1.1644487107292076</v>
      </c>
      <c r="H1956" s="8">
        <f t="shared" si="241"/>
        <v>1.1465870783087249</v>
      </c>
      <c r="I1956" s="8">
        <f t="shared" si="242"/>
        <v>0.98466086805206099</v>
      </c>
      <c r="J1956" s="22">
        <f t="shared" si="243"/>
        <v>-2.2301170546518947E-2</v>
      </c>
      <c r="K1956" s="8"/>
      <c r="L1956" s="8">
        <v>0.97231503863917135</v>
      </c>
      <c r="M1956" s="8">
        <v>1.1930337847662968</v>
      </c>
      <c r="N1956" s="8">
        <v>0.6840599479959808</v>
      </c>
      <c r="O1956" s="8">
        <v>0.57104477048623914</v>
      </c>
      <c r="P1956" s="8">
        <f t="shared" si="244"/>
        <v>1.082674411702734</v>
      </c>
      <c r="Q1956" s="8">
        <f t="shared" si="245"/>
        <v>0.62755235924110997</v>
      </c>
      <c r="R1956" s="8">
        <f t="shared" si="246"/>
        <v>0.57963165330023037</v>
      </c>
      <c r="S1956" s="22">
        <f t="shared" si="247"/>
        <v>-0.78679171322172847</v>
      </c>
      <c r="T1956" s="25"/>
      <c r="U1956" s="1" t="s">
        <v>5544</v>
      </c>
    </row>
    <row r="1957" spans="1:21">
      <c r="A1957" s="6" t="s">
        <v>5545</v>
      </c>
      <c r="B1957" s="13" t="s">
        <v>5546</v>
      </c>
      <c r="C1957" s="14">
        <v>0.67852277085574386</v>
      </c>
      <c r="D1957" s="14">
        <v>0.66184992177416468</v>
      </c>
      <c r="E1957" s="14">
        <v>0.99016601402291116</v>
      </c>
      <c r="F1957" s="8">
        <v>1.0439547931819428</v>
      </c>
      <c r="G1957" s="8">
        <f t="shared" si="240"/>
        <v>0.67018634631495422</v>
      </c>
      <c r="H1957" s="8">
        <f t="shared" si="241"/>
        <v>1.0170604036024269</v>
      </c>
      <c r="I1957" s="8">
        <f t="shared" si="242"/>
        <v>1.5175785200560608</v>
      </c>
      <c r="J1957" s="22">
        <f t="shared" si="243"/>
        <v>0.6017711639701514</v>
      </c>
      <c r="K1957" s="8"/>
      <c r="L1957" s="8">
        <v>1.1807702451609321</v>
      </c>
      <c r="M1957" s="8">
        <v>1.2065151831552492</v>
      </c>
      <c r="N1957" s="8">
        <v>1.4123569432209806</v>
      </c>
      <c r="O1957" s="8">
        <v>1.2604320631134602</v>
      </c>
      <c r="P1957" s="8">
        <f t="shared" si="244"/>
        <v>1.1936427141580905</v>
      </c>
      <c r="Q1957" s="8">
        <f t="shared" si="245"/>
        <v>1.3363945031672204</v>
      </c>
      <c r="R1957" s="8">
        <f t="shared" si="246"/>
        <v>1.1195933986911792</v>
      </c>
      <c r="S1957" s="22">
        <f t="shared" si="247"/>
        <v>0.16297488567872132</v>
      </c>
      <c r="T1957" s="25"/>
      <c r="U1957" s="1" t="s">
        <v>5547</v>
      </c>
    </row>
    <row r="1958" spans="1:21">
      <c r="A1958" s="6" t="s">
        <v>5548</v>
      </c>
      <c r="B1958" s="6" t="s">
        <v>5549</v>
      </c>
      <c r="C1958" s="7">
        <v>1.0504816657481071</v>
      </c>
      <c r="D1958" s="7">
        <v>1.3024429761130567</v>
      </c>
      <c r="E1958" s="7">
        <v>1.1334489604670721</v>
      </c>
      <c r="F1958" s="8">
        <v>0.99157131831859424</v>
      </c>
      <c r="G1958" s="8">
        <f t="shared" si="240"/>
        <v>1.176462320930582</v>
      </c>
      <c r="H1958" s="8">
        <f t="shared" si="241"/>
        <v>1.0625101393928331</v>
      </c>
      <c r="I1958" s="8">
        <f t="shared" si="242"/>
        <v>0.90313996503720351</v>
      </c>
      <c r="J1958" s="22">
        <f t="shared" si="243"/>
        <v>-0.14697850671904494</v>
      </c>
      <c r="K1958" s="8"/>
      <c r="L1958" s="8">
        <v>1.0794933777001314</v>
      </c>
      <c r="M1958" s="8">
        <v>1.283858292251731</v>
      </c>
      <c r="N1958" s="8">
        <v>1.3017360043755595</v>
      </c>
      <c r="O1958" s="8">
        <v>0.94413756021143069</v>
      </c>
      <c r="P1958" s="8">
        <f t="shared" si="244"/>
        <v>1.1816758349759313</v>
      </c>
      <c r="Q1958" s="8">
        <f t="shared" si="245"/>
        <v>1.122936782293495</v>
      </c>
      <c r="R1958" s="8">
        <f t="shared" si="246"/>
        <v>0.95029173742591366</v>
      </c>
      <c r="S1958" s="22">
        <f t="shared" si="247"/>
        <v>-7.3557609312051297E-2</v>
      </c>
      <c r="T1958" s="25"/>
      <c r="U1958" s="1" t="s">
        <v>5550</v>
      </c>
    </row>
    <row r="1959" spans="1:21">
      <c r="A1959" s="6" t="s">
        <v>5551</v>
      </c>
      <c r="B1959" s="13" t="s">
        <v>5552</v>
      </c>
      <c r="C1959" s="14">
        <v>1.1304909042399769</v>
      </c>
      <c r="D1959" s="14">
        <v>1.0416504828608968</v>
      </c>
      <c r="E1959" s="14">
        <v>1.0742152852808518</v>
      </c>
      <c r="F1959" s="8">
        <v>1.0833851036826025</v>
      </c>
      <c r="G1959" s="8">
        <f t="shared" si="240"/>
        <v>1.0860706935504369</v>
      </c>
      <c r="H1959" s="8">
        <f t="shared" si="241"/>
        <v>1.0788001944817271</v>
      </c>
      <c r="I1959" s="8">
        <f t="shared" si="242"/>
        <v>0.99330568524509022</v>
      </c>
      <c r="J1959" s="22">
        <f t="shared" si="243"/>
        <v>-9.6903260554504385E-3</v>
      </c>
      <c r="K1959" s="8"/>
      <c r="L1959" s="8">
        <v>1.0131494147112423</v>
      </c>
      <c r="M1959" s="8">
        <v>1.0831767148494003</v>
      </c>
      <c r="N1959" s="8">
        <v>1.1235417014530327</v>
      </c>
      <c r="O1959" s="8">
        <v>0.87973554945596744</v>
      </c>
      <c r="P1959" s="8">
        <f t="shared" si="244"/>
        <v>1.0481630647803213</v>
      </c>
      <c r="Q1959" s="8">
        <f t="shared" si="245"/>
        <v>1.0016386254545</v>
      </c>
      <c r="R1959" s="8">
        <f t="shared" si="246"/>
        <v>0.95561335741631759</v>
      </c>
      <c r="S1959" s="22">
        <f t="shared" si="247"/>
        <v>-6.5501075183114474E-2</v>
      </c>
      <c r="T1959" s="25"/>
      <c r="U1959" s="1" t="s">
        <v>5553</v>
      </c>
    </row>
    <row r="1960" spans="1:21">
      <c r="A1960" s="6" t="s">
        <v>5554</v>
      </c>
      <c r="B1960" s="6" t="s">
        <v>5555</v>
      </c>
      <c r="C1960" s="7">
        <v>1.1028144176341557</v>
      </c>
      <c r="D1960" s="7">
        <v>1.3012833652108315</v>
      </c>
      <c r="E1960" s="7">
        <v>1.0106337956189508</v>
      </c>
      <c r="F1960" s="8">
        <v>1.0555819047861461</v>
      </c>
      <c r="G1960" s="8">
        <f t="shared" si="240"/>
        <v>1.2020488914224936</v>
      </c>
      <c r="H1960" s="8">
        <f t="shared" si="241"/>
        <v>1.0331078502025486</v>
      </c>
      <c r="I1960" s="8">
        <f t="shared" si="242"/>
        <v>0.85945576554708869</v>
      </c>
      <c r="J1960" s="22">
        <f t="shared" si="243"/>
        <v>-0.2185047058740609</v>
      </c>
      <c r="K1960" s="8"/>
      <c r="L1960" s="8">
        <v>0.86689762255567826</v>
      </c>
      <c r="M1960" s="8">
        <v>1.464434393163963</v>
      </c>
      <c r="N1960" s="8">
        <v>0.95616593376833259</v>
      </c>
      <c r="O1960" s="8">
        <v>1.0468133491496177</v>
      </c>
      <c r="P1960" s="8">
        <f t="shared" si="244"/>
        <v>1.1656660078598207</v>
      </c>
      <c r="Q1960" s="8">
        <f t="shared" si="245"/>
        <v>1.0014896414589751</v>
      </c>
      <c r="R1960" s="8">
        <f t="shared" si="246"/>
        <v>0.85915659777857323</v>
      </c>
      <c r="S1960" s="22">
        <f t="shared" si="247"/>
        <v>-0.21900698069716926</v>
      </c>
      <c r="T1960" s="25"/>
      <c r="U1960" s="1" t="s">
        <v>5556</v>
      </c>
    </row>
    <row r="1961" spans="1:21">
      <c r="A1961" s="6" t="s">
        <v>5557</v>
      </c>
      <c r="B1961" s="13" t="s">
        <v>5558</v>
      </c>
      <c r="C1961" s="14">
        <v>1.0805012963546412</v>
      </c>
      <c r="D1961" s="14">
        <v>1.2972047337616257</v>
      </c>
      <c r="E1961" s="14">
        <v>1.1572475239129023</v>
      </c>
      <c r="F1961" s="8">
        <v>1.0662078904667249</v>
      </c>
      <c r="G1961" s="8">
        <f t="shared" si="240"/>
        <v>1.1888530150581333</v>
      </c>
      <c r="H1961" s="8">
        <f t="shared" si="241"/>
        <v>1.1117277071898135</v>
      </c>
      <c r="I1961" s="8">
        <f t="shared" si="242"/>
        <v>0.93512628820262655</v>
      </c>
      <c r="J1961" s="22">
        <f t="shared" si="243"/>
        <v>-9.6766881694130794E-2</v>
      </c>
      <c r="K1961" s="8"/>
      <c r="L1961" s="8">
        <v>1.0799217103162719</v>
      </c>
      <c r="M1961" s="8">
        <v>1.2824121906944386</v>
      </c>
      <c r="N1961" s="8">
        <v>1.1320945748609481</v>
      </c>
      <c r="O1961" s="8">
        <v>1.2811509350363746</v>
      </c>
      <c r="P1961" s="8">
        <f t="shared" si="244"/>
        <v>1.1811669505053553</v>
      </c>
      <c r="Q1961" s="8">
        <f t="shared" si="245"/>
        <v>1.2066227549486612</v>
      </c>
      <c r="R1961" s="8">
        <f t="shared" si="246"/>
        <v>1.0215514025620298</v>
      </c>
      <c r="S1961" s="22">
        <f t="shared" si="247"/>
        <v>3.0761799622335974E-2</v>
      </c>
      <c r="T1961" s="25"/>
      <c r="U1961" s="1" t="s">
        <v>5559</v>
      </c>
    </row>
    <row r="1962" spans="1:21">
      <c r="A1962" s="6" t="s">
        <v>5560</v>
      </c>
      <c r="B1962" s="6" t="s">
        <v>5561</v>
      </c>
      <c r="C1962" s="7">
        <v>1.0533877729178223</v>
      </c>
      <c r="D1962" s="7">
        <v>0.97060232247904488</v>
      </c>
      <c r="E1962" s="7">
        <v>1.0462807891564017</v>
      </c>
      <c r="F1962" s="8">
        <v>1.0603152984074948</v>
      </c>
      <c r="G1962" s="8">
        <f t="shared" si="240"/>
        <v>1.0119950476984336</v>
      </c>
      <c r="H1962" s="8">
        <f t="shared" si="241"/>
        <v>1.0532980437819481</v>
      </c>
      <c r="I1962" s="8">
        <f t="shared" si="242"/>
        <v>1.0408134369604372</v>
      </c>
      <c r="J1962" s="22">
        <f t="shared" si="243"/>
        <v>5.7711492563285699E-2</v>
      </c>
      <c r="K1962" s="8"/>
      <c r="L1962" s="8">
        <v>1.4032652429895236</v>
      </c>
      <c r="M1962" s="8">
        <v>1.2923483078461577</v>
      </c>
      <c r="N1962" s="8">
        <v>1.5590585467077398</v>
      </c>
      <c r="O1962" s="8">
        <v>1.2017966349375273</v>
      </c>
      <c r="P1962" s="8">
        <f t="shared" si="244"/>
        <v>1.3478067754178407</v>
      </c>
      <c r="Q1962" s="8">
        <f t="shared" si="245"/>
        <v>1.3804275908226336</v>
      </c>
      <c r="R1962" s="8">
        <f t="shared" si="246"/>
        <v>1.0242028872385509</v>
      </c>
      <c r="S1962" s="22">
        <f t="shared" si="247"/>
        <v>3.4501531177445373E-2</v>
      </c>
      <c r="T1962" s="25"/>
      <c r="U1962" s="1" t="s">
        <v>5562</v>
      </c>
    </row>
    <row r="1963" spans="1:21">
      <c r="A1963" s="6" t="s">
        <v>5563</v>
      </c>
      <c r="B1963" s="13" t="s">
        <v>5564</v>
      </c>
      <c r="C1963" s="14">
        <v>1.1001669692177658</v>
      </c>
      <c r="D1963" s="14">
        <v>1.1983419063595038</v>
      </c>
      <c r="E1963" s="14">
        <v>1.0843601857241063</v>
      </c>
      <c r="F1963" s="8">
        <v>1.1233335407577698</v>
      </c>
      <c r="G1963" s="8">
        <f t="shared" si="240"/>
        <v>1.1492544377886347</v>
      </c>
      <c r="H1963" s="8">
        <f t="shared" si="241"/>
        <v>1.1038468632409382</v>
      </c>
      <c r="I1963" s="8">
        <f t="shared" si="242"/>
        <v>0.96048953734295028</v>
      </c>
      <c r="J1963" s="22">
        <f t="shared" si="243"/>
        <v>-5.8158196254917006E-2</v>
      </c>
      <c r="K1963" s="8"/>
      <c r="L1963" s="8">
        <v>1.1389364263178663</v>
      </c>
      <c r="M1963" s="8">
        <v>0.95186136375977659</v>
      </c>
      <c r="N1963" s="8">
        <v>1.0167723877184609</v>
      </c>
      <c r="O1963" s="8">
        <v>0.95745683501901857</v>
      </c>
      <c r="P1963" s="8">
        <f t="shared" si="244"/>
        <v>1.0453988950388213</v>
      </c>
      <c r="Q1963" s="8">
        <f t="shared" si="245"/>
        <v>0.98711461136873968</v>
      </c>
      <c r="R1963" s="8">
        <f t="shared" si="246"/>
        <v>0.94424684783322133</v>
      </c>
      <c r="S1963" s="22">
        <f t="shared" si="247"/>
        <v>-8.2764032343672633E-2</v>
      </c>
      <c r="T1963" s="25"/>
      <c r="U1963" s="1" t="s">
        <v>5565</v>
      </c>
    </row>
    <row r="1964" spans="1:21">
      <c r="A1964" s="6" t="s">
        <v>5566</v>
      </c>
      <c r="B1964" s="13" t="s">
        <v>5567</v>
      </c>
      <c r="C1964" s="14">
        <v>1.2202835296958614</v>
      </c>
      <c r="D1964" s="14">
        <v>1.1818194503319366</v>
      </c>
      <c r="E1964" s="14">
        <v>1.2418053114837881</v>
      </c>
      <c r="F1964" s="8">
        <v>1.026399962293119</v>
      </c>
      <c r="G1964" s="8">
        <f t="shared" si="240"/>
        <v>1.2010514900138989</v>
      </c>
      <c r="H1964" s="8">
        <f t="shared" si="241"/>
        <v>1.1341026368884535</v>
      </c>
      <c r="I1964" s="8">
        <f t="shared" si="242"/>
        <v>0.94425813240973488</v>
      </c>
      <c r="J1964" s="22">
        <f t="shared" si="243"/>
        <v>-8.274679097788841E-2</v>
      </c>
      <c r="K1964" s="8"/>
      <c r="L1964" s="8">
        <v>0.60271158342273456</v>
      </c>
      <c r="M1964" s="8">
        <v>0.68405268503667549</v>
      </c>
      <c r="N1964" s="8">
        <v>0.79870243658949458</v>
      </c>
      <c r="O1964" s="8">
        <v>0.6713731010292191</v>
      </c>
      <c r="P1964" s="8">
        <f t="shared" si="244"/>
        <v>0.64338213422970503</v>
      </c>
      <c r="Q1964" s="8">
        <f t="shared" si="245"/>
        <v>0.73503776880935678</v>
      </c>
      <c r="R1964" s="8">
        <f t="shared" si="246"/>
        <v>1.1424590918885047</v>
      </c>
      <c r="S1964" s="22">
        <f t="shared" si="247"/>
        <v>0.19214250752736836</v>
      </c>
      <c r="T1964" s="25"/>
      <c r="U1964" s="1" t="s">
        <v>5568</v>
      </c>
    </row>
    <row r="1965" spans="1:21">
      <c r="A1965" s="6" t="s">
        <v>5569</v>
      </c>
      <c r="B1965" s="13" t="s">
        <v>5570</v>
      </c>
      <c r="C1965" s="14">
        <v>1.1997353740272734</v>
      </c>
      <c r="D1965" s="14">
        <v>1.3032587024028979</v>
      </c>
      <c r="E1965" s="14">
        <v>1.1955472775495499</v>
      </c>
      <c r="F1965" s="8">
        <v>1.2750568090250074</v>
      </c>
      <c r="G1965" s="8">
        <f t="shared" si="240"/>
        <v>1.2514970382150856</v>
      </c>
      <c r="H1965" s="8">
        <f t="shared" si="241"/>
        <v>1.2353020432872786</v>
      </c>
      <c r="I1965" s="8">
        <f t="shared" si="242"/>
        <v>0.98705950199378434</v>
      </c>
      <c r="J1965" s="22">
        <f t="shared" si="243"/>
        <v>-1.8791038935274316E-2</v>
      </c>
      <c r="K1965" s="8"/>
      <c r="L1965" s="8">
        <v>0.46873865959653443</v>
      </c>
      <c r="M1965" s="8">
        <v>0.5478392480271902</v>
      </c>
      <c r="N1965" s="8">
        <v>0.68105794607134829</v>
      </c>
      <c r="O1965" s="8">
        <v>0.57466802148753693</v>
      </c>
      <c r="P1965" s="8">
        <f t="shared" si="244"/>
        <v>0.50828895381186234</v>
      </c>
      <c r="Q1965" s="8">
        <f t="shared" si="245"/>
        <v>0.62786298377944261</v>
      </c>
      <c r="R1965" s="8">
        <f t="shared" si="246"/>
        <v>1.2352481380341767</v>
      </c>
      <c r="S1965" s="22">
        <f t="shared" si="247"/>
        <v>0.30480088112370834</v>
      </c>
      <c r="T1965" s="25"/>
      <c r="U1965" s="1" t="s">
        <v>5571</v>
      </c>
    </row>
    <row r="1966" spans="1:21">
      <c r="A1966" s="6" t="s">
        <v>5572</v>
      </c>
      <c r="B1966" s="13" t="s">
        <v>80</v>
      </c>
      <c r="C1966" s="14">
        <v>1.1950414784154559</v>
      </c>
      <c r="D1966" s="14">
        <v>1.2138007192836504</v>
      </c>
      <c r="E1966" s="14">
        <v>1.1068874583875736</v>
      </c>
      <c r="F1966" s="8">
        <v>1.0826123047240148</v>
      </c>
      <c r="G1966" s="8">
        <f t="shared" si="240"/>
        <v>1.2044210988495532</v>
      </c>
      <c r="H1966" s="8">
        <f t="shared" si="241"/>
        <v>1.0947498815557943</v>
      </c>
      <c r="I1966" s="8">
        <f t="shared" si="242"/>
        <v>0.90894279633716535</v>
      </c>
      <c r="J1966" s="22">
        <f t="shared" si="243"/>
        <v>-0.13773859258848642</v>
      </c>
      <c r="K1966" s="8"/>
      <c r="L1966" s="8">
        <v>0.85062098314233525</v>
      </c>
      <c r="M1966" s="8">
        <v>1.1321109256106845</v>
      </c>
      <c r="N1966" s="8">
        <v>1.3488051288919676</v>
      </c>
      <c r="O1966" s="8">
        <v>1.0216036872532637</v>
      </c>
      <c r="P1966" s="8">
        <f t="shared" si="244"/>
        <v>0.99136595437650987</v>
      </c>
      <c r="Q1966" s="8">
        <f t="shared" si="245"/>
        <v>1.1852044080726156</v>
      </c>
      <c r="R1966" s="8">
        <f t="shared" si="246"/>
        <v>1.1955266396232203</v>
      </c>
      <c r="S1966" s="22">
        <f t="shared" si="247"/>
        <v>0.25764627762303566</v>
      </c>
      <c r="T1966" s="25"/>
      <c r="U1966" s="1">
        <v>0</v>
      </c>
    </row>
    <row r="1967" spans="1:21">
      <c r="A1967" s="6" t="s">
        <v>5573</v>
      </c>
      <c r="B1967" s="13" t="s">
        <v>5574</v>
      </c>
      <c r="C1967" s="14">
        <v>0.62733876813887601</v>
      </c>
      <c r="D1967" s="14">
        <v>0.68154731247885869</v>
      </c>
      <c r="E1967" s="14">
        <v>0.87575831888214861</v>
      </c>
      <c r="F1967" s="8">
        <v>0.88166701187855945</v>
      </c>
      <c r="G1967" s="8">
        <f t="shared" si="240"/>
        <v>0.65444304030886735</v>
      </c>
      <c r="H1967" s="8">
        <f t="shared" si="241"/>
        <v>0.87871266538035409</v>
      </c>
      <c r="I1967" s="8">
        <f t="shared" si="242"/>
        <v>1.3426877684659029</v>
      </c>
      <c r="J1967" s="22">
        <f t="shared" si="243"/>
        <v>0.42512385632405136</v>
      </c>
      <c r="K1967" s="8"/>
      <c r="L1967" s="8">
        <v>1.2307423837106692</v>
      </c>
      <c r="M1967" s="8">
        <v>1.1840306363612179</v>
      </c>
      <c r="N1967" s="8">
        <v>1.4328045412359305</v>
      </c>
      <c r="O1967" s="8">
        <v>1.4064848006587343</v>
      </c>
      <c r="P1967" s="8">
        <f t="shared" si="244"/>
        <v>1.2073865100359435</v>
      </c>
      <c r="Q1967" s="8">
        <f t="shared" si="245"/>
        <v>1.4196446709473323</v>
      </c>
      <c r="R1967" s="8">
        <f t="shared" si="246"/>
        <v>1.1757996790150238</v>
      </c>
      <c r="S1967" s="22">
        <f t="shared" si="247"/>
        <v>0.23364228916334576</v>
      </c>
      <c r="T1967" s="25"/>
      <c r="U1967" s="1" t="s">
        <v>5575</v>
      </c>
    </row>
    <row r="1968" spans="1:21">
      <c r="A1968" s="6" t="s">
        <v>5576</v>
      </c>
      <c r="B1968" s="6" t="s">
        <v>5577</v>
      </c>
      <c r="C1968" s="7">
        <v>1.0471419247860523</v>
      </c>
      <c r="D1968" s="7">
        <v>1.1746218654215734</v>
      </c>
      <c r="E1968" s="7">
        <v>1.0768595701081662</v>
      </c>
      <c r="F1968" s="8">
        <v>1.0796177087594883</v>
      </c>
      <c r="G1968" s="8">
        <f t="shared" si="240"/>
        <v>1.1108818951038129</v>
      </c>
      <c r="H1968" s="8">
        <f t="shared" si="241"/>
        <v>1.0782386394338273</v>
      </c>
      <c r="I1968" s="8">
        <f t="shared" si="242"/>
        <v>0.97061500793751343</v>
      </c>
      <c r="J1968" s="22">
        <f t="shared" si="243"/>
        <v>-4.3028927233603069E-2</v>
      </c>
      <c r="K1968" s="8"/>
      <c r="L1968" s="8">
        <v>0.87356057436230983</v>
      </c>
      <c r="M1968" s="8">
        <v>0.85557898910649655</v>
      </c>
      <c r="N1968" s="8">
        <v>1.5512986549402934</v>
      </c>
      <c r="O1968" s="8">
        <v>1.0849340322196106</v>
      </c>
      <c r="P1968" s="8">
        <f t="shared" si="244"/>
        <v>0.86456978173440313</v>
      </c>
      <c r="Q1968" s="8">
        <f t="shared" si="245"/>
        <v>1.3181163435799519</v>
      </c>
      <c r="R1968" s="8">
        <f t="shared" si="246"/>
        <v>1.5245921976774326</v>
      </c>
      <c r="S1968" s="22">
        <f t="shared" si="247"/>
        <v>0.6084233980420114</v>
      </c>
      <c r="T1968" s="25"/>
      <c r="U1968" s="1" t="s">
        <v>5578</v>
      </c>
    </row>
    <row r="1969" spans="1:21">
      <c r="A1969" s="6" t="s">
        <v>5579</v>
      </c>
      <c r="B1969" s="13" t="s">
        <v>5580</v>
      </c>
      <c r="C1969" s="14">
        <v>1.1257741857969836</v>
      </c>
      <c r="D1969" s="14">
        <v>1.1934715405701579</v>
      </c>
      <c r="E1969" s="14">
        <v>1.1617648438262311</v>
      </c>
      <c r="F1969" s="8">
        <v>1.2111516042336266</v>
      </c>
      <c r="G1969" s="8">
        <f t="shared" si="240"/>
        <v>1.1596228631835708</v>
      </c>
      <c r="H1969" s="8">
        <f t="shared" si="241"/>
        <v>1.1864582240299288</v>
      </c>
      <c r="I1969" s="8">
        <f t="shared" si="242"/>
        <v>1.0231414554665519</v>
      </c>
      <c r="J1969" s="22">
        <f t="shared" si="243"/>
        <v>3.3005620148742025E-2</v>
      </c>
      <c r="K1969" s="8"/>
      <c r="L1969" s="8">
        <v>1.0741630162548261</v>
      </c>
      <c r="M1969" s="8">
        <v>0.95428708250104144</v>
      </c>
      <c r="N1969" s="8">
        <v>1.082136731511403</v>
      </c>
      <c r="O1969" s="8">
        <v>0.94189216522471086</v>
      </c>
      <c r="P1969" s="8">
        <f t="shared" si="244"/>
        <v>1.0142250493779339</v>
      </c>
      <c r="Q1969" s="8">
        <f t="shared" si="245"/>
        <v>1.0120144483680569</v>
      </c>
      <c r="R1969" s="8">
        <f t="shared" si="246"/>
        <v>0.99782040385293891</v>
      </c>
      <c r="S1969" s="22">
        <f t="shared" si="247"/>
        <v>-3.1479244020358259E-3</v>
      </c>
      <c r="T1969" s="25"/>
      <c r="U1969" s="1" t="s">
        <v>5581</v>
      </c>
    </row>
    <row r="1970" spans="1:21">
      <c r="A1970" s="6" t="s">
        <v>5582</v>
      </c>
      <c r="B1970" s="6" t="s">
        <v>5583</v>
      </c>
      <c r="C1970" s="7">
        <v>1.107401806700486</v>
      </c>
      <c r="D1970" s="7">
        <v>1.2026684546222888</v>
      </c>
      <c r="E1970" s="7">
        <v>1.1101928144217168</v>
      </c>
      <c r="F1970" s="8">
        <v>1.1657057563848707</v>
      </c>
      <c r="G1970" s="8">
        <f t="shared" si="240"/>
        <v>1.1550351306613873</v>
      </c>
      <c r="H1970" s="8">
        <f t="shared" si="241"/>
        <v>1.1379492854032938</v>
      </c>
      <c r="I1970" s="8">
        <f t="shared" si="242"/>
        <v>0.98520751031329246</v>
      </c>
      <c r="J1970" s="22">
        <f t="shared" si="243"/>
        <v>-2.150046923233568E-2</v>
      </c>
      <c r="K1970" s="8"/>
      <c r="L1970" s="8">
        <v>1.1978083647807471</v>
      </c>
      <c r="M1970" s="8">
        <v>1.1022559257181945</v>
      </c>
      <c r="N1970" s="8">
        <v>1.3540161511007636</v>
      </c>
      <c r="O1970" s="8">
        <v>1.0902413294609483</v>
      </c>
      <c r="P1970" s="8">
        <f t="shared" si="244"/>
        <v>1.1500321452494708</v>
      </c>
      <c r="Q1970" s="8">
        <f t="shared" si="245"/>
        <v>1.2221287402808558</v>
      </c>
      <c r="R1970" s="8">
        <f t="shared" si="246"/>
        <v>1.0626909389700105</v>
      </c>
      <c r="S1970" s="22">
        <f t="shared" si="247"/>
        <v>8.7722080738741687E-2</v>
      </c>
      <c r="T1970" s="25"/>
      <c r="U1970" s="1" t="s">
        <v>5584</v>
      </c>
    </row>
    <row r="1971" spans="1:21">
      <c r="A1971" s="6" t="s">
        <v>5585</v>
      </c>
      <c r="B1971" s="6" t="s">
        <v>80</v>
      </c>
      <c r="C1971" s="7">
        <v>1.2175904356171201</v>
      </c>
      <c r="D1971" s="7">
        <v>1.2610648601950354</v>
      </c>
      <c r="E1971" s="7">
        <v>1.1732912135863198</v>
      </c>
      <c r="F1971" s="8">
        <v>1.0561878494241297</v>
      </c>
      <c r="G1971" s="8">
        <f t="shared" si="240"/>
        <v>1.2393276479060777</v>
      </c>
      <c r="H1971" s="8">
        <f t="shared" si="241"/>
        <v>1.1147395315052249</v>
      </c>
      <c r="I1971" s="8">
        <f t="shared" si="242"/>
        <v>0.89947120391338609</v>
      </c>
      <c r="J1971" s="22">
        <f t="shared" si="243"/>
        <v>-0.15285099977675465</v>
      </c>
      <c r="K1971" s="8"/>
      <c r="L1971" s="8">
        <v>0.93733454165435537</v>
      </c>
      <c r="M1971" s="8">
        <v>1.1323441677973447</v>
      </c>
      <c r="N1971" s="8">
        <v>1.4770415884649493</v>
      </c>
      <c r="O1971" s="8">
        <v>1.3007981411701728</v>
      </c>
      <c r="P1971" s="8">
        <f t="shared" si="244"/>
        <v>1.0348393547258501</v>
      </c>
      <c r="Q1971" s="8">
        <f t="shared" si="245"/>
        <v>1.3889198648175611</v>
      </c>
      <c r="R1971" s="8">
        <f t="shared" si="246"/>
        <v>1.3421598806372359</v>
      </c>
      <c r="S1971" s="22">
        <f t="shared" si="247"/>
        <v>0.42455653835155355</v>
      </c>
      <c r="T1971" s="25"/>
      <c r="U1971" s="1">
        <v>0</v>
      </c>
    </row>
    <row r="1972" spans="1:21">
      <c r="A1972" s="6" t="s">
        <v>5586</v>
      </c>
      <c r="B1972" s="6" t="s">
        <v>80</v>
      </c>
      <c r="C1972" s="7">
        <v>1.1134802874036338</v>
      </c>
      <c r="D1972" s="7">
        <v>1.2646556553336501</v>
      </c>
      <c r="E1972" s="7">
        <v>1.2390338975782373</v>
      </c>
      <c r="F1972" s="8">
        <v>1.1585837114369786</v>
      </c>
      <c r="G1972" s="8">
        <f t="shared" si="240"/>
        <v>1.1890679713686421</v>
      </c>
      <c r="H1972" s="8">
        <f t="shared" si="241"/>
        <v>1.198808804507608</v>
      </c>
      <c r="I1972" s="8">
        <f t="shared" si="242"/>
        <v>1.0081919901750898</v>
      </c>
      <c r="J1972" s="22">
        <f t="shared" si="243"/>
        <v>1.177039766604453E-2</v>
      </c>
      <c r="K1972" s="8"/>
      <c r="L1972" s="8">
        <v>1.2795723019506982</v>
      </c>
      <c r="M1972" s="8">
        <v>1.2943075422141024</v>
      </c>
      <c r="N1972" s="8">
        <v>1.9246230829639341</v>
      </c>
      <c r="O1972" s="8">
        <v>1.6778714038263678</v>
      </c>
      <c r="P1972" s="8">
        <f t="shared" si="244"/>
        <v>1.2869399220824003</v>
      </c>
      <c r="Q1972" s="8">
        <f t="shared" si="245"/>
        <v>1.801247243395151</v>
      </c>
      <c r="R1972" s="8">
        <f t="shared" si="246"/>
        <v>1.3996358435136187</v>
      </c>
      <c r="S1972" s="22">
        <f t="shared" si="247"/>
        <v>0.48505151638745558</v>
      </c>
      <c r="T1972" s="25"/>
      <c r="U1972" s="1">
        <v>0</v>
      </c>
    </row>
    <row r="1973" spans="1:21">
      <c r="A1973" s="6" t="s">
        <v>5587</v>
      </c>
      <c r="B1973" s="13" t="s">
        <v>5588</v>
      </c>
      <c r="C1973" s="14">
        <v>1.153237659311831</v>
      </c>
      <c r="D1973" s="14">
        <v>1.0917056872541893</v>
      </c>
      <c r="E1973" s="14">
        <v>1.005099443079732</v>
      </c>
      <c r="F1973" s="8">
        <v>1.0304044659876181</v>
      </c>
      <c r="G1973" s="8">
        <f t="shared" si="240"/>
        <v>1.1224716732830102</v>
      </c>
      <c r="H1973" s="8">
        <f t="shared" si="241"/>
        <v>1.0177519545336751</v>
      </c>
      <c r="I1973" s="8">
        <f t="shared" si="242"/>
        <v>0.9067061367855721</v>
      </c>
      <c r="J1973" s="22">
        <f t="shared" si="243"/>
        <v>-0.1412930454528423</v>
      </c>
      <c r="K1973" s="8"/>
      <c r="L1973" s="8">
        <v>1.3812775020276393</v>
      </c>
      <c r="M1973" s="8">
        <v>1.0686690508391434</v>
      </c>
      <c r="N1973" s="8">
        <v>1.3136307289825939</v>
      </c>
      <c r="O1973" s="8">
        <v>1.4303166065405102</v>
      </c>
      <c r="P1973" s="8">
        <f t="shared" si="244"/>
        <v>1.2249732764333914</v>
      </c>
      <c r="Q1973" s="8">
        <f t="shared" si="245"/>
        <v>1.3719736677615519</v>
      </c>
      <c r="R1973" s="8">
        <f t="shared" si="246"/>
        <v>1.1200029373344078</v>
      </c>
      <c r="S1973" s="22">
        <f t="shared" si="247"/>
        <v>0.16350251591879611</v>
      </c>
      <c r="T1973" s="25"/>
      <c r="U1973" s="1" t="s">
        <v>5589</v>
      </c>
    </row>
    <row r="1974" spans="1:21">
      <c r="A1974" s="6" t="s">
        <v>5590</v>
      </c>
      <c r="B1974" s="6" t="s">
        <v>5591</v>
      </c>
      <c r="C1974" s="7">
        <v>1.0056195872669285</v>
      </c>
      <c r="D1974" s="7">
        <v>1.0867953348820083</v>
      </c>
      <c r="E1974" s="7">
        <v>0.90816775856051557</v>
      </c>
      <c r="F1974" s="8">
        <v>0.96700860596439708</v>
      </c>
      <c r="G1974" s="8">
        <f t="shared" si="240"/>
        <v>1.0462074610744683</v>
      </c>
      <c r="H1974" s="8">
        <f t="shared" si="241"/>
        <v>0.93758818226245633</v>
      </c>
      <c r="I1974" s="8">
        <f t="shared" si="242"/>
        <v>0.89617806902231556</v>
      </c>
      <c r="J1974" s="22">
        <f t="shared" si="243"/>
        <v>-0.1581426731278997</v>
      </c>
      <c r="K1974" s="8"/>
      <c r="L1974" s="8">
        <v>1.1774387692576163</v>
      </c>
      <c r="M1974" s="8">
        <v>1.0296709572295784</v>
      </c>
      <c r="N1974" s="8">
        <v>1.0668435141595014</v>
      </c>
      <c r="O1974" s="8">
        <v>0.85197430234743177</v>
      </c>
      <c r="P1974" s="8">
        <f t="shared" si="244"/>
        <v>1.1035548632435974</v>
      </c>
      <c r="Q1974" s="8">
        <f t="shared" si="245"/>
        <v>0.95940890825346659</v>
      </c>
      <c r="R1974" s="8">
        <f t="shared" si="246"/>
        <v>0.86938034547149445</v>
      </c>
      <c r="S1974" s="22">
        <f t="shared" si="247"/>
        <v>-0.20194061465131227</v>
      </c>
      <c r="T1974" s="25"/>
      <c r="U1974" s="1" t="s">
        <v>5592</v>
      </c>
    </row>
    <row r="1975" spans="1:21">
      <c r="A1975" s="6" t="s">
        <v>5593</v>
      </c>
      <c r="B1975" s="13" t="s">
        <v>5594</v>
      </c>
      <c r="C1975" s="14">
        <v>1.0586294164778582</v>
      </c>
      <c r="D1975" s="14">
        <v>1.0898503098106291</v>
      </c>
      <c r="E1975" s="14">
        <v>1.2914365036272286</v>
      </c>
      <c r="F1975" s="8">
        <v>1.3172358249124616</v>
      </c>
      <c r="G1975" s="8">
        <f t="shared" si="240"/>
        <v>1.0742398631442436</v>
      </c>
      <c r="H1975" s="8">
        <f t="shared" si="241"/>
        <v>1.304336164269845</v>
      </c>
      <c r="I1975" s="8">
        <f t="shared" si="242"/>
        <v>1.2141945286335973</v>
      </c>
      <c r="J1975" s="22">
        <f t="shared" si="243"/>
        <v>0.27999957728750074</v>
      </c>
      <c r="K1975" s="8"/>
      <c r="L1975" s="8">
        <v>0.96351042375183671</v>
      </c>
      <c r="M1975" s="8">
        <v>0.82110579391813709</v>
      </c>
      <c r="N1975" s="8">
        <v>0.77933102794375264</v>
      </c>
      <c r="O1975" s="8">
        <v>0.79583942767943683</v>
      </c>
      <c r="P1975" s="8">
        <f t="shared" si="244"/>
        <v>0.8923081088349869</v>
      </c>
      <c r="Q1975" s="8">
        <f t="shared" si="245"/>
        <v>0.78758522781159468</v>
      </c>
      <c r="R1975" s="8">
        <f t="shared" si="246"/>
        <v>0.88263820536146398</v>
      </c>
      <c r="S1975" s="22">
        <f t="shared" si="247"/>
        <v>-0.18010589856758882</v>
      </c>
      <c r="T1975" s="25"/>
      <c r="U1975" s="1" t="s">
        <v>5595</v>
      </c>
    </row>
    <row r="1976" spans="1:21">
      <c r="A1976" s="6" t="s">
        <v>5596</v>
      </c>
      <c r="B1976" s="13" t="s">
        <v>5597</v>
      </c>
      <c r="C1976" s="14">
        <v>0.99354630957494439</v>
      </c>
      <c r="D1976" s="14">
        <v>1.0627474039648281</v>
      </c>
      <c r="E1976" s="14">
        <v>0.92861011434090812</v>
      </c>
      <c r="F1976" s="8">
        <v>0.92072848651262051</v>
      </c>
      <c r="G1976" s="8">
        <f t="shared" si="240"/>
        <v>1.0281468567698862</v>
      </c>
      <c r="H1976" s="8">
        <f t="shared" si="241"/>
        <v>0.92466930042676432</v>
      </c>
      <c r="I1976" s="8">
        <f t="shared" si="242"/>
        <v>0.89935527628006784</v>
      </c>
      <c r="J1976" s="22">
        <f t="shared" si="243"/>
        <v>-0.15303695236724996</v>
      </c>
      <c r="K1976" s="8"/>
      <c r="L1976" s="8">
        <v>0.86080578090390081</v>
      </c>
      <c r="M1976" s="8">
        <v>0.91281662171287958</v>
      </c>
      <c r="N1976" s="8">
        <v>0.82702320946338626</v>
      </c>
      <c r="O1976" s="8">
        <v>1.0266558259733831</v>
      </c>
      <c r="P1976" s="8">
        <f t="shared" si="244"/>
        <v>0.8868112013083902</v>
      </c>
      <c r="Q1976" s="8">
        <f t="shared" si="245"/>
        <v>0.92683951771838469</v>
      </c>
      <c r="R1976" s="8">
        <f t="shared" si="246"/>
        <v>1.0451373599599747</v>
      </c>
      <c r="S1976" s="22">
        <f t="shared" si="247"/>
        <v>6.3692564803850063E-2</v>
      </c>
      <c r="T1976" s="25"/>
      <c r="U1976" s="1" t="s">
        <v>5598</v>
      </c>
    </row>
    <row r="1977" spans="1:21">
      <c r="A1977" s="6" t="s">
        <v>5599</v>
      </c>
      <c r="B1977" s="13" t="s">
        <v>5600</v>
      </c>
      <c r="C1977" s="14">
        <v>1.114956163819667</v>
      </c>
      <c r="D1977" s="14">
        <v>1.1832909565802776</v>
      </c>
      <c r="E1977" s="14">
        <v>1.0668333234712657</v>
      </c>
      <c r="F1977" s="8">
        <v>1.1576791853831774</v>
      </c>
      <c r="G1977" s="8">
        <f t="shared" si="240"/>
        <v>1.1491235601999723</v>
      </c>
      <c r="H1977" s="8">
        <f t="shared" si="241"/>
        <v>1.1122562544272214</v>
      </c>
      <c r="I1977" s="8">
        <f t="shared" si="242"/>
        <v>0.96791702211176045</v>
      </c>
      <c r="J1977" s="22">
        <f t="shared" si="243"/>
        <v>-4.7044721890658343E-2</v>
      </c>
      <c r="K1977" s="8"/>
      <c r="L1977" s="8">
        <v>1.0929144663392036</v>
      </c>
      <c r="M1977" s="8">
        <v>1.4433026510525599</v>
      </c>
      <c r="N1977" s="8">
        <v>1.0659938909732847</v>
      </c>
      <c r="O1977" s="8">
        <v>1.1669419809391268</v>
      </c>
      <c r="P1977" s="8">
        <f t="shared" si="244"/>
        <v>1.2681085586958818</v>
      </c>
      <c r="Q1977" s="8">
        <f t="shared" si="245"/>
        <v>1.1164679359562057</v>
      </c>
      <c r="R1977" s="8">
        <f t="shared" si="246"/>
        <v>0.88041984126688433</v>
      </c>
      <c r="S1977" s="22">
        <f t="shared" si="247"/>
        <v>-0.1837364365106986</v>
      </c>
      <c r="T1977" s="25"/>
      <c r="U1977" s="1" t="s">
        <v>5601</v>
      </c>
    </row>
    <row r="1978" spans="1:21">
      <c r="A1978" s="6" t="s">
        <v>5602</v>
      </c>
      <c r="B1978" s="13" t="s">
        <v>5603</v>
      </c>
      <c r="C1978" s="14">
        <v>0.93457972142713774</v>
      </c>
      <c r="D1978" s="14">
        <v>1.1961506416201264</v>
      </c>
      <c r="E1978" s="14">
        <v>1.0192955234827823</v>
      </c>
      <c r="F1978" s="8">
        <v>1.0045771735193685</v>
      </c>
      <c r="G1978" s="8">
        <f t="shared" si="240"/>
        <v>1.065365181523632</v>
      </c>
      <c r="H1978" s="8">
        <f t="shared" si="241"/>
        <v>1.0119363485010755</v>
      </c>
      <c r="I1978" s="8">
        <f t="shared" si="242"/>
        <v>0.94984927802301056</v>
      </c>
      <c r="J1978" s="22">
        <f t="shared" si="243"/>
        <v>-7.4229489970076487E-2</v>
      </c>
      <c r="K1978" s="8"/>
      <c r="L1978" s="8">
        <v>1.4367227795613953</v>
      </c>
      <c r="M1978" s="8">
        <v>1.4719447915744175</v>
      </c>
      <c r="N1978" s="8">
        <v>1.6126414489851428</v>
      </c>
      <c r="O1978" s="8">
        <v>1.1504587404684339</v>
      </c>
      <c r="P1978" s="8">
        <f t="shared" si="244"/>
        <v>1.4543337855679064</v>
      </c>
      <c r="Q1978" s="8">
        <f t="shared" si="245"/>
        <v>1.3815500947267885</v>
      </c>
      <c r="R1978" s="8">
        <f t="shared" si="246"/>
        <v>0.94995392972136972</v>
      </c>
      <c r="S1978" s="22">
        <f t="shared" si="247"/>
        <v>-7.4070546679760291E-2</v>
      </c>
      <c r="T1978" s="25"/>
      <c r="U1978" s="1" t="s">
        <v>5604</v>
      </c>
    </row>
    <row r="1979" spans="1:21">
      <c r="A1979" s="6" t="s">
        <v>5605</v>
      </c>
      <c r="B1979" s="13" t="s">
        <v>5606</v>
      </c>
      <c r="C1979" s="14">
        <v>0.99547864261449315</v>
      </c>
      <c r="D1979" s="14">
        <v>1.1214956914665259</v>
      </c>
      <c r="E1979" s="14">
        <v>0.94484873526762136</v>
      </c>
      <c r="F1979" s="8">
        <v>1.1289099877884867</v>
      </c>
      <c r="G1979" s="8">
        <f t="shared" si="240"/>
        <v>1.0584871670405096</v>
      </c>
      <c r="H1979" s="8">
        <f t="shared" si="241"/>
        <v>1.036879361528054</v>
      </c>
      <c r="I1979" s="8">
        <f t="shared" si="242"/>
        <v>0.97958614314345427</v>
      </c>
      <c r="J1979" s="22">
        <f t="shared" si="243"/>
        <v>-2.9755728661680209E-2</v>
      </c>
      <c r="K1979" s="8"/>
      <c r="L1979" s="8">
        <v>1.250350499027328</v>
      </c>
      <c r="M1979" s="8">
        <v>0.9503219653278201</v>
      </c>
      <c r="N1979" s="8">
        <v>0.9774065134237514</v>
      </c>
      <c r="O1979" s="8">
        <v>0.8499840658819301</v>
      </c>
      <c r="P1979" s="8">
        <f t="shared" si="244"/>
        <v>1.100336232177574</v>
      </c>
      <c r="Q1979" s="8">
        <f t="shared" si="245"/>
        <v>0.91369528965284075</v>
      </c>
      <c r="R1979" s="8">
        <f t="shared" si="246"/>
        <v>0.83037826341920107</v>
      </c>
      <c r="S1979" s="22">
        <f t="shared" si="247"/>
        <v>-0.26815941572403751</v>
      </c>
      <c r="T1979" s="25"/>
      <c r="U1979" s="1" t="s">
        <v>5607</v>
      </c>
    </row>
    <row r="1980" spans="1:21">
      <c r="A1980" s="6" t="s">
        <v>5608</v>
      </c>
      <c r="B1980" s="13" t="s">
        <v>5609</v>
      </c>
      <c r="C1980" s="14">
        <v>0.16912478662287297</v>
      </c>
      <c r="D1980" s="14">
        <v>0.2052271377441561</v>
      </c>
      <c r="E1980" s="14">
        <v>0.91642267337399086</v>
      </c>
      <c r="F1980" s="8">
        <v>1.0629059312800326</v>
      </c>
      <c r="G1980" s="8">
        <f t="shared" si="240"/>
        <v>0.18717596218351454</v>
      </c>
      <c r="H1980" s="8">
        <f t="shared" si="241"/>
        <v>0.98966430232701175</v>
      </c>
      <c r="I1980" s="8">
        <f t="shared" si="242"/>
        <v>5.2873472147919651</v>
      </c>
      <c r="J1980" s="22">
        <f t="shared" si="243"/>
        <v>2.4025440701670311</v>
      </c>
      <c r="K1980" s="8"/>
      <c r="L1980" s="8">
        <v>0.3899254582266633</v>
      </c>
      <c r="M1980" s="8">
        <v>0.93105616070969766</v>
      </c>
      <c r="N1980" s="8">
        <v>0.46899199879164705</v>
      </c>
      <c r="O1980" s="8">
        <v>0.39840451503003294</v>
      </c>
      <c r="P1980" s="8">
        <f t="shared" si="244"/>
        <v>0.66049080946818051</v>
      </c>
      <c r="Q1980" s="8">
        <f t="shared" si="245"/>
        <v>0.43369825691083996</v>
      </c>
      <c r="R1980" s="8">
        <f t="shared" si="246"/>
        <v>0.65663026751280418</v>
      </c>
      <c r="S1980" s="22">
        <f t="shared" si="247"/>
        <v>-0.60684684210684925</v>
      </c>
      <c r="T1980" s="25"/>
      <c r="U1980" s="1" t="s">
        <v>5610</v>
      </c>
    </row>
    <row r="1981" spans="1:21">
      <c r="A1981" s="6" t="s">
        <v>5611</v>
      </c>
      <c r="B1981" s="13" t="s">
        <v>5612</v>
      </c>
      <c r="C1981" s="14">
        <v>0.25764694114330616</v>
      </c>
      <c r="D1981" s="14">
        <v>0.32172404817666805</v>
      </c>
      <c r="E1981" s="14">
        <v>0.61733880391533724</v>
      </c>
      <c r="F1981" s="8">
        <v>0.57986267313108242</v>
      </c>
      <c r="G1981" s="8">
        <f t="shared" si="240"/>
        <v>0.28968549465998711</v>
      </c>
      <c r="H1981" s="8">
        <f t="shared" si="241"/>
        <v>0.59860073852320983</v>
      </c>
      <c r="I1981" s="8">
        <f t="shared" si="242"/>
        <v>2.0663814707940631</v>
      </c>
      <c r="J1981" s="22">
        <f t="shared" si="243"/>
        <v>1.0471066120057513</v>
      </c>
      <c r="K1981" s="8"/>
      <c r="L1981" s="8">
        <v>1.126800335527216</v>
      </c>
      <c r="M1981" s="8">
        <v>1.1926605972676407</v>
      </c>
      <c r="N1981" s="8">
        <v>1.3690828022696739</v>
      </c>
      <c r="O1981" s="8">
        <v>1.2780380010775132</v>
      </c>
      <c r="P1981" s="8">
        <f t="shared" si="244"/>
        <v>1.1597304663974284</v>
      </c>
      <c r="Q1981" s="8">
        <f t="shared" si="245"/>
        <v>1.3235604016735936</v>
      </c>
      <c r="R1981" s="8">
        <f t="shared" si="246"/>
        <v>1.1412655267952772</v>
      </c>
      <c r="S1981" s="22">
        <f t="shared" si="247"/>
        <v>0.19063448805455216</v>
      </c>
      <c r="T1981" s="25"/>
      <c r="U1981" s="1" t="s">
        <v>5613</v>
      </c>
    </row>
    <row r="1982" spans="1:21">
      <c r="A1982" s="6" t="s">
        <v>5614</v>
      </c>
      <c r="B1982" s="6" t="s">
        <v>5615</v>
      </c>
      <c r="C1982" s="7">
        <v>1.0163919635818937</v>
      </c>
      <c r="D1982" s="7">
        <v>1.1302527531074678</v>
      </c>
      <c r="E1982" s="7">
        <v>0.93758542726438898</v>
      </c>
      <c r="F1982" s="8">
        <v>0.97528106754382271</v>
      </c>
      <c r="G1982" s="8">
        <f t="shared" si="240"/>
        <v>1.0733223583446807</v>
      </c>
      <c r="H1982" s="8">
        <f t="shared" si="241"/>
        <v>0.95643324740410585</v>
      </c>
      <c r="I1982" s="8">
        <f t="shared" si="242"/>
        <v>0.89109598804887868</v>
      </c>
      <c r="J1982" s="22">
        <f t="shared" si="243"/>
        <v>-0.16634724897261799</v>
      </c>
      <c r="K1982" s="8"/>
      <c r="L1982" s="8">
        <v>1.2742895330182973</v>
      </c>
      <c r="M1982" s="8">
        <v>0.81714067674491575</v>
      </c>
      <c r="N1982" s="8">
        <v>0.87165674751263966</v>
      </c>
      <c r="O1982" s="8">
        <v>0.8631502455767871</v>
      </c>
      <c r="P1982" s="8">
        <f t="shared" si="244"/>
        <v>1.0457151048816065</v>
      </c>
      <c r="Q1982" s="8">
        <f t="shared" si="245"/>
        <v>0.86740349654471338</v>
      </c>
      <c r="R1982" s="8">
        <f t="shared" si="246"/>
        <v>0.82948356822570601</v>
      </c>
      <c r="S1982" s="22">
        <f t="shared" si="247"/>
        <v>-0.26971469269849568</v>
      </c>
      <c r="T1982" s="25"/>
      <c r="U1982" s="1" t="s">
        <v>5616</v>
      </c>
    </row>
    <row r="1983" spans="1:21">
      <c r="A1983" s="6" t="s">
        <v>5617</v>
      </c>
      <c r="B1983" s="13" t="s">
        <v>5618</v>
      </c>
      <c r="C1983" s="14">
        <v>1.1339447593579106</v>
      </c>
      <c r="D1983" s="14">
        <v>1.3074013123846404</v>
      </c>
      <c r="E1983" s="14">
        <v>1.1642057221283675</v>
      </c>
      <c r="F1983" s="8">
        <v>1.2003587642324438</v>
      </c>
      <c r="G1983" s="8">
        <f t="shared" si="240"/>
        <v>1.2206730358712754</v>
      </c>
      <c r="H1983" s="8">
        <f t="shared" si="241"/>
        <v>1.1822822431804056</v>
      </c>
      <c r="I1983" s="8">
        <f t="shared" si="242"/>
        <v>0.96854948740350633</v>
      </c>
      <c r="J1983" s="22">
        <f t="shared" si="243"/>
        <v>-4.6102330614695354E-2</v>
      </c>
      <c r="K1983" s="8"/>
      <c r="L1983" s="8">
        <v>0.76143261395928064</v>
      </c>
      <c r="M1983" s="8">
        <v>1.2000776988034312</v>
      </c>
      <c r="N1983" s="8">
        <v>0.66332914225229211</v>
      </c>
      <c r="O1983" s="8">
        <v>0.60829791458409022</v>
      </c>
      <c r="P1983" s="8">
        <f t="shared" si="244"/>
        <v>0.98075515638135591</v>
      </c>
      <c r="Q1983" s="8">
        <f t="shared" si="245"/>
        <v>0.63581352841819117</v>
      </c>
      <c r="R1983" s="8">
        <f t="shared" si="246"/>
        <v>0.64828976353702905</v>
      </c>
      <c r="S1983" s="22">
        <f t="shared" si="247"/>
        <v>-0.62528930187154319</v>
      </c>
      <c r="T1983" s="25"/>
      <c r="U1983" s="1" t="s">
        <v>5619</v>
      </c>
    </row>
    <row r="1984" spans="1:21">
      <c r="A1984" s="6" t="s">
        <v>5620</v>
      </c>
      <c r="B1984" s="13" t="s">
        <v>5621</v>
      </c>
      <c r="C1984" s="14">
        <v>1.0941113113457941</v>
      </c>
      <c r="D1984" s="14">
        <v>1.2580578691658171</v>
      </c>
      <c r="E1984" s="14">
        <v>1.0559510743742406</v>
      </c>
      <c r="F1984" s="8">
        <v>1.0768338761473035</v>
      </c>
      <c r="G1984" s="8">
        <f t="shared" si="240"/>
        <v>1.1760845902558055</v>
      </c>
      <c r="H1984" s="8">
        <f t="shared" si="241"/>
        <v>1.0663924752607721</v>
      </c>
      <c r="I1984" s="8">
        <f t="shared" si="242"/>
        <v>0.90673110088860642</v>
      </c>
      <c r="J1984" s="22">
        <f t="shared" si="243"/>
        <v>-0.14125332465423743</v>
      </c>
      <c r="K1984" s="8"/>
      <c r="L1984" s="8">
        <v>0.73830265268768802</v>
      </c>
      <c r="M1984" s="8">
        <v>0.69534160687102331</v>
      </c>
      <c r="N1984" s="8">
        <v>0.69295267067838284</v>
      </c>
      <c r="O1984" s="8">
        <v>0.66433072584359787</v>
      </c>
      <c r="P1984" s="8">
        <f t="shared" si="244"/>
        <v>0.71682212977935567</v>
      </c>
      <c r="Q1984" s="8">
        <f t="shared" si="245"/>
        <v>0.67864169826099041</v>
      </c>
      <c r="R1984" s="8">
        <f t="shared" si="246"/>
        <v>0.94673653346874553</v>
      </c>
      <c r="S1984" s="22">
        <f t="shared" si="247"/>
        <v>-7.8965099755784737E-2</v>
      </c>
      <c r="T1984" s="25"/>
      <c r="U1984" s="1" t="s">
        <v>5622</v>
      </c>
    </row>
    <row r="1985" spans="1:21">
      <c r="A1985" s="6" t="s">
        <v>5623</v>
      </c>
      <c r="B1985" s="13" t="s">
        <v>5624</v>
      </c>
      <c r="C1985" s="14">
        <v>1.058766353464913</v>
      </c>
      <c r="D1985" s="14">
        <v>1.1412170741209211</v>
      </c>
      <c r="E1985" s="14">
        <v>1.1344914189086095</v>
      </c>
      <c r="F1985" s="8">
        <v>1.1168789130922943</v>
      </c>
      <c r="G1985" s="8">
        <f t="shared" si="240"/>
        <v>1.0999917137929169</v>
      </c>
      <c r="H1985" s="8">
        <f t="shared" si="241"/>
        <v>1.1256851660004519</v>
      </c>
      <c r="I1985" s="8">
        <f t="shared" si="242"/>
        <v>1.0233578597778163</v>
      </c>
      <c r="J1985" s="22">
        <f t="shared" si="243"/>
        <v>3.3310731834366621E-2</v>
      </c>
      <c r="K1985" s="8"/>
      <c r="L1985" s="8">
        <v>1.0278079086858318</v>
      </c>
      <c r="M1985" s="8">
        <v>1.3571429873003273</v>
      </c>
      <c r="N1985" s="8">
        <v>1.2995836256371438</v>
      </c>
      <c r="O1985" s="8">
        <v>0.76205643947015267</v>
      </c>
      <c r="P1985" s="8">
        <f t="shared" si="244"/>
        <v>1.1924754479930795</v>
      </c>
      <c r="Q1985" s="8">
        <f t="shared" si="245"/>
        <v>1.0308200325536483</v>
      </c>
      <c r="R1985" s="8">
        <f t="shared" si="246"/>
        <v>0.864437112133843</v>
      </c>
      <c r="S1985" s="22">
        <f t="shared" si="247"/>
        <v>-0.21016708337699636</v>
      </c>
      <c r="T1985" s="25"/>
      <c r="U1985" s="1" t="s">
        <v>5625</v>
      </c>
    </row>
    <row r="1986" spans="1:21">
      <c r="A1986" s="6" t="s">
        <v>5626</v>
      </c>
      <c r="B1986" s="13" t="s">
        <v>5627</v>
      </c>
      <c r="C1986" s="14">
        <v>1.2632893512414105</v>
      </c>
      <c r="D1986" s="14">
        <v>1.4990650012310454</v>
      </c>
      <c r="E1986" s="14">
        <v>1.6821041610472927</v>
      </c>
      <c r="F1986" s="8">
        <v>1.6262939357030444</v>
      </c>
      <c r="G1986" s="8">
        <f t="shared" si="240"/>
        <v>1.3811771762362279</v>
      </c>
      <c r="H1986" s="8">
        <f t="shared" si="241"/>
        <v>1.6541990483751685</v>
      </c>
      <c r="I1986" s="8">
        <f t="shared" si="242"/>
        <v>1.1976733158036523</v>
      </c>
      <c r="J1986" s="22">
        <f t="shared" si="243"/>
        <v>0.26023444406812279</v>
      </c>
      <c r="K1986" s="8"/>
      <c r="L1986" s="8">
        <v>1.1480741887955326</v>
      </c>
      <c r="M1986" s="8">
        <v>1.139294784959815</v>
      </c>
      <c r="N1986" s="8">
        <v>1.3958176118626278</v>
      </c>
      <c r="O1986" s="8">
        <v>1.3654042787426106</v>
      </c>
      <c r="P1986" s="8">
        <f t="shared" si="244"/>
        <v>1.1436844868776737</v>
      </c>
      <c r="Q1986" s="8">
        <f t="shared" si="245"/>
        <v>1.3806109453026192</v>
      </c>
      <c r="R1986" s="8">
        <f t="shared" si="246"/>
        <v>1.2071606821141456</v>
      </c>
      <c r="S1986" s="22">
        <f t="shared" si="247"/>
        <v>0.27161772237328125</v>
      </c>
      <c r="T1986" s="25"/>
      <c r="U1986" s="1" t="s">
        <v>5628</v>
      </c>
    </row>
    <row r="1987" spans="1:21">
      <c r="A1987" s="6" t="s">
        <v>5629</v>
      </c>
      <c r="B1987" s="13" t="s">
        <v>5630</v>
      </c>
      <c r="C1987" s="14">
        <v>1.0185144868812406</v>
      </c>
      <c r="D1987" s="14">
        <v>1.0674578234228325</v>
      </c>
      <c r="E1987" s="14">
        <v>1.0058198411897374</v>
      </c>
      <c r="F1987" s="8">
        <v>1.0423565044266823</v>
      </c>
      <c r="G1987" s="8">
        <f t="shared" si="240"/>
        <v>1.0429861551520365</v>
      </c>
      <c r="H1987" s="8">
        <f t="shared" si="241"/>
        <v>1.0240881728082099</v>
      </c>
      <c r="I1987" s="8">
        <f t="shared" si="242"/>
        <v>0.98188088859044165</v>
      </c>
      <c r="J1987" s="22">
        <f t="shared" si="243"/>
        <v>-2.6380072243987796E-2</v>
      </c>
      <c r="K1987" s="8"/>
      <c r="L1987" s="8">
        <v>1.1721560003252154</v>
      </c>
      <c r="M1987" s="8">
        <v>1.3097948234083316</v>
      </c>
      <c r="N1987" s="8">
        <v>1.0727908764630187</v>
      </c>
      <c r="O1987" s="8">
        <v>0.97419523401092978</v>
      </c>
      <c r="P1987" s="8">
        <f t="shared" si="244"/>
        <v>1.2409754118667735</v>
      </c>
      <c r="Q1987" s="8">
        <f t="shared" si="245"/>
        <v>1.0234930552369743</v>
      </c>
      <c r="R1987" s="8">
        <f t="shared" si="246"/>
        <v>0.82474885920370899</v>
      </c>
      <c r="S1987" s="22">
        <f t="shared" si="247"/>
        <v>-0.27797321763797467</v>
      </c>
      <c r="T1987" s="25"/>
      <c r="U1987" s="1" t="s">
        <v>5631</v>
      </c>
    </row>
    <row r="1988" spans="1:21">
      <c r="A1988" s="6" t="s">
        <v>5632</v>
      </c>
      <c r="B1988" s="13" t="s">
        <v>5633</v>
      </c>
      <c r="C1988" s="14">
        <v>0.5517115132327548</v>
      </c>
      <c r="D1988" s="14">
        <v>0.88268782145724189</v>
      </c>
      <c r="E1988" s="14">
        <v>1.2465090873785301</v>
      </c>
      <c r="F1988" s="8">
        <v>1.2586436129613698</v>
      </c>
      <c r="G1988" s="8">
        <f t="shared" si="240"/>
        <v>0.71719966734499829</v>
      </c>
      <c r="H1988" s="8">
        <f t="shared" si="241"/>
        <v>1.2525763501699498</v>
      </c>
      <c r="I1988" s="8">
        <f t="shared" si="242"/>
        <v>1.746482056812523</v>
      </c>
      <c r="J1988" s="22">
        <f t="shared" si="243"/>
        <v>0.80445182069981558</v>
      </c>
      <c r="K1988" s="8"/>
      <c r="L1988" s="8">
        <v>0.96574727185834874</v>
      </c>
      <c r="M1988" s="8">
        <v>0.83048212982187219</v>
      </c>
      <c r="N1988" s="8">
        <v>0.47930076011774364</v>
      </c>
      <c r="O1988" s="8">
        <v>0.53726178227695487</v>
      </c>
      <c r="P1988" s="8">
        <f t="shared" si="244"/>
        <v>0.89811470084011047</v>
      </c>
      <c r="Q1988" s="8">
        <f t="shared" si="245"/>
        <v>0.50828127119734923</v>
      </c>
      <c r="R1988" s="8">
        <f t="shared" si="246"/>
        <v>0.56594249122288609</v>
      </c>
      <c r="S1988" s="22">
        <f t="shared" si="247"/>
        <v>-0.82127263519208415</v>
      </c>
      <c r="T1988" s="25"/>
      <c r="U1988" s="1" t="s">
        <v>5634</v>
      </c>
    </row>
    <row r="1989" spans="1:21">
      <c r="A1989" s="6" t="s">
        <v>5635</v>
      </c>
      <c r="B1989" s="6" t="s">
        <v>5636</v>
      </c>
      <c r="C1989" s="7">
        <v>0.82438348490011182</v>
      </c>
      <c r="D1989" s="7">
        <v>0.98324607997158298</v>
      </c>
      <c r="E1989" s="7">
        <v>1.0462807891564017</v>
      </c>
      <c r="F1989" s="8">
        <v>1.038650582148001</v>
      </c>
      <c r="G1989" s="8">
        <f t="shared" si="240"/>
        <v>0.90381478243584734</v>
      </c>
      <c r="H1989" s="8">
        <f t="shared" si="241"/>
        <v>1.0424656856522012</v>
      </c>
      <c r="I1989" s="8">
        <f t="shared" si="242"/>
        <v>1.1534063238517513</v>
      </c>
      <c r="J1989" s="22">
        <f t="shared" si="243"/>
        <v>0.20590083748213778</v>
      </c>
      <c r="K1989" s="8"/>
      <c r="L1989" s="8">
        <v>0.318822243947323</v>
      </c>
      <c r="M1989" s="8">
        <v>0.25838569438203396</v>
      </c>
      <c r="N1989" s="8">
        <v>0.33979263294095297</v>
      </c>
      <c r="O1989" s="8">
        <v>0.30425102070053239</v>
      </c>
      <c r="P1989" s="8">
        <f t="shared" si="244"/>
        <v>0.28860396916467845</v>
      </c>
      <c r="Q1989" s="8">
        <f t="shared" si="245"/>
        <v>0.32202182682074265</v>
      </c>
      <c r="R1989" s="8">
        <f t="shared" si="246"/>
        <v>1.1157914000725189</v>
      </c>
      <c r="S1989" s="22">
        <f t="shared" si="247"/>
        <v>0.15806733701436188</v>
      </c>
      <c r="T1989" s="25"/>
      <c r="U1989" s="1" t="s">
        <v>5637</v>
      </c>
    </row>
    <row r="1990" spans="1:21">
      <c r="A1990" s="6" t="s">
        <v>5638</v>
      </c>
      <c r="B1990" s="13" t="s">
        <v>5639</v>
      </c>
      <c r="C1990" s="14">
        <v>1.1041305342319585</v>
      </c>
      <c r="D1990" s="14">
        <v>1.1952469448480476</v>
      </c>
      <c r="E1990" s="14">
        <v>1.20900600929883</v>
      </c>
      <c r="F1990" s="8">
        <v>1.1319660563974465</v>
      </c>
      <c r="G1990" s="8">
        <f t="shared" ref="G1990:G2053" si="248">AVERAGE(C1990:D1990)</f>
        <v>1.1496887395400031</v>
      </c>
      <c r="H1990" s="8">
        <f t="shared" ref="H1990:H2053" si="249">AVERAGE(E1990:F1990)</f>
        <v>1.1704860328481383</v>
      </c>
      <c r="I1990" s="8">
        <f t="shared" ref="I1990:I2053" si="250">H1990/G1990</f>
        <v>1.0180894990034053</v>
      </c>
      <c r="J1990" s="22">
        <f t="shared" ref="J1990:J2053" si="251">LOG(I1990,2)</f>
        <v>2.5864392546054705E-2</v>
      </c>
      <c r="K1990" s="8"/>
      <c r="L1990" s="8">
        <v>0.37255419101651654</v>
      </c>
      <c r="M1990" s="8">
        <v>0.38536274079978017</v>
      </c>
      <c r="N1990" s="8">
        <v>0.46100554084120959</v>
      </c>
      <c r="O1990" s="8">
        <v>0.40769228520237394</v>
      </c>
      <c r="P1990" s="8">
        <f t="shared" ref="P1990:P2053" si="252">AVERAGE(L1990:M1990)</f>
        <v>0.37895846590814836</v>
      </c>
      <c r="Q1990" s="8">
        <f t="shared" ref="Q1990:Q2053" si="253">AVERAGE(N1990:O1990)</f>
        <v>0.43434891302179179</v>
      </c>
      <c r="R1990" s="8">
        <f t="shared" ref="R1990:R2053" si="254">Q1990/P1990</f>
        <v>1.1461649549929014</v>
      </c>
      <c r="S1990" s="22">
        <f t="shared" ref="S1990:S2053" si="255">LOG(R1990,2)</f>
        <v>0.19681469036401075</v>
      </c>
      <c r="T1990" s="25"/>
      <c r="U1990" s="1" t="s">
        <v>5640</v>
      </c>
    </row>
    <row r="1991" spans="1:21">
      <c r="A1991" s="6" t="s">
        <v>5641</v>
      </c>
      <c r="B1991" s="13" t="s">
        <v>5642</v>
      </c>
      <c r="C1991" s="14">
        <v>1.0010626286421658</v>
      </c>
      <c r="D1991" s="14">
        <v>1.0417144613934333</v>
      </c>
      <c r="E1991" s="14">
        <v>1.012481404889318</v>
      </c>
      <c r="F1991" s="8">
        <v>1.063195730889503</v>
      </c>
      <c r="G1991" s="8">
        <f t="shared" si="248"/>
        <v>1.0213885450177995</v>
      </c>
      <c r="H1991" s="8">
        <f t="shared" si="249"/>
        <v>1.0378385678894104</v>
      </c>
      <c r="I1991" s="8">
        <f t="shared" si="250"/>
        <v>1.0161055486199175</v>
      </c>
      <c r="J1991" s="22">
        <f t="shared" si="251"/>
        <v>2.3050270772922671E-2</v>
      </c>
      <c r="K1991" s="8"/>
      <c r="L1991" s="8">
        <v>0.76424057222064679</v>
      </c>
      <c r="M1991" s="8">
        <v>0.82427788765671417</v>
      </c>
      <c r="N1991" s="8">
        <v>1.0581773576600906</v>
      </c>
      <c r="O1991" s="8">
        <v>0.91984646899146194</v>
      </c>
      <c r="P1991" s="8">
        <f t="shared" si="252"/>
        <v>0.79425922993868048</v>
      </c>
      <c r="Q1991" s="8">
        <f t="shared" si="253"/>
        <v>0.9890119133257762</v>
      </c>
      <c r="R1991" s="8">
        <f t="shared" si="254"/>
        <v>1.2452004031506581</v>
      </c>
      <c r="S1991" s="22">
        <f t="shared" si="255"/>
        <v>0.31637794901205352</v>
      </c>
      <c r="T1991" s="25"/>
      <c r="U1991" s="1" t="s">
        <v>5643</v>
      </c>
    </row>
    <row r="1992" spans="1:21">
      <c r="A1992" s="6" t="s">
        <v>5644</v>
      </c>
      <c r="B1992" s="13" t="s">
        <v>5645</v>
      </c>
      <c r="C1992" s="14">
        <v>1.0034970639675815</v>
      </c>
      <c r="D1992" s="14">
        <v>1.1729264343093546</v>
      </c>
      <c r="E1992" s="14">
        <v>1.0243806866122331</v>
      </c>
      <c r="F1992" s="8">
        <v>1.0040853923639037</v>
      </c>
      <c r="G1992" s="8">
        <f t="shared" si="248"/>
        <v>1.088211749138468</v>
      </c>
      <c r="H1992" s="8">
        <f t="shared" si="249"/>
        <v>1.0142330394880683</v>
      </c>
      <c r="I1992" s="8">
        <f t="shared" si="250"/>
        <v>0.93201809325347917</v>
      </c>
      <c r="J1992" s="22">
        <f t="shared" si="251"/>
        <v>-0.10157013271843206</v>
      </c>
      <c r="K1992" s="8"/>
      <c r="L1992" s="8">
        <v>1.1046222245137136</v>
      </c>
      <c r="M1992" s="8">
        <v>0.78882507528438239</v>
      </c>
      <c r="N1992" s="8">
        <v>1.0401087045665476</v>
      </c>
      <c r="O1992" s="8">
        <v>0.93816685081492579</v>
      </c>
      <c r="P1992" s="8">
        <f t="shared" si="252"/>
        <v>0.946723649899048</v>
      </c>
      <c r="Q1992" s="8">
        <f t="shared" si="253"/>
        <v>0.98913777769073663</v>
      </c>
      <c r="R1992" s="8">
        <f t="shared" si="254"/>
        <v>1.0448009593889531</v>
      </c>
      <c r="S1992" s="22">
        <f t="shared" si="255"/>
        <v>6.3228126752962882E-2</v>
      </c>
      <c r="T1992" s="25"/>
      <c r="U1992" s="1" t="s">
        <v>5646</v>
      </c>
    </row>
    <row r="1993" spans="1:21">
      <c r="A1993" s="6" t="s">
        <v>5647</v>
      </c>
      <c r="B1993" s="6" t="s">
        <v>5648</v>
      </c>
      <c r="C1993" s="7">
        <v>1.2034554955089245</v>
      </c>
      <c r="D1993" s="7">
        <v>1.2257806995011216</v>
      </c>
      <c r="E1993" s="7">
        <v>1.2550775872516549</v>
      </c>
      <c r="F1993" s="8">
        <v>1.3017183730962776</v>
      </c>
      <c r="G1993" s="8">
        <f t="shared" si="248"/>
        <v>1.2146180975050229</v>
      </c>
      <c r="H1993" s="8">
        <f t="shared" si="249"/>
        <v>1.2783979801739662</v>
      </c>
      <c r="I1993" s="8">
        <f t="shared" si="250"/>
        <v>1.0525102357687204</v>
      </c>
      <c r="J1993" s="22">
        <f t="shared" si="251"/>
        <v>7.3834263715392631E-2</v>
      </c>
      <c r="K1993" s="8"/>
      <c r="L1993" s="8">
        <v>1.3687606711337528</v>
      </c>
      <c r="M1993" s="8">
        <v>1.2098738706431544</v>
      </c>
      <c r="N1993" s="8">
        <v>1.3642682708811125</v>
      </c>
      <c r="O1993" s="8">
        <v>0.97832880205466399</v>
      </c>
      <c r="P1993" s="8">
        <f t="shared" si="252"/>
        <v>1.2893172708884535</v>
      </c>
      <c r="Q1993" s="8">
        <f t="shared" si="253"/>
        <v>1.1712985364678883</v>
      </c>
      <c r="R1993" s="8">
        <f t="shared" si="254"/>
        <v>0.90846416387547502</v>
      </c>
      <c r="S1993" s="22">
        <f t="shared" si="255"/>
        <v>-0.138498489199395</v>
      </c>
      <c r="T1993" s="25"/>
      <c r="U1993" s="1" t="s">
        <v>5649</v>
      </c>
    </row>
    <row r="1994" spans="1:21">
      <c r="A1994" s="6" t="s">
        <v>5650</v>
      </c>
      <c r="B1994" s="13" t="s">
        <v>5651</v>
      </c>
      <c r="C1994" s="14">
        <v>5.4835655704991611E-2</v>
      </c>
      <c r="D1994" s="14">
        <v>5.9667978906910946E-2</v>
      </c>
      <c r="E1994" s="14">
        <v>0.18298959521329003</v>
      </c>
      <c r="F1994" s="8">
        <v>0.21525085538567257</v>
      </c>
      <c r="G1994" s="8">
        <f t="shared" si="248"/>
        <v>5.7251817305951275E-2</v>
      </c>
      <c r="H1994" s="8">
        <f t="shared" si="249"/>
        <v>0.19912022529948131</v>
      </c>
      <c r="I1994" s="8">
        <f t="shared" si="250"/>
        <v>3.4779721355462185</v>
      </c>
      <c r="J1994" s="22">
        <f t="shared" si="251"/>
        <v>1.7982463742574037</v>
      </c>
      <c r="K1994" s="8"/>
      <c r="L1994" s="8">
        <v>0.31991687174412675</v>
      </c>
      <c r="M1994" s="8">
        <v>0.33008434256134178</v>
      </c>
      <c r="N1994" s="8">
        <v>0.45058349642361745</v>
      </c>
      <c r="O1994" s="8">
        <v>0.38682031816672852</v>
      </c>
      <c r="P1994" s="8">
        <f t="shared" si="252"/>
        <v>0.32500060715273427</v>
      </c>
      <c r="Q1994" s="8">
        <f t="shared" si="253"/>
        <v>0.41870190729517298</v>
      </c>
      <c r="R1994" s="8">
        <f t="shared" si="254"/>
        <v>1.2883111541339483</v>
      </c>
      <c r="S1994" s="22">
        <f t="shared" si="255"/>
        <v>0.36548107661417101</v>
      </c>
      <c r="T1994" s="25"/>
      <c r="U1994" s="1" t="s">
        <v>5652</v>
      </c>
    </row>
    <row r="1995" spans="1:21">
      <c r="A1995" s="6" t="s">
        <v>5653</v>
      </c>
      <c r="B1995" s="13" t="s">
        <v>80</v>
      </c>
      <c r="C1995" s="14">
        <v>1.1171167251709737</v>
      </c>
      <c r="D1995" s="14">
        <v>1.0748953278302078</v>
      </c>
      <c r="E1995" s="14">
        <v>1.1560355600337164</v>
      </c>
      <c r="F1995" s="8">
        <v>1.019111063024623</v>
      </c>
      <c r="G1995" s="8">
        <f t="shared" si="248"/>
        <v>1.0960060265005906</v>
      </c>
      <c r="H1995" s="8">
        <f t="shared" si="249"/>
        <v>1.0875733115291697</v>
      </c>
      <c r="I1995" s="8">
        <f t="shared" si="250"/>
        <v>0.99230595930357646</v>
      </c>
      <c r="J1995" s="22">
        <f t="shared" si="251"/>
        <v>-1.1143077185212093E-2</v>
      </c>
      <c r="K1995" s="8"/>
      <c r="L1995" s="8">
        <v>1.2451153226078318</v>
      </c>
      <c r="M1995" s="8">
        <v>1.1025358163421868</v>
      </c>
      <c r="N1995" s="8">
        <v>1.2753410440570925</v>
      </c>
      <c r="O1995" s="8">
        <v>1.2572170657461113</v>
      </c>
      <c r="P1995" s="8">
        <f t="shared" si="252"/>
        <v>1.1738255694750093</v>
      </c>
      <c r="Q1995" s="8">
        <f t="shared" si="253"/>
        <v>1.2662790549016019</v>
      </c>
      <c r="R1995" s="8">
        <f t="shared" si="254"/>
        <v>1.0787625417530666</v>
      </c>
      <c r="S1995" s="22">
        <f t="shared" si="255"/>
        <v>0.10937733235419311</v>
      </c>
      <c r="T1995" s="25"/>
      <c r="U1995" s="1">
        <v>0</v>
      </c>
    </row>
    <row r="1996" spans="1:21">
      <c r="A1996" s="6" t="s">
        <v>5654</v>
      </c>
      <c r="B1996" s="13" t="s">
        <v>80</v>
      </c>
      <c r="C1996" s="14">
        <v>1.135215230293362</v>
      </c>
      <c r="D1996" s="14">
        <v>1.3213966163770132</v>
      </c>
      <c r="E1996" s="14">
        <v>1.1467381867787039</v>
      </c>
      <c r="F1996" s="8">
        <v>1.1383592114184888</v>
      </c>
      <c r="G1996" s="8">
        <f t="shared" si="248"/>
        <v>1.2283059233351876</v>
      </c>
      <c r="H1996" s="8">
        <f t="shared" si="249"/>
        <v>1.1425486990985965</v>
      </c>
      <c r="I1996" s="8">
        <f t="shared" si="250"/>
        <v>0.93018251999979229</v>
      </c>
      <c r="J1996" s="22">
        <f t="shared" si="251"/>
        <v>-0.10441426591127567</v>
      </c>
      <c r="K1996" s="8"/>
      <c r="L1996" s="8">
        <v>1.0192412563630198</v>
      </c>
      <c r="M1996" s="8">
        <v>1.1682634645429966</v>
      </c>
      <c r="N1996" s="8">
        <v>1.4484376078623187</v>
      </c>
      <c r="O1996" s="8">
        <v>1.6242370826663108</v>
      </c>
      <c r="P1996" s="8">
        <f t="shared" si="252"/>
        <v>1.0937523604530082</v>
      </c>
      <c r="Q1996" s="8">
        <f t="shared" si="253"/>
        <v>1.5363373452643148</v>
      </c>
      <c r="R1996" s="8">
        <f t="shared" si="254"/>
        <v>1.4046482556874187</v>
      </c>
      <c r="S1996" s="22">
        <f t="shared" si="255"/>
        <v>0.49020890389263133</v>
      </c>
      <c r="T1996" s="25"/>
      <c r="U1996" s="1">
        <v>0</v>
      </c>
    </row>
    <row r="1997" spans="1:21">
      <c r="A1997" s="6" t="s">
        <v>5655</v>
      </c>
      <c r="B1997" s="13" t="s">
        <v>5656</v>
      </c>
      <c r="C1997" s="14">
        <v>0.78045714249713982</v>
      </c>
      <c r="D1997" s="14">
        <v>0.90872708419962256</v>
      </c>
      <c r="E1997" s="14">
        <v>1.3129806447523356</v>
      </c>
      <c r="F1997" s="8">
        <v>1.2028001063970726</v>
      </c>
      <c r="G1997" s="8">
        <f t="shared" si="248"/>
        <v>0.84459211334838113</v>
      </c>
      <c r="H1997" s="8">
        <f t="shared" si="249"/>
        <v>1.257890375574704</v>
      </c>
      <c r="I1997" s="8">
        <f t="shared" si="250"/>
        <v>1.4893465800761554</v>
      </c>
      <c r="J1997" s="22">
        <f t="shared" si="251"/>
        <v>0.57467951696568531</v>
      </c>
      <c r="K1997" s="8"/>
      <c r="L1997" s="8">
        <v>1.3414425687265632</v>
      </c>
      <c r="M1997" s="8">
        <v>1.2107135425151307</v>
      </c>
      <c r="N1997" s="8">
        <v>1.0460560668700649</v>
      </c>
      <c r="O1997" s="8">
        <v>0.96955134892475925</v>
      </c>
      <c r="P1997" s="8">
        <f t="shared" si="252"/>
        <v>1.2760780556208471</v>
      </c>
      <c r="Q1997" s="8">
        <f t="shared" si="253"/>
        <v>1.007803707897412</v>
      </c>
      <c r="R1997" s="8">
        <f t="shared" si="254"/>
        <v>0.78976650641256252</v>
      </c>
      <c r="S1997" s="22">
        <f t="shared" si="255"/>
        <v>-0.34050190973928829</v>
      </c>
      <c r="T1997" s="25"/>
      <c r="U1997" s="1" t="s">
        <v>5657</v>
      </c>
    </row>
    <row r="1998" spans="1:21">
      <c r="A1998" s="6" t="s">
        <v>5658</v>
      </c>
      <c r="B1998" s="13" t="s">
        <v>5659</v>
      </c>
      <c r="C1998" s="14">
        <v>0.98821337469020532</v>
      </c>
      <c r="D1998" s="14">
        <v>1.0219770841059039</v>
      </c>
      <c r="E1998" s="14">
        <v>0.97258830013877584</v>
      </c>
      <c r="F1998" s="8">
        <v>1.0996577908446787</v>
      </c>
      <c r="G1998" s="8">
        <f t="shared" si="248"/>
        <v>1.0050952293980546</v>
      </c>
      <c r="H1998" s="8">
        <f t="shared" si="249"/>
        <v>1.0361230454917272</v>
      </c>
      <c r="I1998" s="8">
        <f t="shared" si="250"/>
        <v>1.0308705236938145</v>
      </c>
      <c r="J1998" s="22">
        <f t="shared" si="251"/>
        <v>4.3863143030970983E-2</v>
      </c>
      <c r="K1998" s="8"/>
      <c r="L1998" s="8">
        <v>1.1078109228783157</v>
      </c>
      <c r="M1998" s="8">
        <v>1.1510501911674829</v>
      </c>
      <c r="N1998" s="8">
        <v>0.91504417155544182</v>
      </c>
      <c r="O1998" s="8">
        <v>0.90366941874623075</v>
      </c>
      <c r="P1998" s="8">
        <f t="shared" si="252"/>
        <v>1.1294305570228993</v>
      </c>
      <c r="Q1998" s="8">
        <f t="shared" si="253"/>
        <v>0.90935679515083634</v>
      </c>
      <c r="R1998" s="8">
        <f t="shared" si="254"/>
        <v>0.80514626551971269</v>
      </c>
      <c r="S1998" s="22">
        <f t="shared" si="255"/>
        <v>-0.31267720312370734</v>
      </c>
      <c r="T1998" s="25"/>
      <c r="U1998" s="1" t="s">
        <v>5660</v>
      </c>
    </row>
    <row r="1999" spans="1:21">
      <c r="A1999" s="6" t="s">
        <v>5661</v>
      </c>
      <c r="B1999" s="9" t="s">
        <v>5662</v>
      </c>
      <c r="C1999" s="10">
        <v>0.93096610649097367</v>
      </c>
      <c r="D1999" s="10">
        <v>1.0735757705966411</v>
      </c>
      <c r="E1999" s="10">
        <v>1.104726264057557</v>
      </c>
      <c r="F1999" s="8">
        <v>1.1032671132535365</v>
      </c>
      <c r="G1999" s="8">
        <f t="shared" si="248"/>
        <v>1.0022709385438073</v>
      </c>
      <c r="H1999" s="8">
        <f t="shared" si="249"/>
        <v>1.1039966886555468</v>
      </c>
      <c r="I1999" s="8">
        <f t="shared" si="250"/>
        <v>1.1014952606124009</v>
      </c>
      <c r="J1999" s="22">
        <f t="shared" si="251"/>
        <v>0.13946328758923104</v>
      </c>
      <c r="K1999" s="8"/>
      <c r="L1999" s="8">
        <v>0.55726073359892592</v>
      </c>
      <c r="M1999" s="8">
        <v>0.54308110741932458</v>
      </c>
      <c r="N1999" s="8">
        <v>0.49623658229633089</v>
      </c>
      <c r="O1999" s="8">
        <v>0.50204990634884894</v>
      </c>
      <c r="P1999" s="8">
        <f t="shared" si="252"/>
        <v>0.55017092050912519</v>
      </c>
      <c r="Q1999" s="8">
        <f t="shared" si="253"/>
        <v>0.49914324432258994</v>
      </c>
      <c r="R1999" s="8">
        <f t="shared" si="254"/>
        <v>0.90725122996447261</v>
      </c>
      <c r="S1999" s="22">
        <f t="shared" si="255"/>
        <v>-0.14042598731343098</v>
      </c>
      <c r="T1999" s="25"/>
      <c r="U1999" s="1" t="s">
        <v>5663</v>
      </c>
    </row>
    <row r="2000" spans="1:21">
      <c r="A2000" s="6" t="s">
        <v>5664</v>
      </c>
      <c r="B2000" s="13" t="s">
        <v>5665</v>
      </c>
      <c r="C2000" s="14">
        <v>0.14273398617328698</v>
      </c>
      <c r="D2000" s="14">
        <v>0.13972111774328388</v>
      </c>
      <c r="E2000" s="14">
        <v>0.15947071573957969</v>
      </c>
      <c r="F2000" s="8">
        <v>0.15669377065997128</v>
      </c>
      <c r="G2000" s="8">
        <f t="shared" si="248"/>
        <v>0.14122755195828543</v>
      </c>
      <c r="H2000" s="8">
        <f t="shared" si="249"/>
        <v>0.15808224319977549</v>
      </c>
      <c r="I2000" s="8">
        <f t="shared" si="250"/>
        <v>1.1193442144098655</v>
      </c>
      <c r="J2000" s="22">
        <f t="shared" si="251"/>
        <v>0.16265375397205872</v>
      </c>
      <c r="K2000" s="8"/>
      <c r="L2000" s="8">
        <v>0.19731855850210497</v>
      </c>
      <c r="M2000" s="8">
        <v>0.20348048364225169</v>
      </c>
      <c r="N2000" s="8">
        <v>0.27085987176590048</v>
      </c>
      <c r="O2000" s="8">
        <v>0.22739727410962299</v>
      </c>
      <c r="P2000" s="8">
        <f t="shared" si="252"/>
        <v>0.20039952107217834</v>
      </c>
      <c r="Q2000" s="8">
        <f t="shared" si="253"/>
        <v>0.24912857293776175</v>
      </c>
      <c r="R2000" s="8">
        <f t="shared" si="254"/>
        <v>1.2431595225620951</v>
      </c>
      <c r="S2000" s="22">
        <f t="shared" si="255"/>
        <v>0.31401143528230868</v>
      </c>
      <c r="T2000" s="25"/>
      <c r="U2000" s="1" t="s">
        <v>5666</v>
      </c>
    </row>
    <row r="2001" spans="1:21">
      <c r="A2001" s="6" t="s">
        <v>5667</v>
      </c>
      <c r="B2001" s="13" t="s">
        <v>5668</v>
      </c>
      <c r="C2001" s="14">
        <v>1.0380812608092702</v>
      </c>
      <c r="D2001" s="14">
        <v>1.0519910131821186</v>
      </c>
      <c r="E2001" s="14">
        <v>0.98475879056192839</v>
      </c>
      <c r="F2001" s="8">
        <v>1.114191680349933</v>
      </c>
      <c r="G2001" s="8">
        <f t="shared" si="248"/>
        <v>1.0450361369956944</v>
      </c>
      <c r="H2001" s="8">
        <f t="shared" si="249"/>
        <v>1.0494752354559307</v>
      </c>
      <c r="I2001" s="8">
        <f t="shared" si="250"/>
        <v>1.0042477942179091</v>
      </c>
      <c r="J2001" s="22">
        <f t="shared" si="251"/>
        <v>6.1152925764305496E-3</v>
      </c>
      <c r="K2001" s="8"/>
      <c r="L2001" s="8">
        <v>0.55269185236009288</v>
      </c>
      <c r="M2001" s="8">
        <v>0.5353841152595421</v>
      </c>
      <c r="N2001" s="8">
        <v>0.68111458761709609</v>
      </c>
      <c r="O2001" s="8">
        <v>0.58114904792647815</v>
      </c>
      <c r="P2001" s="8">
        <f t="shared" si="252"/>
        <v>0.54403798380981749</v>
      </c>
      <c r="Q2001" s="8">
        <f t="shared" si="253"/>
        <v>0.63113181777178706</v>
      </c>
      <c r="R2001" s="8">
        <f t="shared" si="254"/>
        <v>1.1600877816509507</v>
      </c>
      <c r="S2001" s="22">
        <f t="shared" si="255"/>
        <v>0.21423397549164103</v>
      </c>
      <c r="T2001" s="25"/>
      <c r="U2001" s="1" t="s">
        <v>5669</v>
      </c>
    </row>
    <row r="2002" spans="1:21">
      <c r="A2002" s="6" t="s">
        <v>5670</v>
      </c>
      <c r="B2002" s="6" t="s">
        <v>5671</v>
      </c>
      <c r="C2002" s="7">
        <v>1.2165025473310749</v>
      </c>
      <c r="D2002" s="7">
        <v>1.3223083104656592</v>
      </c>
      <c r="E2002" s="7">
        <v>1.3387369960030042</v>
      </c>
      <c r="F2002" s="8">
        <v>1.2467091381350008</v>
      </c>
      <c r="G2002" s="8">
        <f t="shared" si="248"/>
        <v>1.2694054288983669</v>
      </c>
      <c r="H2002" s="8">
        <f t="shared" si="249"/>
        <v>1.2927230670690024</v>
      </c>
      <c r="I2002" s="8">
        <f t="shared" si="250"/>
        <v>1.0183689447357029</v>
      </c>
      <c r="J2002" s="22">
        <f t="shared" si="251"/>
        <v>2.6260329891060006E-2</v>
      </c>
      <c r="K2002" s="8"/>
      <c r="L2002" s="8">
        <v>1.1493115941310499</v>
      </c>
      <c r="M2002" s="8">
        <v>1.2945407844007626</v>
      </c>
      <c r="N2002" s="8">
        <v>1.4397714513629079</v>
      </c>
      <c r="O2002" s="8">
        <v>1.1566335766819131</v>
      </c>
      <c r="P2002" s="8">
        <f t="shared" si="252"/>
        <v>1.2219261892659063</v>
      </c>
      <c r="Q2002" s="8">
        <f t="shared" si="253"/>
        <v>1.2982025140224105</v>
      </c>
      <c r="R2002" s="8">
        <f t="shared" si="254"/>
        <v>1.0624230214775316</v>
      </c>
      <c r="S2002" s="22">
        <f t="shared" si="255"/>
        <v>8.7358313668355364E-2</v>
      </c>
      <c r="T2002" s="25"/>
      <c r="U2002" s="1" t="s">
        <v>5672</v>
      </c>
    </row>
    <row r="2003" spans="1:21">
      <c r="A2003" s="6" t="s">
        <v>5673</v>
      </c>
      <c r="B2003" s="13" t="s">
        <v>5674</v>
      </c>
      <c r="C2003" s="14">
        <v>0.94752026670380129</v>
      </c>
      <c r="D2003" s="14">
        <v>1.0552299263917819</v>
      </c>
      <c r="E2003" s="14">
        <v>1.1475433376075335</v>
      </c>
      <c r="F2003" s="8">
        <v>1.0681662332822366</v>
      </c>
      <c r="G2003" s="8">
        <f t="shared" si="248"/>
        <v>1.0013750965477917</v>
      </c>
      <c r="H2003" s="8">
        <f t="shared" si="249"/>
        <v>1.107854785444885</v>
      </c>
      <c r="I2003" s="8">
        <f t="shared" si="250"/>
        <v>1.1063334701094312</v>
      </c>
      <c r="J2003" s="22">
        <f t="shared" si="251"/>
        <v>0.14578630705557419</v>
      </c>
      <c r="K2003" s="8"/>
      <c r="L2003" s="8">
        <v>0.38497583688459408</v>
      </c>
      <c r="M2003" s="8">
        <v>0.32224740508956318</v>
      </c>
      <c r="N2003" s="8">
        <v>0.49453733592389737</v>
      </c>
      <c r="O2003" s="8">
        <v>0.3434944012638852</v>
      </c>
      <c r="P2003" s="8">
        <f t="shared" si="252"/>
        <v>0.35361162098707866</v>
      </c>
      <c r="Q2003" s="8">
        <f t="shared" si="253"/>
        <v>0.41901586859389128</v>
      </c>
      <c r="R2003" s="8">
        <f t="shared" si="254"/>
        <v>1.1849606849012537</v>
      </c>
      <c r="S2003" s="22">
        <f t="shared" si="255"/>
        <v>0.24483919360546072</v>
      </c>
      <c r="T2003" s="25"/>
      <c r="U2003" s="1" t="s">
        <v>5675</v>
      </c>
    </row>
    <row r="2004" spans="1:21">
      <c r="A2004" s="6" t="s">
        <v>5676</v>
      </c>
      <c r="B2004" s="6" t="s">
        <v>5677</v>
      </c>
      <c r="C2004" s="7">
        <v>0.97149184704875535</v>
      </c>
      <c r="D2004" s="7">
        <v>1.0846200647757651</v>
      </c>
      <c r="E2004" s="7">
        <v>1.0026161884181835</v>
      </c>
      <c r="F2004" s="8">
        <v>0.98765463268757103</v>
      </c>
      <c r="G2004" s="8">
        <f t="shared" si="248"/>
        <v>1.0280559559122602</v>
      </c>
      <c r="H2004" s="8">
        <f t="shared" si="249"/>
        <v>0.99513541055287724</v>
      </c>
      <c r="I2004" s="8">
        <f t="shared" si="250"/>
        <v>0.96797786621432447</v>
      </c>
      <c r="J2004" s="22">
        <f t="shared" si="251"/>
        <v>-4.6954035680787459E-2</v>
      </c>
      <c r="K2004" s="8"/>
      <c r="L2004" s="8">
        <v>0.8564272697166857</v>
      </c>
      <c r="M2004" s="8">
        <v>0.87470484841262297</v>
      </c>
      <c r="N2004" s="8">
        <v>0.83812495242995189</v>
      </c>
      <c r="O2004" s="8">
        <v>0.85340319006625343</v>
      </c>
      <c r="P2004" s="8">
        <f t="shared" si="252"/>
        <v>0.86556605906465434</v>
      </c>
      <c r="Q2004" s="8">
        <f t="shared" si="253"/>
        <v>0.84576407124810271</v>
      </c>
      <c r="R2004" s="8">
        <f t="shared" si="254"/>
        <v>0.97712249965305942</v>
      </c>
      <c r="S2004" s="22">
        <f t="shared" si="255"/>
        <v>-3.3388653918453762E-2</v>
      </c>
      <c r="T2004" s="25"/>
      <c r="U2004" s="1" t="s">
        <v>5678</v>
      </c>
    </row>
    <row r="2005" spans="1:21">
      <c r="A2005" s="6" t="s">
        <v>5679</v>
      </c>
      <c r="B2005" s="13" t="s">
        <v>5680</v>
      </c>
      <c r="C2005" s="14">
        <v>0.89078270840082863</v>
      </c>
      <c r="D2005" s="14">
        <v>0.95490359005788605</v>
      </c>
      <c r="E2005" s="14">
        <v>0.92349105012392763</v>
      </c>
      <c r="F2005" s="8">
        <v>0.91731236384340964</v>
      </c>
      <c r="G2005" s="8">
        <f t="shared" si="248"/>
        <v>0.9228431492293574</v>
      </c>
      <c r="H2005" s="8">
        <f t="shared" si="249"/>
        <v>0.92040170698366863</v>
      </c>
      <c r="I2005" s="8">
        <f t="shared" si="250"/>
        <v>0.99735443423107428</v>
      </c>
      <c r="J2005" s="22">
        <f t="shared" si="251"/>
        <v>-3.8218022618199724E-3</v>
      </c>
      <c r="K2005" s="8"/>
      <c r="L2005" s="8">
        <v>1.2003307679646864</v>
      </c>
      <c r="M2005" s="8">
        <v>1.0783252773668706</v>
      </c>
      <c r="N2005" s="8">
        <v>1.123485059907285</v>
      </c>
      <c r="O2005" s="8">
        <v>1.3209556643464073</v>
      </c>
      <c r="P2005" s="8">
        <f t="shared" si="252"/>
        <v>1.1393280226657785</v>
      </c>
      <c r="Q2005" s="8">
        <f t="shared" si="253"/>
        <v>1.2222203621268461</v>
      </c>
      <c r="R2005" s="8">
        <f t="shared" si="254"/>
        <v>1.072755464459759</v>
      </c>
      <c r="S2005" s="22">
        <f t="shared" si="255"/>
        <v>0.10132124998298148</v>
      </c>
      <c r="T2005" s="25"/>
      <c r="U2005" s="1" t="s">
        <v>5681</v>
      </c>
    </row>
    <row r="2006" spans="1:21">
      <c r="A2006" s="6" t="s">
        <v>5682</v>
      </c>
      <c r="B2006" s="6" t="s">
        <v>5683</v>
      </c>
      <c r="C2006" s="7">
        <v>0.98307823767565627</v>
      </c>
      <c r="D2006" s="7">
        <v>1.2263645036105177</v>
      </c>
      <c r="E2006" s="7">
        <v>1.1104979242094839</v>
      </c>
      <c r="F2006" s="8">
        <v>1.1614904893380296</v>
      </c>
      <c r="G2006" s="8">
        <f t="shared" si="248"/>
        <v>1.104721370643087</v>
      </c>
      <c r="H2006" s="8">
        <f t="shared" si="249"/>
        <v>1.1359942067737567</v>
      </c>
      <c r="I2006" s="8">
        <f t="shared" si="250"/>
        <v>1.0283083472101795</v>
      </c>
      <c r="J2006" s="22">
        <f t="shared" si="251"/>
        <v>4.0272934072753327E-2</v>
      </c>
      <c r="K2006" s="8"/>
      <c r="L2006" s="8">
        <v>1.4220166930739011</v>
      </c>
      <c r="M2006" s="8">
        <v>1.1141046288005265</v>
      </c>
      <c r="N2006" s="8">
        <v>0.97961553370791499</v>
      </c>
      <c r="O2006" s="8">
        <v>0.84503399057029782</v>
      </c>
      <c r="P2006" s="8">
        <f t="shared" si="252"/>
        <v>1.2680606609372138</v>
      </c>
      <c r="Q2006" s="8">
        <f t="shared" si="253"/>
        <v>0.9123247621391064</v>
      </c>
      <c r="R2006" s="8">
        <f t="shared" si="254"/>
        <v>0.71946460468603624</v>
      </c>
      <c r="S2006" s="22">
        <f t="shared" si="255"/>
        <v>-0.47500438207052115</v>
      </c>
      <c r="T2006" s="25"/>
      <c r="U2006" s="1" t="s">
        <v>5684</v>
      </c>
    </row>
    <row r="2007" spans="1:21">
      <c r="A2007" s="6" t="s">
        <v>5685</v>
      </c>
      <c r="B2007" s="13" t="s">
        <v>5686</v>
      </c>
      <c r="C2007" s="14">
        <v>9.3117151197155565E-2</v>
      </c>
      <c r="D2007" s="14">
        <v>0.11408172082925676</v>
      </c>
      <c r="E2007" s="14">
        <v>0.1825065047159922</v>
      </c>
      <c r="F2007" s="8">
        <v>0.17625085339604457</v>
      </c>
      <c r="G2007" s="8">
        <f t="shared" si="248"/>
        <v>0.10359943601320616</v>
      </c>
      <c r="H2007" s="8">
        <f t="shared" si="249"/>
        <v>0.1793786790560184</v>
      </c>
      <c r="I2007" s="8">
        <f t="shared" si="250"/>
        <v>1.7314638569379124</v>
      </c>
      <c r="J2007" s="22">
        <f t="shared" si="251"/>
        <v>0.79199227262860905</v>
      </c>
      <c r="K2007" s="8"/>
      <c r="L2007" s="8">
        <v>0.2859358175303055</v>
      </c>
      <c r="M2007" s="8">
        <v>0.27321989745361486</v>
      </c>
      <c r="N2007" s="8">
        <v>0.28875860022220007</v>
      </c>
      <c r="O2007" s="8">
        <v>0.32144870503063627</v>
      </c>
      <c r="P2007" s="8">
        <f t="shared" si="252"/>
        <v>0.27957785749196018</v>
      </c>
      <c r="Q2007" s="8">
        <f t="shared" si="253"/>
        <v>0.30510365262641814</v>
      </c>
      <c r="R2007" s="8">
        <f t="shared" si="254"/>
        <v>1.0913012044782266</v>
      </c>
      <c r="S2007" s="22">
        <f t="shared" si="255"/>
        <v>0.12604934752134811</v>
      </c>
      <c r="T2007" s="25"/>
      <c r="U2007" s="1" t="s">
        <v>5687</v>
      </c>
    </row>
    <row r="2008" spans="1:21">
      <c r="A2008" s="6" t="s">
        <v>5688</v>
      </c>
      <c r="B2008" s="13" t="s">
        <v>5689</v>
      </c>
      <c r="C2008" s="14">
        <v>0.38056310224562989</v>
      </c>
      <c r="D2008" s="14">
        <v>0.40496011900673495</v>
      </c>
      <c r="E2008" s="14">
        <v>0.61548271937308763</v>
      </c>
      <c r="F2008" s="8">
        <v>0.61388339092162936</v>
      </c>
      <c r="G2008" s="8">
        <f t="shared" si="248"/>
        <v>0.39276161062618242</v>
      </c>
      <c r="H2008" s="8">
        <f t="shared" si="249"/>
        <v>0.61468305514735855</v>
      </c>
      <c r="I2008" s="8">
        <f t="shared" si="250"/>
        <v>1.5650283493016675</v>
      </c>
      <c r="J2008" s="22">
        <f t="shared" si="251"/>
        <v>0.64618879072114943</v>
      </c>
      <c r="K2008" s="8"/>
      <c r="L2008" s="8">
        <v>1.2377384831076323</v>
      </c>
      <c r="M2008" s="8">
        <v>1.1942466441369293</v>
      </c>
      <c r="N2008" s="8">
        <v>1.3277344738737922</v>
      </c>
      <c r="O2008" s="8">
        <v>1.25073603930717</v>
      </c>
      <c r="P2008" s="8">
        <f t="shared" si="252"/>
        <v>1.2159925636222808</v>
      </c>
      <c r="Q2008" s="8">
        <f t="shared" si="253"/>
        <v>1.289235256590481</v>
      </c>
      <c r="R2008" s="8">
        <f t="shared" si="254"/>
        <v>1.0602328461203907</v>
      </c>
      <c r="S2008" s="22">
        <f t="shared" si="255"/>
        <v>8.4381141253380754E-2</v>
      </c>
      <c r="T2008" s="25"/>
      <c r="U2008" s="1" t="s">
        <v>5690</v>
      </c>
    </row>
    <row r="2009" spans="1:21">
      <c r="A2009" s="6" t="s">
        <v>5691</v>
      </c>
      <c r="B2009" s="13" t="s">
        <v>5692</v>
      </c>
      <c r="C2009" s="14">
        <v>1.0525281129435349</v>
      </c>
      <c r="D2009" s="14">
        <v>1.0990872104455951</v>
      </c>
      <c r="E2009" s="14">
        <v>1.2446614781081631</v>
      </c>
      <c r="F2009" s="8">
        <v>0.94537901693029347</v>
      </c>
      <c r="G2009" s="8">
        <f t="shared" si="248"/>
        <v>1.0758076616945651</v>
      </c>
      <c r="H2009" s="8">
        <f t="shared" si="249"/>
        <v>1.0950202475192283</v>
      </c>
      <c r="I2009" s="8">
        <f t="shared" si="250"/>
        <v>1.0178587553414524</v>
      </c>
      <c r="J2009" s="22">
        <f t="shared" si="251"/>
        <v>2.5537377615757889E-2</v>
      </c>
      <c r="K2009" s="8"/>
      <c r="L2009" s="8">
        <v>0.96470023657444948</v>
      </c>
      <c r="M2009" s="8">
        <v>1.0746866992549735</v>
      </c>
      <c r="N2009" s="8">
        <v>0.88479758612612547</v>
      </c>
      <c r="O2009" s="8">
        <v>0.86070072377309281</v>
      </c>
      <c r="P2009" s="8">
        <f t="shared" si="252"/>
        <v>1.0196934679147116</v>
      </c>
      <c r="Q2009" s="8">
        <f t="shared" si="253"/>
        <v>0.87274915494960914</v>
      </c>
      <c r="R2009" s="8">
        <f t="shared" si="254"/>
        <v>0.85589364099232113</v>
      </c>
      <c r="S2009" s="22">
        <f t="shared" si="255"/>
        <v>-0.22449656595544554</v>
      </c>
      <c r="T2009" s="25"/>
      <c r="U2009" s="1" t="s">
        <v>5693</v>
      </c>
    </row>
    <row r="2010" spans="1:21">
      <c r="A2010" s="6" t="s">
        <v>5694</v>
      </c>
      <c r="B2010" s="6" t="s">
        <v>5695</v>
      </c>
      <c r="C2010" s="7">
        <v>0.97411647263396928</v>
      </c>
      <c r="D2010" s="7">
        <v>1.1101554965744203</v>
      </c>
      <c r="E2010" s="7">
        <v>0.98128392909013695</v>
      </c>
      <c r="F2010" s="8">
        <v>1.0817429058956038</v>
      </c>
      <c r="G2010" s="8">
        <f t="shared" si="248"/>
        <v>1.0421359846041947</v>
      </c>
      <c r="H2010" s="8">
        <f t="shared" si="249"/>
        <v>1.0315134174928704</v>
      </c>
      <c r="I2010" s="8">
        <f t="shared" si="250"/>
        <v>0.98980692801298986</v>
      </c>
      <c r="J2010" s="22">
        <f t="shared" si="251"/>
        <v>-1.4780954708103866E-2</v>
      </c>
      <c r="K2010" s="8"/>
      <c r="L2010" s="8">
        <v>0.80769253650246586</v>
      </c>
      <c r="M2010" s="8">
        <v>0.90213412956384809</v>
      </c>
      <c r="N2010" s="8">
        <v>0.96664461973167248</v>
      </c>
      <c r="O2010" s="8">
        <v>0.85728159958876948</v>
      </c>
      <c r="P2010" s="8">
        <f t="shared" si="252"/>
        <v>0.85491333303315697</v>
      </c>
      <c r="Q2010" s="8">
        <f t="shared" si="253"/>
        <v>0.91196310966022098</v>
      </c>
      <c r="R2010" s="8">
        <f t="shared" si="254"/>
        <v>1.066731649189113</v>
      </c>
      <c r="S2010" s="22">
        <f t="shared" si="255"/>
        <v>9.3197292304591756E-2</v>
      </c>
      <c r="T2010" s="25"/>
      <c r="U2010" s="1" t="s">
        <v>5696</v>
      </c>
    </row>
    <row r="2011" spans="1:21">
      <c r="A2011" s="6" t="s">
        <v>5697</v>
      </c>
      <c r="B2011" s="13" t="s">
        <v>5698</v>
      </c>
      <c r="C2011" s="14">
        <v>1.0972912924896185</v>
      </c>
      <c r="D2011" s="14">
        <v>1.0295345482617855</v>
      </c>
      <c r="E2011" s="14">
        <v>1.223015633720467</v>
      </c>
      <c r="F2011" s="8">
        <v>1.1199701089266445</v>
      </c>
      <c r="G2011" s="8">
        <f t="shared" si="248"/>
        <v>1.0634129203757019</v>
      </c>
      <c r="H2011" s="8">
        <f t="shared" si="249"/>
        <v>1.1714928713235557</v>
      </c>
      <c r="I2011" s="8">
        <f t="shared" si="250"/>
        <v>1.1016349800505238</v>
      </c>
      <c r="J2011" s="22">
        <f t="shared" si="251"/>
        <v>0.13964627499237736</v>
      </c>
      <c r="K2011" s="8"/>
      <c r="L2011" s="8">
        <v>0.90054552917916797</v>
      </c>
      <c r="M2011" s="8">
        <v>1.4475943072871054</v>
      </c>
      <c r="N2011" s="8">
        <v>1.5413297428886834</v>
      </c>
      <c r="O2011" s="8">
        <v>0.7576677129052003</v>
      </c>
      <c r="P2011" s="8">
        <f t="shared" si="252"/>
        <v>1.1740699182331367</v>
      </c>
      <c r="Q2011" s="8">
        <f t="shared" si="253"/>
        <v>1.1494987278969417</v>
      </c>
      <c r="R2011" s="8">
        <f t="shared" si="254"/>
        <v>0.97907178273235018</v>
      </c>
      <c r="S2011" s="22">
        <f t="shared" si="255"/>
        <v>-3.0513456922020597E-2</v>
      </c>
      <c r="T2011" s="25"/>
      <c r="U2011" s="1" t="s">
        <v>5699</v>
      </c>
    </row>
    <row r="2012" spans="1:21">
      <c r="A2012" s="6" t="s">
        <v>5700</v>
      </c>
      <c r="B2012" s="13" t="s">
        <v>5701</v>
      </c>
      <c r="C2012" s="14">
        <v>1.0485036870462068</v>
      </c>
      <c r="D2012" s="14">
        <v>1.1110032121305298</v>
      </c>
      <c r="E2012" s="14">
        <v>1.054739110495055</v>
      </c>
      <c r="F2012" s="8">
        <v>1.1542103718758809</v>
      </c>
      <c r="G2012" s="8">
        <f t="shared" si="248"/>
        <v>1.0797534495883683</v>
      </c>
      <c r="H2012" s="8">
        <f t="shared" si="249"/>
        <v>1.1044747411854678</v>
      </c>
      <c r="I2012" s="8">
        <f t="shared" si="250"/>
        <v>1.0228953115236854</v>
      </c>
      <c r="J2012" s="22">
        <f t="shared" si="251"/>
        <v>3.2658499653978039E-2</v>
      </c>
      <c r="K2012" s="8"/>
      <c r="L2012" s="8">
        <v>0.46297996553508858</v>
      </c>
      <c r="M2012" s="8">
        <v>0.43378381875041228</v>
      </c>
      <c r="N2012" s="8">
        <v>0.5686244777619982</v>
      </c>
      <c r="O2012" s="8">
        <v>0.47000199608384824</v>
      </c>
      <c r="P2012" s="8">
        <f t="shared" si="252"/>
        <v>0.44838189214275043</v>
      </c>
      <c r="Q2012" s="8">
        <f t="shared" si="253"/>
        <v>0.51931323692292319</v>
      </c>
      <c r="R2012" s="8">
        <f t="shared" si="254"/>
        <v>1.1581940440128</v>
      </c>
      <c r="S2012" s="22">
        <f t="shared" si="255"/>
        <v>0.21187698293211024</v>
      </c>
      <c r="T2012" s="25"/>
      <c r="U2012" s="1" t="s">
        <v>5702</v>
      </c>
    </row>
    <row r="2013" spans="1:21">
      <c r="A2013" s="6" t="s">
        <v>5703</v>
      </c>
      <c r="B2013" s="13" t="s">
        <v>5704</v>
      </c>
      <c r="C2013" s="14">
        <v>1.073152344716042</v>
      </c>
      <c r="D2013" s="14">
        <v>1.0597244183024754</v>
      </c>
      <c r="E2013" s="14">
        <v>1.2060989910431605</v>
      </c>
      <c r="F2013" s="8">
        <v>1.1185123290729453</v>
      </c>
      <c r="G2013" s="8">
        <f t="shared" si="248"/>
        <v>1.0664383815092586</v>
      </c>
      <c r="H2013" s="8">
        <f t="shared" si="249"/>
        <v>1.162305660058053</v>
      </c>
      <c r="I2013" s="8">
        <f t="shared" si="250"/>
        <v>1.0898948126877428</v>
      </c>
      <c r="J2013" s="22">
        <f t="shared" si="251"/>
        <v>0.12418890515221769</v>
      </c>
      <c r="K2013" s="8"/>
      <c r="L2013" s="8">
        <v>1.318265014942066</v>
      </c>
      <c r="M2013" s="8">
        <v>1.4118616042907817</v>
      </c>
      <c r="N2013" s="8">
        <v>1.5592284713449831</v>
      </c>
      <c r="O2013" s="8">
        <v>1.2795689522048221</v>
      </c>
      <c r="P2013" s="8">
        <f t="shared" si="252"/>
        <v>1.3650633096164237</v>
      </c>
      <c r="Q2013" s="8">
        <f t="shared" si="253"/>
        <v>1.4193987117749027</v>
      </c>
      <c r="R2013" s="8">
        <f t="shared" si="254"/>
        <v>1.0398043092768694</v>
      </c>
      <c r="S2013" s="22">
        <f t="shared" si="255"/>
        <v>5.6312039327343605E-2</v>
      </c>
      <c r="T2013" s="25"/>
      <c r="U2013" s="1" t="s">
        <v>5705</v>
      </c>
    </row>
    <row r="2014" spans="1:21">
      <c r="A2014" s="6" t="s">
        <v>5706</v>
      </c>
      <c r="B2014" s="13" t="s">
        <v>80</v>
      </c>
      <c r="C2014" s="14">
        <v>1.0555102962171692</v>
      </c>
      <c r="D2014" s="14">
        <v>1.0847640164739725</v>
      </c>
      <c r="E2014" s="14">
        <v>0.98535205959369765</v>
      </c>
      <c r="F2014" s="8">
        <v>0.91244724312684722</v>
      </c>
      <c r="G2014" s="8">
        <f t="shared" si="248"/>
        <v>1.0701371563455708</v>
      </c>
      <c r="H2014" s="8">
        <f t="shared" si="249"/>
        <v>0.94889965136027243</v>
      </c>
      <c r="I2014" s="8">
        <f t="shared" si="250"/>
        <v>0.88670844268288529</v>
      </c>
      <c r="J2014" s="22">
        <f t="shared" si="251"/>
        <v>-0.17346828285374929</v>
      </c>
      <c r="K2014" s="8"/>
      <c r="L2014" s="8">
        <v>0.86123411352004131</v>
      </c>
      <c r="M2014" s="8">
        <v>0.93068297321104154</v>
      </c>
      <c r="N2014" s="8">
        <v>1.0664470233392669</v>
      </c>
      <c r="O2014" s="8">
        <v>1.0158881363779768</v>
      </c>
      <c r="P2014" s="8">
        <f t="shared" si="252"/>
        <v>0.89595854336554148</v>
      </c>
      <c r="Q2014" s="8">
        <f t="shared" si="253"/>
        <v>1.0411675798586217</v>
      </c>
      <c r="R2014" s="8">
        <f t="shared" si="254"/>
        <v>1.1620711556001497</v>
      </c>
      <c r="S2014" s="22">
        <f t="shared" si="255"/>
        <v>0.21669841012669955</v>
      </c>
      <c r="T2014" s="25"/>
      <c r="U2014" s="1">
        <v>0</v>
      </c>
    </row>
    <row r="2015" spans="1:21">
      <c r="A2015" s="6" t="s">
        <v>5707</v>
      </c>
      <c r="B2015" s="13" t="s">
        <v>5708</v>
      </c>
      <c r="C2015" s="14">
        <v>1.146398417569491</v>
      </c>
      <c r="D2015" s="14">
        <v>1.1398015490885496</v>
      </c>
      <c r="E2015" s="14">
        <v>1.0477470111920599</v>
      </c>
      <c r="F2015" s="8">
        <v>1.038861345500343</v>
      </c>
      <c r="G2015" s="8">
        <f t="shared" si="248"/>
        <v>1.1430999833290203</v>
      </c>
      <c r="H2015" s="8">
        <f t="shared" si="249"/>
        <v>1.0433041783462014</v>
      </c>
      <c r="I2015" s="8">
        <f t="shared" si="250"/>
        <v>0.91269722120703189</v>
      </c>
      <c r="J2015" s="22">
        <f t="shared" si="251"/>
        <v>-0.13179175593761408</v>
      </c>
      <c r="K2015" s="8"/>
      <c r="L2015" s="8">
        <v>0.61594230201018874</v>
      </c>
      <c r="M2015" s="8">
        <v>0.66758578665847401</v>
      </c>
      <c r="N2015" s="8">
        <v>0.57202297050686512</v>
      </c>
      <c r="O2015" s="8">
        <v>0.47561548355064776</v>
      </c>
      <c r="P2015" s="8">
        <f t="shared" si="252"/>
        <v>0.64176404433433132</v>
      </c>
      <c r="Q2015" s="8">
        <f t="shared" si="253"/>
        <v>0.5238192270287565</v>
      </c>
      <c r="R2015" s="8">
        <f t="shared" si="254"/>
        <v>0.81621778542000922</v>
      </c>
      <c r="S2015" s="22">
        <f t="shared" si="255"/>
        <v>-0.29297394756298478</v>
      </c>
      <c r="T2015" s="25"/>
      <c r="U2015" s="1" t="s">
        <v>5709</v>
      </c>
    </row>
    <row r="2016" spans="1:21">
      <c r="A2016" s="6" t="s">
        <v>5710</v>
      </c>
      <c r="B2016" s="6" t="s">
        <v>5711</v>
      </c>
      <c r="C2016" s="7">
        <v>1.063787376323583</v>
      </c>
      <c r="D2016" s="7">
        <v>1.2182072407121061</v>
      </c>
      <c r="E2016" s="7">
        <v>1.2155997708233512</v>
      </c>
      <c r="F2016" s="8">
        <v>1.2325704299153879</v>
      </c>
      <c r="G2016" s="8">
        <f t="shared" si="248"/>
        <v>1.1409973085178446</v>
      </c>
      <c r="H2016" s="8">
        <f t="shared" si="249"/>
        <v>1.2240851003693696</v>
      </c>
      <c r="I2016" s="8">
        <f t="shared" si="250"/>
        <v>1.0728203223892403</v>
      </c>
      <c r="J2016" s="22">
        <f t="shared" si="251"/>
        <v>0.10140847152400279</v>
      </c>
      <c r="K2016" s="8"/>
      <c r="L2016" s="8">
        <v>0.35699143929674126</v>
      </c>
      <c r="M2016" s="8">
        <v>0.40182963917798165</v>
      </c>
      <c r="N2016" s="8">
        <v>0.4534155737110066</v>
      </c>
      <c r="O2016" s="8">
        <v>0.41993989422084554</v>
      </c>
      <c r="P2016" s="8">
        <f t="shared" si="252"/>
        <v>0.37941053923736145</v>
      </c>
      <c r="Q2016" s="8">
        <f t="shared" si="253"/>
        <v>0.43667773396592607</v>
      </c>
      <c r="R2016" s="8">
        <f t="shared" si="254"/>
        <v>1.1509372798227355</v>
      </c>
      <c r="S2016" s="22">
        <f t="shared" si="255"/>
        <v>0.20280921613376446</v>
      </c>
      <c r="T2016" s="25"/>
      <c r="U2016" s="1" t="s">
        <v>5712</v>
      </c>
    </row>
    <row r="2017" spans="1:21">
      <c r="A2017" s="6" t="s">
        <v>5713</v>
      </c>
      <c r="B2017" s="13" t="s">
        <v>5714</v>
      </c>
      <c r="C2017" s="14">
        <v>1.1936949313760854</v>
      </c>
      <c r="D2017" s="14">
        <v>1.2365290929672641</v>
      </c>
      <c r="E2017" s="14">
        <v>1.015074838085338</v>
      </c>
      <c r="F2017" s="8">
        <v>1.0983053926671504</v>
      </c>
      <c r="G2017" s="8">
        <f t="shared" si="248"/>
        <v>1.2151120121716747</v>
      </c>
      <c r="H2017" s="8">
        <f t="shared" si="249"/>
        <v>1.0566901153762442</v>
      </c>
      <c r="I2017" s="8">
        <f t="shared" si="250"/>
        <v>0.86962362711541674</v>
      </c>
      <c r="J2017" s="22">
        <f t="shared" si="251"/>
        <v>-0.20153695689198745</v>
      </c>
      <c r="K2017" s="8"/>
      <c r="L2017" s="8">
        <v>0.92377067547656955</v>
      </c>
      <c r="M2017" s="8">
        <v>1.3285008467784698</v>
      </c>
      <c r="N2017" s="8">
        <v>1.0796445034985005</v>
      </c>
      <c r="O2017" s="8">
        <v>1.3299372442932866</v>
      </c>
      <c r="P2017" s="8">
        <f t="shared" si="252"/>
        <v>1.1261357611275198</v>
      </c>
      <c r="Q2017" s="8">
        <f t="shared" si="253"/>
        <v>1.2047908738958935</v>
      </c>
      <c r="R2017" s="8">
        <f t="shared" si="254"/>
        <v>1.0698451425515711</v>
      </c>
      <c r="S2017" s="22">
        <f t="shared" si="255"/>
        <v>9.7401985185967613E-2</v>
      </c>
      <c r="T2017" s="25"/>
      <c r="U2017" s="1" t="s">
        <v>5715</v>
      </c>
    </row>
    <row r="2018" spans="1:21">
      <c r="A2018" s="6" t="s">
        <v>5716</v>
      </c>
      <c r="B2018" s="6" t="s">
        <v>5717</v>
      </c>
      <c r="C2018" s="7">
        <v>1.1794610923327946</v>
      </c>
      <c r="D2018" s="7">
        <v>1.1823552705419302</v>
      </c>
      <c r="E2018" s="7">
        <v>1.1475772386950631</v>
      </c>
      <c r="F2018" s="8">
        <v>1.1781847032047899</v>
      </c>
      <c r="G2018" s="8">
        <f t="shared" si="248"/>
        <v>1.1809081814373625</v>
      </c>
      <c r="H2018" s="8">
        <f t="shared" si="249"/>
        <v>1.1628809709499266</v>
      </c>
      <c r="I2018" s="8">
        <f t="shared" si="250"/>
        <v>0.98473445203377807</v>
      </c>
      <c r="J2018" s="22">
        <f t="shared" si="251"/>
        <v>-2.219336157136928E-2</v>
      </c>
      <c r="K2018" s="8"/>
      <c r="L2018" s="8">
        <v>0.60318750855177961</v>
      </c>
      <c r="M2018" s="8">
        <v>1.1656978004897358</v>
      </c>
      <c r="N2018" s="8">
        <v>1.036653570275933</v>
      </c>
      <c r="O2018" s="8">
        <v>0.94847525507213937</v>
      </c>
      <c r="P2018" s="8">
        <f t="shared" si="252"/>
        <v>0.88444265452075777</v>
      </c>
      <c r="Q2018" s="8">
        <f t="shared" si="253"/>
        <v>0.99256441267403617</v>
      </c>
      <c r="R2018" s="8">
        <f t="shared" si="254"/>
        <v>1.1222484664219017</v>
      </c>
      <c r="S2018" s="22">
        <f t="shared" si="255"/>
        <v>0.16639212477916157</v>
      </c>
      <c r="T2018" s="25"/>
      <c r="U2018" s="1" t="s">
        <v>5718</v>
      </c>
    </row>
    <row r="2019" spans="1:21">
      <c r="A2019" s="6" t="s">
        <v>5719</v>
      </c>
      <c r="B2019" s="6" t="s">
        <v>80</v>
      </c>
      <c r="C2019" s="7">
        <v>1.002743910538781</v>
      </c>
      <c r="D2019" s="7">
        <v>1.0641949182634678</v>
      </c>
      <c r="E2019" s="7">
        <v>1.0561290550837714</v>
      </c>
      <c r="F2019" s="8">
        <v>1.0849833924378631</v>
      </c>
      <c r="G2019" s="8">
        <f t="shared" si="248"/>
        <v>1.0334694144011243</v>
      </c>
      <c r="H2019" s="8">
        <f t="shared" si="249"/>
        <v>1.0705562237608173</v>
      </c>
      <c r="I2019" s="8">
        <f t="shared" si="250"/>
        <v>1.0358857348295925</v>
      </c>
      <c r="J2019" s="22">
        <f t="shared" si="251"/>
        <v>5.0864872825258263E-2</v>
      </c>
      <c r="K2019" s="8"/>
      <c r="L2019" s="8">
        <v>0.95284970086122611</v>
      </c>
      <c r="M2019" s="8">
        <v>1.2354838627384308</v>
      </c>
      <c r="N2019" s="8">
        <v>1.1490303970395352</v>
      </c>
      <c r="O2019" s="8">
        <v>1.0195624190835184</v>
      </c>
      <c r="P2019" s="8">
        <f t="shared" si="252"/>
        <v>1.0941667817998284</v>
      </c>
      <c r="Q2019" s="8">
        <f t="shared" si="253"/>
        <v>1.0842964080615269</v>
      </c>
      <c r="R2019" s="8">
        <f t="shared" si="254"/>
        <v>0.99097909578093257</v>
      </c>
      <c r="S2019" s="22">
        <f t="shared" si="255"/>
        <v>-1.3073470100491383E-2</v>
      </c>
      <c r="T2019" s="25"/>
      <c r="U2019" s="1">
        <v>0</v>
      </c>
    </row>
    <row r="2020" spans="1:21">
      <c r="A2020" s="6" t="s">
        <v>5720</v>
      </c>
      <c r="B2020" s="6" t="s">
        <v>80</v>
      </c>
      <c r="C2020" s="7">
        <v>1.1217269370684799</v>
      </c>
      <c r="D2020" s="7">
        <v>1.1873535933963493</v>
      </c>
      <c r="E2020" s="7">
        <v>1.1278298552090289</v>
      </c>
      <c r="F2020" s="8">
        <v>1.1625969969378254</v>
      </c>
      <c r="G2020" s="8">
        <f t="shared" si="248"/>
        <v>1.1545402652324146</v>
      </c>
      <c r="H2020" s="8">
        <f t="shared" si="249"/>
        <v>1.1452134260734272</v>
      </c>
      <c r="I2020" s="8">
        <f t="shared" si="250"/>
        <v>0.99192159906427357</v>
      </c>
      <c r="J2020" s="22">
        <f t="shared" si="251"/>
        <v>-1.1701999588798619E-2</v>
      </c>
      <c r="K2020" s="8"/>
      <c r="L2020" s="8">
        <v>1.2877106216573695</v>
      </c>
      <c r="M2020" s="8">
        <v>1.3870446356301493</v>
      </c>
      <c r="N2020" s="8">
        <v>1.4298591808570458</v>
      </c>
      <c r="O2020" s="8">
        <v>1.565448559377647</v>
      </c>
      <c r="P2020" s="8">
        <f t="shared" si="252"/>
        <v>1.3373776286437593</v>
      </c>
      <c r="Q2020" s="8">
        <f t="shared" si="253"/>
        <v>1.4976538701173463</v>
      </c>
      <c r="R2020" s="8">
        <f t="shared" si="254"/>
        <v>1.1198436687146651</v>
      </c>
      <c r="S2020" s="22">
        <f t="shared" si="255"/>
        <v>0.16329734468283849</v>
      </c>
      <c r="T2020" s="25"/>
      <c r="U2020" s="1">
        <v>0</v>
      </c>
    </row>
    <row r="2021" spans="1:21">
      <c r="A2021" s="6" t="s">
        <v>5721</v>
      </c>
      <c r="B2021" s="6" t="s">
        <v>5722</v>
      </c>
      <c r="C2021" s="7">
        <v>0.94813648314554722</v>
      </c>
      <c r="D2021" s="7">
        <v>0.99548197431920038</v>
      </c>
      <c r="E2021" s="7">
        <v>0.8566889571467079</v>
      </c>
      <c r="F2021" s="8">
        <v>0.97884648092094251</v>
      </c>
      <c r="G2021" s="8">
        <f t="shared" si="248"/>
        <v>0.97180922873237385</v>
      </c>
      <c r="H2021" s="8">
        <f t="shared" si="249"/>
        <v>0.91776771903382515</v>
      </c>
      <c r="I2021" s="8">
        <f t="shared" si="250"/>
        <v>0.94439082476193359</v>
      </c>
      <c r="J2021" s="22">
        <f t="shared" si="251"/>
        <v>-8.2544069770149914E-2</v>
      </c>
      <c r="K2021" s="8"/>
      <c r="L2021" s="8">
        <v>1.126705150501407</v>
      </c>
      <c r="M2021" s="8">
        <v>1.1653712614284115</v>
      </c>
      <c r="N2021" s="8">
        <v>1.4667328271388527</v>
      </c>
      <c r="O2021" s="8">
        <v>1.0905985513906538</v>
      </c>
      <c r="P2021" s="8">
        <f t="shared" si="252"/>
        <v>1.1460382059649092</v>
      </c>
      <c r="Q2021" s="8">
        <f t="shared" si="253"/>
        <v>1.2786656892647532</v>
      </c>
      <c r="R2021" s="8">
        <f t="shared" si="254"/>
        <v>1.1157269300530674</v>
      </c>
      <c r="S2021" s="22">
        <f t="shared" si="255"/>
        <v>0.15798397621367399</v>
      </c>
      <c r="T2021" s="25"/>
      <c r="U2021" s="1" t="s">
        <v>5723</v>
      </c>
    </row>
    <row r="2022" spans="1:21">
      <c r="A2022" s="6" t="s">
        <v>5724</v>
      </c>
      <c r="B2022" s="13" t="s">
        <v>5725</v>
      </c>
      <c r="C2022" s="14">
        <v>1.0665565465062437</v>
      </c>
      <c r="D2022" s="14">
        <v>1.0702408895881728</v>
      </c>
      <c r="E2022" s="14">
        <v>0.97018979819605156</v>
      </c>
      <c r="F2022" s="8">
        <v>1.0412587786332339</v>
      </c>
      <c r="G2022" s="8">
        <f t="shared" si="248"/>
        <v>1.0683987180472081</v>
      </c>
      <c r="H2022" s="8">
        <f t="shared" si="249"/>
        <v>1.0057242884146427</v>
      </c>
      <c r="I2022" s="8">
        <f t="shared" si="250"/>
        <v>0.94133797750420356</v>
      </c>
      <c r="J2022" s="22">
        <f t="shared" si="251"/>
        <v>-8.7215294435976878E-2</v>
      </c>
      <c r="K2022" s="8"/>
      <c r="L2022" s="8">
        <v>0.88269833683997612</v>
      </c>
      <c r="M2022" s="8">
        <v>1.2610472063963754</v>
      </c>
      <c r="N2022" s="8">
        <v>1.0028385674645062</v>
      </c>
      <c r="O2022" s="8">
        <v>0.79997299572317104</v>
      </c>
      <c r="P2022" s="8">
        <f t="shared" si="252"/>
        <v>1.0718727716181757</v>
      </c>
      <c r="Q2022" s="8">
        <f t="shared" si="253"/>
        <v>0.90140578159383855</v>
      </c>
      <c r="R2022" s="8">
        <f t="shared" si="254"/>
        <v>0.84096341045496659</v>
      </c>
      <c r="S2022" s="22">
        <f t="shared" si="255"/>
        <v>-0.24988506337664607</v>
      </c>
      <c r="T2022" s="25"/>
      <c r="U2022" s="1" t="s">
        <v>5726</v>
      </c>
    </row>
    <row r="2023" spans="1:21">
      <c r="A2023" s="6" t="s">
        <v>5727</v>
      </c>
      <c r="B2023" s="13" t="s">
        <v>5728</v>
      </c>
      <c r="C2023" s="14">
        <v>0.83995626337238116</v>
      </c>
      <c r="D2023" s="14">
        <v>0.98446966940634473</v>
      </c>
      <c r="E2023" s="14">
        <v>0.9133631002244379</v>
      </c>
      <c r="F2023" s="8">
        <v>0.99511916808301881</v>
      </c>
      <c r="G2023" s="8">
        <f t="shared" si="248"/>
        <v>0.912212966389363</v>
      </c>
      <c r="H2023" s="8">
        <f t="shared" si="249"/>
        <v>0.95424113415372835</v>
      </c>
      <c r="I2023" s="8">
        <f t="shared" si="250"/>
        <v>1.0460727585694352</v>
      </c>
      <c r="J2023" s="22">
        <f t="shared" si="251"/>
        <v>6.4983200319781095E-2</v>
      </c>
      <c r="K2023" s="8"/>
      <c r="L2023" s="8">
        <v>0.98616445989438428</v>
      </c>
      <c r="M2023" s="8">
        <v>1.2056288628459411</v>
      </c>
      <c r="N2023" s="8">
        <v>0.84656454274637161</v>
      </c>
      <c r="O2023" s="8">
        <v>1.3966867134439569</v>
      </c>
      <c r="P2023" s="8">
        <f t="shared" si="252"/>
        <v>1.0958966613701626</v>
      </c>
      <c r="Q2023" s="8">
        <f t="shared" si="253"/>
        <v>1.1216256280951642</v>
      </c>
      <c r="R2023" s="8">
        <f t="shared" si="254"/>
        <v>1.0234775482323613</v>
      </c>
      <c r="S2023" s="22">
        <f t="shared" si="255"/>
        <v>3.3479454672895467E-2</v>
      </c>
      <c r="T2023" s="25"/>
      <c r="U2023" s="1" t="s">
        <v>5729</v>
      </c>
    </row>
    <row r="2024" spans="1:21">
      <c r="A2024" s="6" t="s">
        <v>5730</v>
      </c>
      <c r="B2024" s="6" t="s">
        <v>5731</v>
      </c>
      <c r="C2024" s="7">
        <v>0.99333329648397051</v>
      </c>
      <c r="D2024" s="7">
        <v>1.0418824050413418</v>
      </c>
      <c r="E2024" s="7">
        <v>1.1703333436993559</v>
      </c>
      <c r="F2024" s="8">
        <v>1.1256168104081421</v>
      </c>
      <c r="G2024" s="8">
        <f t="shared" si="248"/>
        <v>1.0176078507626563</v>
      </c>
      <c r="H2024" s="8">
        <f t="shared" si="249"/>
        <v>1.1479750770537489</v>
      </c>
      <c r="I2024" s="8">
        <f t="shared" si="250"/>
        <v>1.1281114588428025</v>
      </c>
      <c r="J2024" s="22">
        <f t="shared" si="251"/>
        <v>0.17390961487840464</v>
      </c>
      <c r="K2024" s="8"/>
      <c r="L2024" s="8">
        <v>1.0477491715928222</v>
      </c>
      <c r="M2024" s="8">
        <v>0.86057037190102226</v>
      </c>
      <c r="N2024" s="8">
        <v>0.69765391897544893</v>
      </c>
      <c r="O2024" s="8">
        <v>0.62927194502822292</v>
      </c>
      <c r="P2024" s="8">
        <f t="shared" si="252"/>
        <v>0.95415977174692224</v>
      </c>
      <c r="Q2024" s="8">
        <f t="shared" si="253"/>
        <v>0.66346293200183593</v>
      </c>
      <c r="R2024" s="8">
        <f t="shared" si="254"/>
        <v>0.69533735507119065</v>
      </c>
      <c r="S2024" s="22">
        <f t="shared" si="255"/>
        <v>-0.5242149984850264</v>
      </c>
      <c r="T2024" s="25"/>
      <c r="U2024" s="1" t="s">
        <v>5732</v>
      </c>
    </row>
    <row r="2025" spans="1:21">
      <c r="A2025" s="6" t="s">
        <v>5733</v>
      </c>
      <c r="B2025" s="6" t="s">
        <v>5734</v>
      </c>
      <c r="C2025" s="7">
        <v>1.0463126952533326</v>
      </c>
      <c r="D2025" s="7">
        <v>1.0990472238627598</v>
      </c>
      <c r="E2025" s="7">
        <v>1.0379665474397495</v>
      </c>
      <c r="F2025" s="8">
        <v>1.1142180257689758</v>
      </c>
      <c r="G2025" s="8">
        <f t="shared" si="248"/>
        <v>1.0726799595580463</v>
      </c>
      <c r="H2025" s="8">
        <f t="shared" si="249"/>
        <v>1.0760922866043625</v>
      </c>
      <c r="I2025" s="8">
        <f t="shared" si="250"/>
        <v>1.0031811231448029</v>
      </c>
      <c r="J2025" s="22">
        <f t="shared" si="251"/>
        <v>4.582106321164515E-3</v>
      </c>
      <c r="K2025" s="8"/>
      <c r="L2025" s="8">
        <v>0.63488412214618439</v>
      </c>
      <c r="M2025" s="8">
        <v>0.53183883402230892</v>
      </c>
      <c r="N2025" s="8">
        <v>0.59785151536785441</v>
      </c>
      <c r="O2025" s="8">
        <v>0.49388483366986791</v>
      </c>
      <c r="P2025" s="8">
        <f t="shared" si="252"/>
        <v>0.58336147808424665</v>
      </c>
      <c r="Q2025" s="8">
        <f t="shared" si="253"/>
        <v>0.54586817451886116</v>
      </c>
      <c r="R2025" s="8">
        <f t="shared" si="254"/>
        <v>0.93572886627942398</v>
      </c>
      <c r="S2025" s="22">
        <f t="shared" si="255"/>
        <v>-9.5837535099742632E-2</v>
      </c>
      <c r="T2025" s="25"/>
      <c r="U2025" s="1" t="s">
        <v>5735</v>
      </c>
    </row>
    <row r="2026" spans="1:21">
      <c r="A2026" s="6" t="s">
        <v>5736</v>
      </c>
      <c r="B2026" s="13" t="s">
        <v>5737</v>
      </c>
      <c r="C2026" s="14">
        <v>0.98621257315712918</v>
      </c>
      <c r="D2026" s="14">
        <v>1.1077563016042993</v>
      </c>
      <c r="E2026" s="14">
        <v>1.0662485297113788</v>
      </c>
      <c r="F2026" s="8">
        <v>1.0090383311439421</v>
      </c>
      <c r="G2026" s="8">
        <f t="shared" si="248"/>
        <v>1.0469844373807142</v>
      </c>
      <c r="H2026" s="8">
        <f t="shared" si="249"/>
        <v>1.0376434304276605</v>
      </c>
      <c r="I2026" s="8">
        <f t="shared" si="250"/>
        <v>0.99107817975172341</v>
      </c>
      <c r="J2026" s="22">
        <f t="shared" si="251"/>
        <v>-1.2929228099843659E-2</v>
      </c>
      <c r="K2026" s="8"/>
      <c r="L2026" s="8">
        <v>0.9192017942377364</v>
      </c>
      <c r="M2026" s="8">
        <v>0.71045570056659624</v>
      </c>
      <c r="N2026" s="8">
        <v>1.2454343079022627</v>
      </c>
      <c r="O2026" s="8">
        <v>0.84564637102122142</v>
      </c>
      <c r="P2026" s="8">
        <f t="shared" si="252"/>
        <v>0.81482874740216626</v>
      </c>
      <c r="Q2026" s="8">
        <f t="shared" si="253"/>
        <v>1.0455403394617422</v>
      </c>
      <c r="R2026" s="8">
        <f t="shared" si="254"/>
        <v>1.2831412033450338</v>
      </c>
      <c r="S2026" s="22">
        <f t="shared" si="255"/>
        <v>0.35967994061964664</v>
      </c>
      <c r="T2026" s="25"/>
      <c r="U2026" s="1" t="s">
        <v>5738</v>
      </c>
    </row>
    <row r="2027" spans="1:21">
      <c r="A2027" s="6" t="s">
        <v>5739</v>
      </c>
      <c r="B2027" s="13" t="s">
        <v>5740</v>
      </c>
      <c r="C2027" s="14">
        <v>1.0290358120532721</v>
      </c>
      <c r="D2027" s="14">
        <v>1.1691836901559656</v>
      </c>
      <c r="E2027" s="14">
        <v>1.0590021722519112</v>
      </c>
      <c r="F2027" s="8">
        <v>1.1359090874475124</v>
      </c>
      <c r="G2027" s="8">
        <f t="shared" si="248"/>
        <v>1.0991097511046188</v>
      </c>
      <c r="H2027" s="8">
        <f t="shared" si="249"/>
        <v>1.0974556298497118</v>
      </c>
      <c r="I2027" s="8">
        <f t="shared" si="250"/>
        <v>0.99849503541093632</v>
      </c>
      <c r="J2027" s="22">
        <f t="shared" si="251"/>
        <v>-2.1728403836909892E-3</v>
      </c>
      <c r="K2027" s="8"/>
      <c r="L2027" s="8">
        <v>0.65135113161114533</v>
      </c>
      <c r="M2027" s="8">
        <v>0.56211366985078692</v>
      </c>
      <c r="N2027" s="8">
        <v>0.67913213351592372</v>
      </c>
      <c r="O2027" s="8">
        <v>0.64703097810500676</v>
      </c>
      <c r="P2027" s="8">
        <f t="shared" si="252"/>
        <v>0.60673240073096613</v>
      </c>
      <c r="Q2027" s="8">
        <f t="shared" si="253"/>
        <v>0.66308155581046524</v>
      </c>
      <c r="R2027" s="8">
        <f t="shared" si="254"/>
        <v>1.0928731595866843</v>
      </c>
      <c r="S2027" s="22">
        <f t="shared" si="255"/>
        <v>0.12812596948738209</v>
      </c>
      <c r="T2027" s="25"/>
      <c r="U2027" s="1" t="s">
        <v>5741</v>
      </c>
    </row>
    <row r="2028" spans="1:21">
      <c r="A2028" s="6" t="s">
        <v>5742</v>
      </c>
      <c r="B2028" s="6" t="s">
        <v>5743</v>
      </c>
      <c r="C2028" s="7">
        <v>1.0522314161382498</v>
      </c>
      <c r="D2028" s="7">
        <v>1.1734062733033788</v>
      </c>
      <c r="E2028" s="7">
        <v>1.2090907620176541</v>
      </c>
      <c r="F2028" s="8">
        <v>1.1976276224583446</v>
      </c>
      <c r="G2028" s="8">
        <f t="shared" si="248"/>
        <v>1.1128188447208143</v>
      </c>
      <c r="H2028" s="8">
        <f t="shared" si="249"/>
        <v>1.2033591922379994</v>
      </c>
      <c r="I2028" s="8">
        <f t="shared" si="250"/>
        <v>1.0813612637373156</v>
      </c>
      <c r="J2028" s="22">
        <f t="shared" si="251"/>
        <v>0.1128485825839573</v>
      </c>
      <c r="K2028" s="8"/>
      <c r="L2028" s="8">
        <v>0.36170309807428791</v>
      </c>
      <c r="M2028" s="8">
        <v>0.35354850653934561</v>
      </c>
      <c r="N2028" s="8">
        <v>0.37338106956938855</v>
      </c>
      <c r="O2028" s="8">
        <v>0.35742605652239667</v>
      </c>
      <c r="P2028" s="8">
        <f t="shared" si="252"/>
        <v>0.35762580230681673</v>
      </c>
      <c r="Q2028" s="8">
        <f t="shared" si="253"/>
        <v>0.36540356304589261</v>
      </c>
      <c r="R2028" s="8">
        <f t="shared" si="254"/>
        <v>1.021748320979377</v>
      </c>
      <c r="S2028" s="22">
        <f t="shared" si="255"/>
        <v>3.10398726057293E-2</v>
      </c>
      <c r="T2028" s="25"/>
      <c r="U2028" s="1" t="s">
        <v>5744</v>
      </c>
    </row>
    <row r="2029" spans="1:21">
      <c r="A2029" s="6" t="s">
        <v>5745</v>
      </c>
      <c r="B2029" s="13" t="s">
        <v>5746</v>
      </c>
      <c r="C2029" s="14">
        <v>0.95209244054934794</v>
      </c>
      <c r="D2029" s="14">
        <v>1.1677601678070271</v>
      </c>
      <c r="E2029" s="14">
        <v>1.2003697072506458</v>
      </c>
      <c r="F2029" s="8">
        <v>1.0865992448058188</v>
      </c>
      <c r="G2029" s="8">
        <f t="shared" si="248"/>
        <v>1.0599263041781875</v>
      </c>
      <c r="H2029" s="8">
        <f t="shared" si="249"/>
        <v>1.1434844760282323</v>
      </c>
      <c r="I2029" s="8">
        <f t="shared" si="250"/>
        <v>1.0788339448890567</v>
      </c>
      <c r="J2029" s="22">
        <f t="shared" si="251"/>
        <v>0.10947282096929994</v>
      </c>
      <c r="K2029" s="8"/>
      <c r="L2029" s="8">
        <v>0.52270856923025055</v>
      </c>
      <c r="M2029" s="8">
        <v>1.0031746448249936</v>
      </c>
      <c r="N2029" s="8">
        <v>0.54619442564587595</v>
      </c>
      <c r="O2029" s="8">
        <v>0.43718861025519307</v>
      </c>
      <c r="P2029" s="8">
        <f t="shared" si="252"/>
        <v>0.76294160702762204</v>
      </c>
      <c r="Q2029" s="8">
        <f t="shared" si="253"/>
        <v>0.49169151795053451</v>
      </c>
      <c r="R2029" s="8">
        <f t="shared" si="254"/>
        <v>0.64446808696950908</v>
      </c>
      <c r="S2029" s="22">
        <f t="shared" si="255"/>
        <v>-0.63381917448622804</v>
      </c>
      <c r="T2029" s="25"/>
      <c r="U2029" s="1" t="s">
        <v>5747</v>
      </c>
    </row>
    <row r="2030" spans="1:21">
      <c r="A2030" s="6" t="s">
        <v>5748</v>
      </c>
      <c r="B2030" s="13" t="s">
        <v>5749</v>
      </c>
      <c r="C2030" s="14">
        <v>0.68586411488395094</v>
      </c>
      <c r="D2030" s="14">
        <v>0.7101777057889701</v>
      </c>
      <c r="E2030" s="14">
        <v>0.7520532504863735</v>
      </c>
      <c r="F2030" s="8">
        <v>0.62216463430740265</v>
      </c>
      <c r="G2030" s="8">
        <f t="shared" si="248"/>
        <v>0.69802091033646052</v>
      </c>
      <c r="H2030" s="8">
        <f t="shared" si="249"/>
        <v>0.68710894239688813</v>
      </c>
      <c r="I2030" s="8">
        <f t="shared" si="250"/>
        <v>0.9843672764268443</v>
      </c>
      <c r="J2030" s="22">
        <f t="shared" si="251"/>
        <v>-2.2731396174398604E-2</v>
      </c>
      <c r="K2030" s="8"/>
      <c r="L2030" s="8">
        <v>0.34399868327380961</v>
      </c>
      <c r="M2030" s="8">
        <v>0.35219570185671711</v>
      </c>
      <c r="N2030" s="8">
        <v>0.41563566269723501</v>
      </c>
      <c r="O2030" s="8">
        <v>0.37140874348515174</v>
      </c>
      <c r="P2030" s="8">
        <f t="shared" si="252"/>
        <v>0.34809719256526339</v>
      </c>
      <c r="Q2030" s="8">
        <f t="shared" si="253"/>
        <v>0.39352220309119335</v>
      </c>
      <c r="R2030" s="8">
        <f t="shared" si="254"/>
        <v>1.1304951935727359</v>
      </c>
      <c r="S2030" s="22">
        <f t="shared" si="255"/>
        <v>0.17695485832250776</v>
      </c>
      <c r="T2030" s="25"/>
      <c r="U2030" s="1" t="s">
        <v>5750</v>
      </c>
    </row>
    <row r="2031" spans="1:21">
      <c r="A2031" s="6" t="s">
        <v>5751</v>
      </c>
      <c r="B2031" s="6" t="s">
        <v>5752</v>
      </c>
      <c r="C2031" s="7">
        <v>1.0402418221605767</v>
      </c>
      <c r="D2031" s="7">
        <v>1.1751976722144024</v>
      </c>
      <c r="E2031" s="7">
        <v>1.052086350395858</v>
      </c>
      <c r="F2031" s="8">
        <v>1.0028383758625465</v>
      </c>
      <c r="G2031" s="8">
        <f t="shared" si="248"/>
        <v>1.1077197471874896</v>
      </c>
      <c r="H2031" s="8">
        <f t="shared" si="249"/>
        <v>1.0274623631292021</v>
      </c>
      <c r="I2031" s="8">
        <f t="shared" si="250"/>
        <v>0.92754721195314827</v>
      </c>
      <c r="J2031" s="22">
        <f t="shared" si="251"/>
        <v>-0.10850737841840254</v>
      </c>
      <c r="K2031" s="8"/>
      <c r="L2031" s="8">
        <v>0.73954005802320533</v>
      </c>
      <c r="M2031" s="8">
        <v>0.77469059877278168</v>
      </c>
      <c r="N2031" s="8">
        <v>0.82385128290151044</v>
      </c>
      <c r="O2031" s="8">
        <v>0.76078064686406188</v>
      </c>
      <c r="P2031" s="8">
        <f t="shared" si="252"/>
        <v>0.75711532839799345</v>
      </c>
      <c r="Q2031" s="8">
        <f t="shared" si="253"/>
        <v>0.79231596488278622</v>
      </c>
      <c r="R2031" s="8">
        <f t="shared" si="254"/>
        <v>1.0464930971075108</v>
      </c>
      <c r="S2031" s="22">
        <f t="shared" si="255"/>
        <v>6.5562795299683313E-2</v>
      </c>
      <c r="T2031" s="25"/>
      <c r="U2031" s="1" t="s">
        <v>5753</v>
      </c>
    </row>
    <row r="2032" spans="1:21">
      <c r="A2032" s="6" t="s">
        <v>5754</v>
      </c>
      <c r="B2032" s="13" t="s">
        <v>5755</v>
      </c>
      <c r="C2032" s="14">
        <v>1.023816991324412</v>
      </c>
      <c r="D2032" s="14">
        <v>1.1904965388072077</v>
      </c>
      <c r="E2032" s="14">
        <v>1.2021156132584239</v>
      </c>
      <c r="F2032" s="8">
        <v>1.2728525756317635</v>
      </c>
      <c r="G2032" s="8">
        <f t="shared" si="248"/>
        <v>1.1071567650658098</v>
      </c>
      <c r="H2032" s="8">
        <f t="shared" si="249"/>
        <v>1.2374840944450938</v>
      </c>
      <c r="I2032" s="8">
        <f t="shared" si="250"/>
        <v>1.1177135284645416</v>
      </c>
      <c r="J2032" s="22">
        <f t="shared" si="251"/>
        <v>0.16055047080849555</v>
      </c>
      <c r="K2032" s="8"/>
      <c r="L2032" s="8">
        <v>0.63536004727522943</v>
      </c>
      <c r="M2032" s="8">
        <v>0.51765770907337616</v>
      </c>
      <c r="N2032" s="8">
        <v>1.0189814080026245</v>
      </c>
      <c r="O2032" s="8">
        <v>0.74991089386016829</v>
      </c>
      <c r="P2032" s="8">
        <f t="shared" si="252"/>
        <v>0.57650887817430285</v>
      </c>
      <c r="Q2032" s="8">
        <f t="shared" si="253"/>
        <v>0.88444615093139634</v>
      </c>
      <c r="R2032" s="8">
        <f t="shared" si="254"/>
        <v>1.534141423341604</v>
      </c>
      <c r="S2032" s="22">
        <f t="shared" si="255"/>
        <v>0.61743148241654411</v>
      </c>
      <c r="T2032" s="25"/>
      <c r="U2032" s="1" t="s">
        <v>5756</v>
      </c>
    </row>
    <row r="2033" spans="1:21">
      <c r="A2033" s="6" t="s">
        <v>5757</v>
      </c>
      <c r="B2033" s="6" t="s">
        <v>5758</v>
      </c>
      <c r="C2033" s="7">
        <v>1.0207130862845066</v>
      </c>
      <c r="D2033" s="7">
        <v>1.1125306995948401</v>
      </c>
      <c r="E2033" s="7">
        <v>1.0645534753348951</v>
      </c>
      <c r="F2033" s="8">
        <v>1.0467825348258653</v>
      </c>
      <c r="G2033" s="8">
        <f t="shared" si="248"/>
        <v>1.0666218929396734</v>
      </c>
      <c r="H2033" s="8">
        <f t="shared" si="249"/>
        <v>1.0556680050803802</v>
      </c>
      <c r="I2033" s="8">
        <f t="shared" si="250"/>
        <v>0.98973029905742549</v>
      </c>
      <c r="J2033" s="22">
        <f t="shared" si="251"/>
        <v>-1.4892649717143986E-2</v>
      </c>
      <c r="K2033" s="8"/>
      <c r="L2033" s="8">
        <v>1.0953416844973338</v>
      </c>
      <c r="M2033" s="8">
        <v>0.70406486465211016</v>
      </c>
      <c r="N2033" s="8">
        <v>0.87601814653521903</v>
      </c>
      <c r="O2033" s="8">
        <v>0.75884144210280391</v>
      </c>
      <c r="P2033" s="8">
        <f t="shared" si="252"/>
        <v>0.89970327457472199</v>
      </c>
      <c r="Q2033" s="8">
        <f t="shared" si="253"/>
        <v>0.81742979431901142</v>
      </c>
      <c r="R2033" s="8">
        <f t="shared" si="254"/>
        <v>0.90855487294452697</v>
      </c>
      <c r="S2033" s="22">
        <f t="shared" si="255"/>
        <v>-0.13835444500223276</v>
      </c>
      <c r="T2033" s="25"/>
      <c r="U2033" s="1" t="s">
        <v>5759</v>
      </c>
    </row>
    <row r="2034" spans="1:21">
      <c r="A2034" s="6" t="s">
        <v>5760</v>
      </c>
      <c r="B2034" s="13" t="s">
        <v>5761</v>
      </c>
      <c r="C2034" s="14">
        <v>0.13590995965173072</v>
      </c>
      <c r="D2034" s="14">
        <v>0.11396176108075071</v>
      </c>
      <c r="E2034" s="14">
        <v>0.19426170681690616</v>
      </c>
      <c r="F2034" s="8">
        <v>0.19092525180286024</v>
      </c>
      <c r="G2034" s="8">
        <f t="shared" si="248"/>
        <v>0.12493586036624071</v>
      </c>
      <c r="H2034" s="8">
        <f t="shared" si="249"/>
        <v>0.19259347930988319</v>
      </c>
      <c r="I2034" s="8">
        <f t="shared" si="250"/>
        <v>1.5415388243640289</v>
      </c>
      <c r="J2034" s="22">
        <f t="shared" si="251"/>
        <v>0.62437122484054952</v>
      </c>
      <c r="K2034" s="8"/>
      <c r="L2034" s="8">
        <v>0.31677576589242901</v>
      </c>
      <c r="M2034" s="8">
        <v>0.3048941864020534</v>
      </c>
      <c r="N2034" s="8">
        <v>0.33854651893450172</v>
      </c>
      <c r="O2034" s="8">
        <v>0.27021287397003002</v>
      </c>
      <c r="P2034" s="8">
        <f t="shared" si="252"/>
        <v>0.3108349761472412</v>
      </c>
      <c r="Q2034" s="8">
        <f t="shared" si="253"/>
        <v>0.30437969645226587</v>
      </c>
      <c r="R2034" s="8">
        <f t="shared" si="254"/>
        <v>0.97923245390532399</v>
      </c>
      <c r="S2034" s="22">
        <f t="shared" si="255"/>
        <v>-3.0276721995295183E-2</v>
      </c>
      <c r="T2034" s="25"/>
      <c r="U2034" s="1" t="s">
        <v>5762</v>
      </c>
    </row>
    <row r="2035" spans="1:21">
      <c r="A2035" s="6" t="s">
        <v>5763</v>
      </c>
      <c r="B2035" s="13" t="s">
        <v>5764</v>
      </c>
      <c r="C2035" s="14">
        <v>1.015532303607606</v>
      </c>
      <c r="D2035" s="14">
        <v>1.0862355227223133</v>
      </c>
      <c r="E2035" s="14">
        <v>1.0510777930418502</v>
      </c>
      <c r="F2035" s="8">
        <v>0.8984578256151432</v>
      </c>
      <c r="G2035" s="8">
        <f t="shared" si="248"/>
        <v>1.0508839131649597</v>
      </c>
      <c r="H2035" s="8">
        <f t="shared" si="249"/>
        <v>0.97476780932849671</v>
      </c>
      <c r="I2035" s="8">
        <f t="shared" si="250"/>
        <v>0.92756944617486514</v>
      </c>
      <c r="J2035" s="22">
        <f t="shared" si="251"/>
        <v>-0.10847279600950664</v>
      </c>
      <c r="K2035" s="8"/>
      <c r="L2035" s="8">
        <v>0.83115564536439002</v>
      </c>
      <c r="M2035" s="8">
        <v>1.1512367849168108</v>
      </c>
      <c r="N2035" s="8">
        <v>0.84316605000150457</v>
      </c>
      <c r="O2035" s="8">
        <v>0.79104244748053554</v>
      </c>
      <c r="P2035" s="8">
        <f t="shared" si="252"/>
        <v>0.99119621514060041</v>
      </c>
      <c r="Q2035" s="8">
        <f t="shared" si="253"/>
        <v>0.81710424874102006</v>
      </c>
      <c r="R2035" s="8">
        <f t="shared" si="254"/>
        <v>0.82436175225418351</v>
      </c>
      <c r="S2035" s="22">
        <f t="shared" si="255"/>
        <v>-0.27865052488801773</v>
      </c>
      <c r="T2035" s="25"/>
      <c r="U2035" s="1" t="s">
        <v>5765</v>
      </c>
    </row>
    <row r="2036" spans="1:21">
      <c r="A2036" s="6" t="s">
        <v>5766</v>
      </c>
      <c r="B2036" s="13" t="s">
        <v>5767</v>
      </c>
      <c r="C2036" s="14">
        <v>0.98793189310570417</v>
      </c>
      <c r="D2036" s="14">
        <v>1.032781458788016</v>
      </c>
      <c r="E2036" s="14">
        <v>1.1723250325917243</v>
      </c>
      <c r="F2036" s="8">
        <v>1.0418998504966077</v>
      </c>
      <c r="G2036" s="8">
        <f t="shared" si="248"/>
        <v>1.0103566759468601</v>
      </c>
      <c r="H2036" s="8">
        <f t="shared" si="249"/>
        <v>1.107112441544166</v>
      </c>
      <c r="I2036" s="8">
        <f t="shared" si="250"/>
        <v>1.0957639692009071</v>
      </c>
      <c r="J2036" s="22">
        <f t="shared" si="251"/>
        <v>0.13193707098523463</v>
      </c>
      <c r="K2036" s="8"/>
      <c r="L2036" s="8">
        <v>0.47406902104183973</v>
      </c>
      <c r="M2036" s="8">
        <v>0.57540847449041133</v>
      </c>
      <c r="N2036" s="8">
        <v>0.59388660716550956</v>
      </c>
      <c r="O2036" s="8">
        <v>0.62794512071788844</v>
      </c>
      <c r="P2036" s="8">
        <f t="shared" si="252"/>
        <v>0.5247387477661255</v>
      </c>
      <c r="Q2036" s="8">
        <f t="shared" si="253"/>
        <v>0.61091586394169894</v>
      </c>
      <c r="R2036" s="8">
        <f t="shared" si="254"/>
        <v>1.1642286119377301</v>
      </c>
      <c r="S2036" s="22">
        <f t="shared" si="255"/>
        <v>0.21937437862824186</v>
      </c>
      <c r="T2036" s="25"/>
      <c r="U2036" s="1" t="s">
        <v>5768</v>
      </c>
    </row>
    <row r="2037" spans="1:21">
      <c r="A2037" s="6" t="s">
        <v>5769</v>
      </c>
      <c r="B2037" s="13" t="s">
        <v>5770</v>
      </c>
      <c r="C2037" s="14">
        <v>9.1983617248758809E-2</v>
      </c>
      <c r="D2037" s="14">
        <v>9.5999788071110981E-2</v>
      </c>
      <c r="E2037" s="14">
        <v>0.14861389245820206</v>
      </c>
      <c r="F2037" s="8">
        <v>0.18358366169627863</v>
      </c>
      <c r="G2037" s="8">
        <f t="shared" si="248"/>
        <v>9.3991702659934895E-2</v>
      </c>
      <c r="H2037" s="8">
        <f t="shared" si="249"/>
        <v>0.16609877707724036</v>
      </c>
      <c r="I2037" s="8">
        <f t="shared" si="250"/>
        <v>1.7671642536170586</v>
      </c>
      <c r="J2037" s="22">
        <f t="shared" si="251"/>
        <v>0.82143614111513463</v>
      </c>
      <c r="K2037" s="8"/>
      <c r="L2037" s="8">
        <v>1.0107697890660168</v>
      </c>
      <c r="M2037" s="8">
        <v>1.1114456678726017</v>
      </c>
      <c r="N2037" s="8">
        <v>1.324109414945934</v>
      </c>
      <c r="O2037" s="8">
        <v>1.1234629689235527</v>
      </c>
      <c r="P2037" s="8">
        <f t="shared" si="252"/>
        <v>1.0611077284693091</v>
      </c>
      <c r="Q2037" s="8">
        <f t="shared" si="253"/>
        <v>1.2237861919347433</v>
      </c>
      <c r="R2037" s="8">
        <f t="shared" si="254"/>
        <v>1.1533100354476773</v>
      </c>
      <c r="S2037" s="22">
        <f t="shared" si="255"/>
        <v>0.20578039371576537</v>
      </c>
      <c r="T2037" s="25"/>
      <c r="U2037" s="1" t="s">
        <v>5771</v>
      </c>
    </row>
    <row r="2038" spans="1:21">
      <c r="A2038" s="6" t="s">
        <v>5772</v>
      </c>
      <c r="B2038" s="13" t="s">
        <v>5773</v>
      </c>
      <c r="C2038" s="14">
        <v>1.0563699561914568</v>
      </c>
      <c r="D2038" s="14">
        <v>1.1052611388353732</v>
      </c>
      <c r="E2038" s="14">
        <v>0.97948717145106423</v>
      </c>
      <c r="F2038" s="8">
        <v>1.0110581466038868</v>
      </c>
      <c r="G2038" s="8">
        <f t="shared" si="248"/>
        <v>1.0808155475134149</v>
      </c>
      <c r="H2038" s="8">
        <f t="shared" si="249"/>
        <v>0.99527265902747553</v>
      </c>
      <c r="I2038" s="8">
        <f t="shared" si="250"/>
        <v>0.92085338827448937</v>
      </c>
      <c r="J2038" s="22">
        <f t="shared" si="251"/>
        <v>-0.11895661592848651</v>
      </c>
      <c r="K2038" s="8"/>
      <c r="L2038" s="8">
        <v>1.303654113480381</v>
      </c>
      <c r="M2038" s="8">
        <v>1.076412691436258</v>
      </c>
      <c r="N2038" s="8">
        <v>0.85013296012848194</v>
      </c>
      <c r="O2038" s="8">
        <v>0.97720610456130408</v>
      </c>
      <c r="P2038" s="8">
        <f t="shared" si="252"/>
        <v>1.1900334024583195</v>
      </c>
      <c r="Q2038" s="8">
        <f t="shared" si="253"/>
        <v>0.91366953234489301</v>
      </c>
      <c r="R2038" s="8">
        <f t="shared" si="254"/>
        <v>0.76776797227495808</v>
      </c>
      <c r="S2038" s="22">
        <f t="shared" si="255"/>
        <v>-0.38125771600470193</v>
      </c>
      <c r="T2038" s="25"/>
      <c r="U2038" s="1" t="s">
        <v>5774</v>
      </c>
    </row>
    <row r="2039" spans="1:21">
      <c r="A2039" s="6" t="s">
        <v>5775</v>
      </c>
      <c r="B2039" s="13" t="s">
        <v>5776</v>
      </c>
      <c r="C2039" s="14">
        <v>0.17148314584436958</v>
      </c>
      <c r="D2039" s="14">
        <v>0.17726851902567861</v>
      </c>
      <c r="E2039" s="14">
        <v>1.3448561423021101</v>
      </c>
      <c r="F2039" s="8">
        <v>1.3379257606673733</v>
      </c>
      <c r="G2039" s="8">
        <f t="shared" si="248"/>
        <v>0.17437583243502408</v>
      </c>
      <c r="H2039" s="8">
        <f t="shared" si="249"/>
        <v>1.3413909514847417</v>
      </c>
      <c r="I2039" s="8">
        <f t="shared" si="250"/>
        <v>7.6925278735777267</v>
      </c>
      <c r="J2039" s="22">
        <f t="shared" si="251"/>
        <v>2.9434577661180668</v>
      </c>
      <c r="K2039" s="8"/>
      <c r="L2039" s="8">
        <v>1.0911059508488323</v>
      </c>
      <c r="M2039" s="8">
        <v>1.0741269180069892</v>
      </c>
      <c r="N2039" s="8">
        <v>0.75786388210534272</v>
      </c>
      <c r="O2039" s="8">
        <v>0.5502238351548373</v>
      </c>
      <c r="P2039" s="8">
        <f t="shared" si="252"/>
        <v>1.0826164344279108</v>
      </c>
      <c r="Q2039" s="8">
        <f t="shared" si="253"/>
        <v>0.65404385863009007</v>
      </c>
      <c r="R2039" s="8">
        <f t="shared" si="254"/>
        <v>0.60413257902897788</v>
      </c>
      <c r="S2039" s="22">
        <f t="shared" si="255"/>
        <v>-0.7270629060679078</v>
      </c>
      <c r="T2039" s="25"/>
      <c r="U2039" s="1" t="s">
        <v>5777</v>
      </c>
    </row>
    <row r="2040" spans="1:21" ht="14.5">
      <c r="A2040" s="6" t="s">
        <v>5778</v>
      </c>
      <c r="B2040" s="13" t="s">
        <v>5779</v>
      </c>
      <c r="C2040" s="14">
        <v>1.0156235949323091</v>
      </c>
      <c r="D2040" s="14">
        <v>1.1240308408182871</v>
      </c>
      <c r="E2040" s="14">
        <v>0.97910578421635541</v>
      </c>
      <c r="F2040" s="8">
        <v>0.97657199307691789</v>
      </c>
      <c r="G2040" s="8">
        <f t="shared" si="248"/>
        <v>1.0698272178752981</v>
      </c>
      <c r="H2040" s="8">
        <f t="shared" si="249"/>
        <v>0.97783888864663671</v>
      </c>
      <c r="I2040" s="8">
        <f t="shared" si="250"/>
        <v>0.91401571422780548</v>
      </c>
      <c r="J2040" s="22">
        <f t="shared" si="251"/>
        <v>-0.12970912583635774</v>
      </c>
      <c r="K2040" s="8"/>
      <c r="L2040" s="8">
        <v>0.72259712342919913</v>
      </c>
      <c r="M2040" s="8">
        <v>0.8143417705049949</v>
      </c>
      <c r="N2040" s="8">
        <v>1.3422347095852247</v>
      </c>
      <c r="O2040" s="8">
        <v>0.77930515550450019</v>
      </c>
      <c r="P2040" s="8">
        <f t="shared" si="252"/>
        <v>0.76846944696709696</v>
      </c>
      <c r="Q2040" s="8">
        <f t="shared" si="253"/>
        <v>1.0607699325448625</v>
      </c>
      <c r="R2040" s="8">
        <f t="shared" si="254"/>
        <v>1.3803670877630621</v>
      </c>
      <c r="S2040" s="22">
        <f t="shared" si="255"/>
        <v>0.46505198096729383</v>
      </c>
      <c r="T2040" s="25"/>
      <c r="U2040" s="1" t="s">
        <v>5780</v>
      </c>
    </row>
    <row r="2041" spans="1:21">
      <c r="A2041" s="6" t="s">
        <v>5781</v>
      </c>
      <c r="B2041" s="13" t="s">
        <v>5782</v>
      </c>
      <c r="C2041" s="14">
        <v>0.11865589928284602</v>
      </c>
      <c r="D2041" s="14">
        <v>0.10851558849857589</v>
      </c>
      <c r="E2041" s="14">
        <v>0.22588294621020821</v>
      </c>
      <c r="F2041" s="8">
        <v>0.22480546069184579</v>
      </c>
      <c r="G2041" s="8">
        <f t="shared" si="248"/>
        <v>0.11358574389071095</v>
      </c>
      <c r="H2041" s="8">
        <f t="shared" si="249"/>
        <v>0.22534420345102701</v>
      </c>
      <c r="I2041" s="8">
        <f t="shared" si="250"/>
        <v>1.9839127317583705</v>
      </c>
      <c r="J2041" s="22">
        <f t="shared" si="251"/>
        <v>0.98834856593221843</v>
      </c>
      <c r="K2041" s="8"/>
      <c r="L2041" s="8">
        <v>0.2151657508412968</v>
      </c>
      <c r="M2041" s="8">
        <v>0.2227462882603741</v>
      </c>
      <c r="N2041" s="8">
        <v>0.29799117217908877</v>
      </c>
      <c r="O2041" s="8">
        <v>0.277561439381113</v>
      </c>
      <c r="P2041" s="8">
        <f t="shared" si="252"/>
        <v>0.21895601955083543</v>
      </c>
      <c r="Q2041" s="8">
        <f t="shared" si="253"/>
        <v>0.28777630578010088</v>
      </c>
      <c r="R2041" s="8">
        <f t="shared" si="254"/>
        <v>1.3143110035085712</v>
      </c>
      <c r="S2041" s="22">
        <f t="shared" si="255"/>
        <v>0.39430669889441072</v>
      </c>
      <c r="T2041" s="25"/>
      <c r="U2041" s="1" t="s">
        <v>5783</v>
      </c>
    </row>
    <row r="2042" spans="1:21">
      <c r="A2042" s="6" t="s">
        <v>5784</v>
      </c>
      <c r="B2042" s="13" t="s">
        <v>5785</v>
      </c>
      <c r="C2042" s="14">
        <v>0.898093621987468</v>
      </c>
      <c r="D2042" s="14">
        <v>1.0626594334825903</v>
      </c>
      <c r="E2042" s="14">
        <v>1.1905977187702177</v>
      </c>
      <c r="F2042" s="8">
        <v>1.4546447488331347</v>
      </c>
      <c r="G2042" s="8">
        <f t="shared" si="248"/>
        <v>0.98037652773502915</v>
      </c>
      <c r="H2042" s="8">
        <f t="shared" si="249"/>
        <v>1.3226212338016761</v>
      </c>
      <c r="I2042" s="8">
        <f t="shared" si="250"/>
        <v>1.3490951653619627</v>
      </c>
      <c r="J2042" s="22">
        <f t="shared" si="251"/>
        <v>0.43199211978600566</v>
      </c>
      <c r="K2042" s="8"/>
      <c r="L2042" s="8">
        <v>0.32424779041843732</v>
      </c>
      <c r="M2042" s="8">
        <v>0.41017970946041243</v>
      </c>
      <c r="N2042" s="8">
        <v>0.41036799894269116</v>
      </c>
      <c r="O2042" s="8">
        <v>0.29843340641675836</v>
      </c>
      <c r="P2042" s="8">
        <f t="shared" si="252"/>
        <v>0.3672137499394249</v>
      </c>
      <c r="Q2042" s="8">
        <f t="shared" si="253"/>
        <v>0.35440070267972479</v>
      </c>
      <c r="R2042" s="8">
        <f t="shared" si="254"/>
        <v>0.96510738701420151</v>
      </c>
      <c r="S2042" s="22">
        <f t="shared" si="255"/>
        <v>-5.1238615622482699E-2</v>
      </c>
      <c r="T2042" s="25"/>
      <c r="U2042" s="1" t="s">
        <v>5786</v>
      </c>
    </row>
    <row r="2043" spans="1:21">
      <c r="A2043" s="6" t="s">
        <v>5787</v>
      </c>
      <c r="B2043" s="13" t="s">
        <v>80</v>
      </c>
      <c r="C2043" s="14">
        <v>1.0625625510504833</v>
      </c>
      <c r="D2043" s="14">
        <v>1.1409531626742078</v>
      </c>
      <c r="E2043" s="14">
        <v>1.0288132538067378</v>
      </c>
      <c r="F2043" s="8">
        <v>1.0186719727072435</v>
      </c>
      <c r="G2043" s="8">
        <f t="shared" si="248"/>
        <v>1.1017578568623456</v>
      </c>
      <c r="H2043" s="8">
        <f t="shared" si="249"/>
        <v>1.0237426132569907</v>
      </c>
      <c r="I2043" s="8">
        <f t="shared" si="250"/>
        <v>0.92919020897429172</v>
      </c>
      <c r="J2043" s="22">
        <f t="shared" si="251"/>
        <v>-0.10595414256872554</v>
      </c>
      <c r="K2043" s="8"/>
      <c r="L2043" s="8">
        <v>0.77737610578229199</v>
      </c>
      <c r="M2043" s="8">
        <v>1.1772666129480756</v>
      </c>
      <c r="N2043" s="8">
        <v>0.93073387972757782</v>
      </c>
      <c r="O2043" s="8">
        <v>1.0863118882341887</v>
      </c>
      <c r="P2043" s="8">
        <f t="shared" si="252"/>
        <v>0.97732135936518372</v>
      </c>
      <c r="Q2043" s="8">
        <f t="shared" si="253"/>
        <v>1.0085228839808833</v>
      </c>
      <c r="R2043" s="8">
        <f t="shared" si="254"/>
        <v>1.0319255527536679</v>
      </c>
      <c r="S2043" s="22">
        <f t="shared" si="255"/>
        <v>4.5338892711457975E-2</v>
      </c>
      <c r="T2043" s="25"/>
      <c r="U2043" s="1">
        <v>0</v>
      </c>
    </row>
    <row r="2044" spans="1:21">
      <c r="A2044" s="6" t="s">
        <v>5788</v>
      </c>
      <c r="B2044" s="13" t="s">
        <v>80</v>
      </c>
      <c r="C2044" s="14">
        <v>1.1695331607713333</v>
      </c>
      <c r="D2044" s="14">
        <v>1.2416233836204877</v>
      </c>
      <c r="E2044" s="14">
        <v>1.1449922807709256</v>
      </c>
      <c r="F2044" s="8">
        <v>1.0679115608981564</v>
      </c>
      <c r="G2044" s="8">
        <f t="shared" si="248"/>
        <v>1.2055782721959105</v>
      </c>
      <c r="H2044" s="8">
        <f t="shared" si="249"/>
        <v>1.1064519208345409</v>
      </c>
      <c r="I2044" s="8">
        <f t="shared" si="250"/>
        <v>0.91777692610466921</v>
      </c>
      <c r="J2044" s="22">
        <f t="shared" si="251"/>
        <v>-0.12378455858043221</v>
      </c>
      <c r="K2044" s="8"/>
      <c r="L2044" s="8">
        <v>1.2611539994566521</v>
      </c>
      <c r="M2044" s="8">
        <v>1.2863773078676599</v>
      </c>
      <c r="N2044" s="8">
        <v>1.5600214529854521</v>
      </c>
      <c r="O2044" s="8">
        <v>1.7040506681033507</v>
      </c>
      <c r="P2044" s="8">
        <f t="shared" si="252"/>
        <v>1.273765653662156</v>
      </c>
      <c r="Q2044" s="8">
        <f t="shared" si="253"/>
        <v>1.6320360605444013</v>
      </c>
      <c r="R2044" s="8">
        <f t="shared" si="254"/>
        <v>1.2812686979368579</v>
      </c>
      <c r="S2044" s="22">
        <f t="shared" si="255"/>
        <v>0.35757305845140946</v>
      </c>
      <c r="T2044" s="25"/>
      <c r="U2044" s="1">
        <v>0</v>
      </c>
    </row>
    <row r="2045" spans="1:21">
      <c r="A2045" s="6" t="s">
        <v>5789</v>
      </c>
      <c r="B2045" s="13" t="s">
        <v>5790</v>
      </c>
      <c r="C2045" s="14">
        <v>1.050184968942822</v>
      </c>
      <c r="D2045" s="14">
        <v>1.0773585013328653</v>
      </c>
      <c r="E2045" s="14">
        <v>1.0164308815865248</v>
      </c>
      <c r="F2045" s="8">
        <v>2.4111854416312095</v>
      </c>
      <c r="G2045" s="8">
        <f t="shared" si="248"/>
        <v>1.0637717351378435</v>
      </c>
      <c r="H2045" s="8">
        <f t="shared" si="249"/>
        <v>1.7138081616088672</v>
      </c>
      <c r="I2045" s="8">
        <f t="shared" si="250"/>
        <v>1.6110675862118031</v>
      </c>
      <c r="J2045" s="22">
        <f t="shared" si="251"/>
        <v>0.68801701809620086</v>
      </c>
      <c r="K2045" s="8"/>
      <c r="L2045" s="8">
        <v>1.3410142361104225</v>
      </c>
      <c r="M2045" s="8">
        <v>1.2845113703743791</v>
      </c>
      <c r="N2045" s="8">
        <v>1.5831878451962955</v>
      </c>
      <c r="O2045" s="8">
        <v>1.3390719193528966</v>
      </c>
      <c r="P2045" s="8">
        <f t="shared" si="252"/>
        <v>1.3127628032424008</v>
      </c>
      <c r="Q2045" s="8">
        <f t="shared" si="253"/>
        <v>1.4611298822745962</v>
      </c>
      <c r="R2045" s="8">
        <f t="shared" si="254"/>
        <v>1.1130189541215996</v>
      </c>
      <c r="S2045" s="22">
        <f t="shared" si="255"/>
        <v>0.15447816121931468</v>
      </c>
      <c r="T2045" s="25"/>
      <c r="U2045" s="1" t="s">
        <v>5791</v>
      </c>
    </row>
    <row r="2046" spans="1:21">
      <c r="A2046" s="6" t="s">
        <v>5792</v>
      </c>
      <c r="B2046" s="13" t="s">
        <v>5793</v>
      </c>
      <c r="C2046" s="14">
        <v>1.024516891480469</v>
      </c>
      <c r="D2046" s="14">
        <v>1.0388834113286904</v>
      </c>
      <c r="E2046" s="14">
        <v>1.0009211340416997</v>
      </c>
      <c r="F2046" s="8">
        <v>0.99377555171183818</v>
      </c>
      <c r="G2046" s="8">
        <f t="shared" si="248"/>
        <v>1.0317001514045798</v>
      </c>
      <c r="H2046" s="8">
        <f t="shared" si="249"/>
        <v>0.99734834287676888</v>
      </c>
      <c r="I2046" s="8">
        <f t="shared" si="250"/>
        <v>0.96670368955452457</v>
      </c>
      <c r="J2046" s="22">
        <f t="shared" si="251"/>
        <v>-4.8854346983812101E-2</v>
      </c>
      <c r="K2046" s="8"/>
      <c r="L2046" s="8">
        <v>1.2243649869814646</v>
      </c>
      <c r="M2046" s="8">
        <v>1.3194510499360588</v>
      </c>
      <c r="N2046" s="8">
        <v>1.0416380263017377</v>
      </c>
      <c r="O2046" s="8">
        <v>1.2492561198841048</v>
      </c>
      <c r="P2046" s="8">
        <f t="shared" si="252"/>
        <v>1.2719080184587617</v>
      </c>
      <c r="Q2046" s="8">
        <f t="shared" si="253"/>
        <v>1.1454470730929214</v>
      </c>
      <c r="R2046" s="8">
        <f t="shared" si="254"/>
        <v>0.90057382803586716</v>
      </c>
      <c r="S2046" s="22">
        <f t="shared" si="255"/>
        <v>-0.15108354338072558</v>
      </c>
      <c r="T2046" s="25"/>
      <c r="U2046" s="1" t="s">
        <v>5794</v>
      </c>
    </row>
    <row r="2047" spans="1:21">
      <c r="A2047" s="6" t="s">
        <v>5795</v>
      </c>
      <c r="B2047" s="13" t="s">
        <v>5796</v>
      </c>
      <c r="C2047" s="14">
        <v>1.0263427179745308</v>
      </c>
      <c r="D2047" s="14">
        <v>1.0683775148280454</v>
      </c>
      <c r="E2047" s="14">
        <v>1.0486369147397139</v>
      </c>
      <c r="F2047" s="8">
        <v>1.1331691638670658</v>
      </c>
      <c r="G2047" s="8">
        <f t="shared" si="248"/>
        <v>1.047360116401288</v>
      </c>
      <c r="H2047" s="8">
        <f t="shared" si="249"/>
        <v>1.0909030393033898</v>
      </c>
      <c r="I2047" s="8">
        <f t="shared" si="250"/>
        <v>1.0415739746246158</v>
      </c>
      <c r="J2047" s="22">
        <f t="shared" si="251"/>
        <v>5.876530604602305E-2</v>
      </c>
      <c r="K2047" s="8"/>
      <c r="L2047" s="8">
        <v>0.50124434591031586</v>
      </c>
      <c r="M2047" s="8">
        <v>0.4732017482959654</v>
      </c>
      <c r="N2047" s="8">
        <v>0.67029605237926948</v>
      </c>
      <c r="O2047" s="8">
        <v>0.54078296986976548</v>
      </c>
      <c r="P2047" s="8">
        <f t="shared" si="252"/>
        <v>0.48722304710314063</v>
      </c>
      <c r="Q2047" s="8">
        <f t="shared" si="253"/>
        <v>0.60553951112451743</v>
      </c>
      <c r="R2047" s="8">
        <f t="shared" si="254"/>
        <v>1.2428383975775479</v>
      </c>
      <c r="S2047" s="22">
        <f t="shared" si="255"/>
        <v>0.31363871942318805</v>
      </c>
      <c r="T2047" s="25"/>
      <c r="U2047" s="1" t="s">
        <v>5797</v>
      </c>
    </row>
    <row r="2048" spans="1:21">
      <c r="A2048" s="6" t="s">
        <v>5798</v>
      </c>
      <c r="B2048" s="13" t="s">
        <v>5799</v>
      </c>
      <c r="C2048" s="14">
        <v>0.88976328860831067</v>
      </c>
      <c r="D2048" s="14">
        <v>0.99884084727736988</v>
      </c>
      <c r="E2048" s="14">
        <v>0.97710562005210477</v>
      </c>
      <c r="F2048" s="8">
        <v>0.97536010380095106</v>
      </c>
      <c r="G2048" s="8">
        <f t="shared" si="248"/>
        <v>0.94430206794284022</v>
      </c>
      <c r="H2048" s="8">
        <f t="shared" si="249"/>
        <v>0.97623286192652792</v>
      </c>
      <c r="I2048" s="8">
        <f t="shared" si="250"/>
        <v>1.033814173523149</v>
      </c>
      <c r="J2048" s="22">
        <f t="shared" si="251"/>
        <v>4.7976886784725635E-2</v>
      </c>
      <c r="K2048" s="8"/>
      <c r="L2048" s="8">
        <v>0.84529062169702995</v>
      </c>
      <c r="M2048" s="8">
        <v>0.73993751296043009</v>
      </c>
      <c r="N2048" s="8">
        <v>0.83693547996924844</v>
      </c>
      <c r="O2048" s="8">
        <v>0.78400007229491431</v>
      </c>
      <c r="P2048" s="8">
        <f t="shared" si="252"/>
        <v>0.79261406732873008</v>
      </c>
      <c r="Q2048" s="8">
        <f t="shared" si="253"/>
        <v>0.81046777613208132</v>
      </c>
      <c r="R2048" s="8">
        <f t="shared" si="254"/>
        <v>1.0225250970671287</v>
      </c>
      <c r="S2048" s="22">
        <f t="shared" si="255"/>
        <v>3.2136253406576845E-2</v>
      </c>
      <c r="T2048" s="25"/>
      <c r="U2048" s="1" t="s">
        <v>5800</v>
      </c>
    </row>
    <row r="2049" spans="1:21">
      <c r="A2049" s="6" t="s">
        <v>5801</v>
      </c>
      <c r="B2049" s="13" t="s">
        <v>5802</v>
      </c>
      <c r="C2049" s="14">
        <v>0.45657834528173924</v>
      </c>
      <c r="D2049" s="14">
        <v>0.50872530146447115</v>
      </c>
      <c r="E2049" s="14">
        <v>1.426311980364031</v>
      </c>
      <c r="F2049" s="8">
        <v>1.335984981464557</v>
      </c>
      <c r="G2049" s="8">
        <f t="shared" si="248"/>
        <v>0.48265182337310519</v>
      </c>
      <c r="H2049" s="8">
        <f t="shared" si="249"/>
        <v>1.381148480914294</v>
      </c>
      <c r="I2049" s="8">
        <f t="shared" si="250"/>
        <v>2.8615834728684373</v>
      </c>
      <c r="J2049" s="22">
        <f t="shared" si="251"/>
        <v>1.5168136911562875</v>
      </c>
      <c r="K2049" s="8"/>
      <c r="L2049" s="8">
        <v>0.51894876071079421</v>
      </c>
      <c r="M2049" s="8">
        <v>0.83043548138454015</v>
      </c>
      <c r="N2049" s="8">
        <v>0.54104004498282765</v>
      </c>
      <c r="O2049" s="8">
        <v>0.60503188551249787</v>
      </c>
      <c r="P2049" s="8">
        <f t="shared" si="252"/>
        <v>0.67469212104766718</v>
      </c>
      <c r="Q2049" s="8">
        <f t="shared" si="253"/>
        <v>0.57303596524766276</v>
      </c>
      <c r="R2049" s="8">
        <f t="shared" si="254"/>
        <v>0.84932956436166474</v>
      </c>
      <c r="S2049" s="22">
        <f t="shared" si="255"/>
        <v>-0.235603625193819</v>
      </c>
      <c r="T2049" s="25"/>
      <c r="U2049" s="1" t="s">
        <v>5803</v>
      </c>
    </row>
    <row r="2050" spans="1:21">
      <c r="A2050" s="6" t="s">
        <v>5804</v>
      </c>
      <c r="B2050" s="6" t="s">
        <v>5805</v>
      </c>
      <c r="C2050" s="7">
        <v>1.0046382055263703</v>
      </c>
      <c r="D2050" s="7">
        <v>1.0875630772724469</v>
      </c>
      <c r="E2050" s="7">
        <v>0.96684206580249643</v>
      </c>
      <c r="F2050" s="8">
        <v>1.0135609614129488</v>
      </c>
      <c r="G2050" s="8">
        <f t="shared" si="248"/>
        <v>1.0461006413994087</v>
      </c>
      <c r="H2050" s="8">
        <f t="shared" si="249"/>
        <v>0.99020151360772268</v>
      </c>
      <c r="I2050" s="8">
        <f t="shared" si="250"/>
        <v>0.94656429259338981</v>
      </c>
      <c r="J2050" s="22">
        <f t="shared" si="251"/>
        <v>-7.9227594816241059E-2</v>
      </c>
      <c r="K2050" s="8"/>
      <c r="L2050" s="8">
        <v>0.95708543450972772</v>
      </c>
      <c r="M2050" s="8">
        <v>0.7506200051094617</v>
      </c>
      <c r="N2050" s="8">
        <v>0.90875695997743788</v>
      </c>
      <c r="O2050" s="8">
        <v>0.74378708935093252</v>
      </c>
      <c r="P2050" s="8">
        <f t="shared" si="252"/>
        <v>0.85385271980959465</v>
      </c>
      <c r="Q2050" s="8">
        <f t="shared" si="253"/>
        <v>0.82627202466418526</v>
      </c>
      <c r="R2050" s="8">
        <f t="shared" si="254"/>
        <v>0.96769853335882117</v>
      </c>
      <c r="S2050" s="22">
        <f t="shared" si="255"/>
        <v>-4.7370419460925739E-2</v>
      </c>
      <c r="T2050" s="25"/>
      <c r="U2050" s="1" t="s">
        <v>5806</v>
      </c>
    </row>
    <row r="2051" spans="1:21">
      <c r="A2051" s="6" t="s">
        <v>5807</v>
      </c>
      <c r="B2051" s="13" t="s">
        <v>5808</v>
      </c>
      <c r="C2051" s="14">
        <v>0.16320606573795574</v>
      </c>
      <c r="D2051" s="14">
        <v>0.17766838485403211</v>
      </c>
      <c r="E2051" s="14">
        <v>0.5086010656639125</v>
      </c>
      <c r="F2051" s="8">
        <v>0.47692233912468307</v>
      </c>
      <c r="G2051" s="8">
        <f t="shared" si="248"/>
        <v>0.17043722529599392</v>
      </c>
      <c r="H2051" s="8">
        <f t="shared" si="249"/>
        <v>0.49276170239429778</v>
      </c>
      <c r="I2051" s="8">
        <f t="shared" si="250"/>
        <v>2.8911624296777378</v>
      </c>
      <c r="J2051" s="22">
        <f t="shared" si="251"/>
        <v>1.5316496637813273</v>
      </c>
      <c r="K2051" s="8"/>
      <c r="L2051" s="8">
        <v>0.66505777532764465</v>
      </c>
      <c r="M2051" s="8">
        <v>0.75897007539189243</v>
      </c>
      <c r="N2051" s="8">
        <v>0.8096908964645646</v>
      </c>
      <c r="O2051" s="8">
        <v>0.70903449876101932</v>
      </c>
      <c r="P2051" s="8">
        <f t="shared" si="252"/>
        <v>0.7120139253597686</v>
      </c>
      <c r="Q2051" s="8">
        <f t="shared" si="253"/>
        <v>0.75936269761279196</v>
      </c>
      <c r="R2051" s="8">
        <f t="shared" si="254"/>
        <v>1.0664997840163011</v>
      </c>
      <c r="S2051" s="22">
        <f t="shared" si="255"/>
        <v>9.288367350910523E-2</v>
      </c>
      <c r="T2051" s="25"/>
      <c r="U2051" s="1" t="s">
        <v>5809</v>
      </c>
    </row>
    <row r="2052" spans="1:21">
      <c r="A2052" s="6" t="s">
        <v>5810</v>
      </c>
      <c r="B2052" s="6" t="s">
        <v>5811</v>
      </c>
      <c r="C2052" s="7">
        <v>0.92488001817743404</v>
      </c>
      <c r="D2052" s="7">
        <v>0.99473822387846289</v>
      </c>
      <c r="E2052" s="7">
        <v>0.99701403370390496</v>
      </c>
      <c r="F2052" s="8">
        <v>1.0622648594166588</v>
      </c>
      <c r="G2052" s="8">
        <f t="shared" si="248"/>
        <v>0.95980912102794846</v>
      </c>
      <c r="H2052" s="8">
        <f t="shared" si="249"/>
        <v>1.0296394465602818</v>
      </c>
      <c r="I2052" s="8">
        <f t="shared" si="250"/>
        <v>1.0727543883491601</v>
      </c>
      <c r="J2052" s="22">
        <f t="shared" si="251"/>
        <v>0.10131980277506268</v>
      </c>
      <c r="K2052" s="8"/>
      <c r="L2052" s="8">
        <v>1.2305044211461467</v>
      </c>
      <c r="M2052" s="8">
        <v>1.1273994334401509</v>
      </c>
      <c r="N2052" s="8">
        <v>1.5297182260103879</v>
      </c>
      <c r="O2052" s="8">
        <v>0.91157933290399362</v>
      </c>
      <c r="P2052" s="8">
        <f t="shared" si="252"/>
        <v>1.1789519272931488</v>
      </c>
      <c r="Q2052" s="8">
        <f t="shared" si="253"/>
        <v>1.2206487794571907</v>
      </c>
      <c r="R2052" s="8">
        <f t="shared" si="254"/>
        <v>1.0353677289113705</v>
      </c>
      <c r="S2052" s="22">
        <f t="shared" si="255"/>
        <v>5.014325705197574E-2</v>
      </c>
      <c r="T2052" s="25"/>
      <c r="U2052" s="1" t="s">
        <v>5812</v>
      </c>
    </row>
    <row r="2053" spans="1:21">
      <c r="A2053" s="6" t="s">
        <v>5813</v>
      </c>
      <c r="B2053" s="13" t="s">
        <v>5814</v>
      </c>
      <c r="C2053" s="14">
        <v>1.0724828750015527</v>
      </c>
      <c r="D2053" s="14">
        <v>1.1383860240561783</v>
      </c>
      <c r="E2053" s="14">
        <v>0.98664030091982513</v>
      </c>
      <c r="F2053" s="8">
        <v>0.95344949696372472</v>
      </c>
      <c r="G2053" s="8">
        <f t="shared" si="248"/>
        <v>1.1054344495288655</v>
      </c>
      <c r="H2053" s="8">
        <f t="shared" si="249"/>
        <v>0.97004489894177492</v>
      </c>
      <c r="I2053" s="8">
        <f t="shared" si="250"/>
        <v>0.87752367347987625</v>
      </c>
      <c r="J2053" s="22">
        <f t="shared" si="251"/>
        <v>-0.18849004849999562</v>
      </c>
      <c r="K2053" s="8"/>
      <c r="L2053" s="8">
        <v>1.2481136509208159</v>
      </c>
      <c r="M2053" s="8">
        <v>0.71054899744126032</v>
      </c>
      <c r="N2053" s="8">
        <v>0.80538613898773304</v>
      </c>
      <c r="O2053" s="8">
        <v>0.78517380149251781</v>
      </c>
      <c r="P2053" s="8">
        <f t="shared" si="252"/>
        <v>0.97933132418103819</v>
      </c>
      <c r="Q2053" s="8">
        <f t="shared" si="253"/>
        <v>0.79527997024012542</v>
      </c>
      <c r="R2053" s="8">
        <f t="shared" si="254"/>
        <v>0.81206426324122227</v>
      </c>
      <c r="S2053" s="22">
        <f t="shared" si="255"/>
        <v>-0.30033419433540448</v>
      </c>
      <c r="T2053" s="25"/>
      <c r="U2053" s="1" t="s">
        <v>5815</v>
      </c>
    </row>
    <row r="2054" spans="1:21">
      <c r="A2054" s="6" t="s">
        <v>5816</v>
      </c>
      <c r="B2054" s="6" t="s">
        <v>5817</v>
      </c>
      <c r="C2054" s="7">
        <v>0.97717473201152294</v>
      </c>
      <c r="D2054" s="7">
        <v>1.1011985020193016</v>
      </c>
      <c r="E2054" s="7">
        <v>1.0966578052254949</v>
      </c>
      <c r="F2054" s="8">
        <v>0.97363008795047667</v>
      </c>
      <c r="G2054" s="8">
        <f t="shared" ref="G2054:G2117" si="256">AVERAGE(C2054:D2054)</f>
        <v>1.0391866170154123</v>
      </c>
      <c r="H2054" s="8">
        <f t="shared" ref="H2054:H2117" si="257">AVERAGE(E2054:F2054)</f>
        <v>1.0351439465879859</v>
      </c>
      <c r="I2054" s="8">
        <f t="shared" ref="I2054:I2117" si="258">H2054/G2054</f>
        <v>0.99610977435502679</v>
      </c>
      <c r="J2054" s="22">
        <f t="shared" ref="J2054:J2117" si="259">LOG(I2054,2)</f>
        <v>-5.6233544104592114E-3</v>
      </c>
      <c r="K2054" s="8"/>
      <c r="L2054" s="8">
        <v>0.84686117462287891</v>
      </c>
      <c r="M2054" s="8">
        <v>1.1744210582708225</v>
      </c>
      <c r="N2054" s="8">
        <v>1.3096091792345015</v>
      </c>
      <c r="O2054" s="8">
        <v>0.82630535511288505</v>
      </c>
      <c r="P2054" s="8">
        <f t="shared" ref="P2054:P2117" si="260">AVERAGE(L2054:M2054)</f>
        <v>1.0106411164468507</v>
      </c>
      <c r="Q2054" s="8">
        <f t="shared" ref="Q2054:Q2117" si="261">AVERAGE(N2054:O2054)</f>
        <v>1.0679572671736932</v>
      </c>
      <c r="R2054" s="8">
        <f t="shared" ref="R2054:R2117" si="262">Q2054/P2054</f>
        <v>1.0567126646582032</v>
      </c>
      <c r="S2054" s="22">
        <f t="shared" ref="S2054:S2117" si="263">LOG(R2054,2)</f>
        <v>7.9583140555135129E-2</v>
      </c>
      <c r="T2054" s="25"/>
      <c r="U2054" s="1" t="s">
        <v>5818</v>
      </c>
    </row>
    <row r="2055" spans="1:21">
      <c r="A2055" s="6" t="s">
        <v>5819</v>
      </c>
      <c r="B2055" s="13" t="s">
        <v>5820</v>
      </c>
      <c r="C2055" s="14">
        <v>0.95139254039329091</v>
      </c>
      <c r="D2055" s="14">
        <v>1.0085176003235248</v>
      </c>
      <c r="E2055" s="14">
        <v>1.0684521004008074</v>
      </c>
      <c r="F2055" s="8">
        <v>0.98155127727599889</v>
      </c>
      <c r="G2055" s="8">
        <f t="shared" si="256"/>
        <v>0.9799550703584079</v>
      </c>
      <c r="H2055" s="8">
        <f t="shared" si="257"/>
        <v>1.0250016888384033</v>
      </c>
      <c r="I2055" s="8">
        <f t="shared" si="258"/>
        <v>1.0459680447018045</v>
      </c>
      <c r="J2055" s="22">
        <f t="shared" si="259"/>
        <v>6.4838776580594934E-2</v>
      </c>
      <c r="K2055" s="8"/>
      <c r="L2055" s="8">
        <v>0.44851184161211705</v>
      </c>
      <c r="M2055" s="8">
        <v>0.4491778030699774</v>
      </c>
      <c r="N2055" s="8">
        <v>0.48994937071832695</v>
      </c>
      <c r="O2055" s="8">
        <v>0.45004859972458827</v>
      </c>
      <c r="P2055" s="8">
        <f t="shared" si="260"/>
        <v>0.44884482234104722</v>
      </c>
      <c r="Q2055" s="8">
        <f t="shared" si="261"/>
        <v>0.46999898522145761</v>
      </c>
      <c r="R2055" s="8">
        <f t="shared" si="262"/>
        <v>1.0471302370607203</v>
      </c>
      <c r="S2055" s="22">
        <f t="shared" si="263"/>
        <v>6.6440888951222896E-2</v>
      </c>
      <c r="T2055" s="25"/>
      <c r="U2055" s="1" t="s">
        <v>5821</v>
      </c>
    </row>
    <row r="2056" spans="1:21">
      <c r="A2056" s="6" t="s">
        <v>5822</v>
      </c>
      <c r="B2056" s="6" t="s">
        <v>5823</v>
      </c>
      <c r="C2056" s="7">
        <v>0.89889242107862011</v>
      </c>
      <c r="D2056" s="7">
        <v>0.99870489289572972</v>
      </c>
      <c r="E2056" s="7">
        <v>1.2773082253992376</v>
      </c>
      <c r="F2056" s="8">
        <v>1.2202056465779874</v>
      </c>
      <c r="G2056" s="8">
        <f t="shared" si="256"/>
        <v>0.94879865698717492</v>
      </c>
      <c r="H2056" s="8">
        <f t="shared" si="257"/>
        <v>1.2487569359886126</v>
      </c>
      <c r="I2056" s="8">
        <f t="shared" si="258"/>
        <v>1.316145345266327</v>
      </c>
      <c r="J2056" s="22">
        <f t="shared" si="259"/>
        <v>0.39631881834084615</v>
      </c>
      <c r="K2056" s="8"/>
      <c r="L2056" s="8">
        <v>1.1804370975706004</v>
      </c>
      <c r="M2056" s="8">
        <v>1.0898474413878785</v>
      </c>
      <c r="N2056" s="8">
        <v>1.4691117720602596</v>
      </c>
      <c r="O2056" s="8">
        <v>1.1795978435915475</v>
      </c>
      <c r="P2056" s="8">
        <f t="shared" si="260"/>
        <v>1.1351422694792395</v>
      </c>
      <c r="Q2056" s="8">
        <f t="shared" si="261"/>
        <v>1.3243548078259035</v>
      </c>
      <c r="R2056" s="8">
        <f t="shared" si="262"/>
        <v>1.166686188536938</v>
      </c>
      <c r="S2056" s="22">
        <f t="shared" si="263"/>
        <v>0.22241656179627345</v>
      </c>
      <c r="T2056" s="25"/>
      <c r="U2056" s="1" t="s">
        <v>5824</v>
      </c>
    </row>
    <row r="2057" spans="1:21">
      <c r="A2057" s="6" t="s">
        <v>5825</v>
      </c>
      <c r="B2057" s="13" t="s">
        <v>5826</v>
      </c>
      <c r="C2057" s="14">
        <v>1.0500480319557675</v>
      </c>
      <c r="D2057" s="14">
        <v>1.1012704778684053</v>
      </c>
      <c r="E2057" s="14">
        <v>1.1330760485042457</v>
      </c>
      <c r="F2057" s="8">
        <v>1.0111020556356247</v>
      </c>
      <c r="G2057" s="8">
        <f t="shared" si="256"/>
        <v>1.0756592549120865</v>
      </c>
      <c r="H2057" s="8">
        <f t="shared" si="257"/>
        <v>1.0720890520699351</v>
      </c>
      <c r="I2057" s="8">
        <f t="shared" si="258"/>
        <v>0.99668091653946378</v>
      </c>
      <c r="J2057" s="22">
        <f t="shared" si="259"/>
        <v>-4.7963894678228099E-3</v>
      </c>
      <c r="K2057" s="8"/>
      <c r="L2057" s="8">
        <v>0.9224856776281477</v>
      </c>
      <c r="M2057" s="8">
        <v>0.75906337226655651</v>
      </c>
      <c r="N2057" s="8">
        <v>0.81507184331060401</v>
      </c>
      <c r="O2057" s="8">
        <v>0.75822906165188031</v>
      </c>
      <c r="P2057" s="8">
        <f t="shared" si="260"/>
        <v>0.84077452494735216</v>
      </c>
      <c r="Q2057" s="8">
        <f t="shared" si="261"/>
        <v>0.7866504524812421</v>
      </c>
      <c r="R2057" s="8">
        <f t="shared" si="262"/>
        <v>0.93562593672840022</v>
      </c>
      <c r="S2057" s="22">
        <f t="shared" si="263"/>
        <v>-9.5996239320592661E-2</v>
      </c>
      <c r="T2057" s="25"/>
      <c r="U2057" s="1" t="s">
        <v>5827</v>
      </c>
    </row>
    <row r="2058" spans="1:21">
      <c r="A2058" s="6" t="s">
        <v>5828</v>
      </c>
      <c r="B2058" s="6" t="s">
        <v>5829</v>
      </c>
      <c r="C2058" s="7">
        <v>0.9466606067295138</v>
      </c>
      <c r="D2058" s="7">
        <v>1.0282709722441883</v>
      </c>
      <c r="E2058" s="7">
        <v>1.3374572299487593</v>
      </c>
      <c r="F2058" s="8">
        <v>1.1477820896294482</v>
      </c>
      <c r="G2058" s="8">
        <f t="shared" si="256"/>
        <v>0.98746578948685104</v>
      </c>
      <c r="H2058" s="8">
        <f t="shared" si="257"/>
        <v>1.2426196597891037</v>
      </c>
      <c r="I2058" s="8">
        <f t="shared" si="258"/>
        <v>1.2583926177684055</v>
      </c>
      <c r="J2058" s="22">
        <f t="shared" si="259"/>
        <v>0.33158211246815122</v>
      </c>
      <c r="K2058" s="8"/>
      <c r="L2058" s="8">
        <v>1.1569739887086763</v>
      </c>
      <c r="M2058" s="8">
        <v>1.0619983243006652</v>
      </c>
      <c r="N2058" s="8">
        <v>1.2496824238333464</v>
      </c>
      <c r="O2058" s="8">
        <v>1.1689322174046284</v>
      </c>
      <c r="P2058" s="8">
        <f t="shared" si="260"/>
        <v>1.1094861565046708</v>
      </c>
      <c r="Q2058" s="8">
        <f t="shared" si="261"/>
        <v>1.2093073206189873</v>
      </c>
      <c r="R2058" s="8">
        <f t="shared" si="262"/>
        <v>1.0899706260678308</v>
      </c>
      <c r="S2058" s="22">
        <f t="shared" si="263"/>
        <v>0.1242892559221189</v>
      </c>
      <c r="T2058" s="25"/>
      <c r="U2058" s="1" t="s">
        <v>5830</v>
      </c>
    </row>
    <row r="2059" spans="1:21">
      <c r="A2059" s="6" t="s">
        <v>5831</v>
      </c>
      <c r="B2059" s="13" t="s">
        <v>5832</v>
      </c>
      <c r="C2059" s="14">
        <v>1.0151291002568341</v>
      </c>
      <c r="D2059" s="14">
        <v>1.1462393889250413</v>
      </c>
      <c r="E2059" s="14">
        <v>1.1288468878349192</v>
      </c>
      <c r="F2059" s="8">
        <v>1.0876881887929195</v>
      </c>
      <c r="G2059" s="8">
        <f t="shared" si="256"/>
        <v>1.0806842445909377</v>
      </c>
      <c r="H2059" s="8">
        <f t="shared" si="257"/>
        <v>1.1082675383139193</v>
      </c>
      <c r="I2059" s="8">
        <f t="shared" si="258"/>
        <v>1.0255239158533513</v>
      </c>
      <c r="J2059" s="22">
        <f t="shared" si="259"/>
        <v>3.6361136752632327E-2</v>
      </c>
      <c r="K2059" s="8"/>
      <c r="L2059" s="8">
        <v>0.56977756449281247</v>
      </c>
      <c r="M2059" s="8">
        <v>0.8921980124121287</v>
      </c>
      <c r="N2059" s="8">
        <v>0.70139226099480256</v>
      </c>
      <c r="O2059" s="8">
        <v>0.64830677071109755</v>
      </c>
      <c r="P2059" s="8">
        <f t="shared" si="260"/>
        <v>0.73098778845247059</v>
      </c>
      <c r="Q2059" s="8">
        <f t="shared" si="261"/>
        <v>0.67484951585295005</v>
      </c>
      <c r="R2059" s="8">
        <f t="shared" si="262"/>
        <v>0.92320217452829489</v>
      </c>
      <c r="S2059" s="22">
        <f t="shared" si="263"/>
        <v>-0.11528147274810403</v>
      </c>
      <c r="T2059" s="25"/>
      <c r="U2059" s="1" t="s">
        <v>5833</v>
      </c>
    </row>
    <row r="2060" spans="1:21">
      <c r="A2060" s="6" t="s">
        <v>5834</v>
      </c>
      <c r="B2060" s="6" t="s">
        <v>5835</v>
      </c>
      <c r="C2060" s="7">
        <v>1.0472560389419312</v>
      </c>
      <c r="D2060" s="7">
        <v>1.0906260495176348</v>
      </c>
      <c r="E2060" s="7">
        <v>1.0077437279070462</v>
      </c>
      <c r="F2060" s="8">
        <v>1.0147025962381349</v>
      </c>
      <c r="G2060" s="8">
        <f t="shared" si="256"/>
        <v>1.0689410442297831</v>
      </c>
      <c r="H2060" s="8">
        <f t="shared" si="257"/>
        <v>1.0112231620725907</v>
      </c>
      <c r="I2060" s="8">
        <f t="shared" si="258"/>
        <v>0.94600461599939722</v>
      </c>
      <c r="J2060" s="22">
        <f t="shared" si="259"/>
        <v>-8.008087172100925E-2</v>
      </c>
      <c r="K2060" s="8"/>
      <c r="L2060" s="8">
        <v>0.89807071850813336</v>
      </c>
      <c r="M2060" s="8">
        <v>1.3603617294762365</v>
      </c>
      <c r="N2060" s="8">
        <v>0.94953887291584194</v>
      </c>
      <c r="O2060" s="8">
        <v>0.88866609769860294</v>
      </c>
      <c r="P2060" s="8">
        <f t="shared" si="260"/>
        <v>1.1292162239921848</v>
      </c>
      <c r="Q2060" s="8">
        <f t="shared" si="261"/>
        <v>0.91910248530722249</v>
      </c>
      <c r="R2060" s="8">
        <f t="shared" si="262"/>
        <v>0.81392957856898762</v>
      </c>
      <c r="S2060" s="22">
        <f t="shared" si="263"/>
        <v>-0.2970241174035223</v>
      </c>
      <c r="T2060" s="25"/>
      <c r="U2060" s="1" t="s">
        <v>5836</v>
      </c>
    </row>
    <row r="2061" spans="1:21">
      <c r="A2061" s="6" t="s">
        <v>5837</v>
      </c>
      <c r="B2061" s="13" t="s">
        <v>5838</v>
      </c>
      <c r="C2061" s="14">
        <v>0.73641668593828913</v>
      </c>
      <c r="D2061" s="14">
        <v>0.7747960236508975</v>
      </c>
      <c r="E2061" s="14">
        <v>0.88304705270102823</v>
      </c>
      <c r="F2061" s="8">
        <v>0.88954429217234376</v>
      </c>
      <c r="G2061" s="8">
        <f t="shared" si="256"/>
        <v>0.75560635479459326</v>
      </c>
      <c r="H2061" s="8">
        <f t="shared" si="257"/>
        <v>0.88629567243668594</v>
      </c>
      <c r="I2061" s="8">
        <f t="shared" si="258"/>
        <v>1.1729595268923059</v>
      </c>
      <c r="J2061" s="22">
        <f t="shared" si="259"/>
        <v>0.23015323386162082</v>
      </c>
      <c r="K2061" s="8"/>
      <c r="L2061" s="8">
        <v>1.2904233948929267</v>
      </c>
      <c r="M2061" s="8">
        <v>1.2285332455759606</v>
      </c>
      <c r="N2061" s="8">
        <v>0.73175212951561452</v>
      </c>
      <c r="O2061" s="8">
        <v>0.77762110926446038</v>
      </c>
      <c r="P2061" s="8">
        <f t="shared" si="260"/>
        <v>1.2594783202344435</v>
      </c>
      <c r="Q2061" s="8">
        <f t="shared" si="261"/>
        <v>0.75468661939003745</v>
      </c>
      <c r="R2061" s="8">
        <f t="shared" si="262"/>
        <v>0.59920572451739984</v>
      </c>
      <c r="S2061" s="22">
        <f t="shared" si="263"/>
        <v>-0.7388766882245198</v>
      </c>
      <c r="T2061" s="25"/>
      <c r="U2061" s="1" t="s">
        <v>5839</v>
      </c>
    </row>
    <row r="2062" spans="1:21">
      <c r="A2062" s="6" t="s">
        <v>5840</v>
      </c>
      <c r="B2062" s="13" t="s">
        <v>80</v>
      </c>
      <c r="C2062" s="14">
        <v>1.0190165891671075</v>
      </c>
      <c r="D2062" s="14">
        <v>1.0790459351285171</v>
      </c>
      <c r="E2062" s="14">
        <v>1.1076841339445209</v>
      </c>
      <c r="F2062" s="8">
        <v>1.2002972915880106</v>
      </c>
      <c r="G2062" s="8">
        <f t="shared" si="256"/>
        <v>1.0490312621478122</v>
      </c>
      <c r="H2062" s="8">
        <f t="shared" si="257"/>
        <v>1.1539907127662659</v>
      </c>
      <c r="I2062" s="8">
        <f t="shared" si="258"/>
        <v>1.1000536918256918</v>
      </c>
      <c r="J2062" s="22">
        <f t="shared" si="259"/>
        <v>0.13757394105926243</v>
      </c>
      <c r="K2062" s="8"/>
      <c r="L2062" s="8">
        <v>0.95908432005171718</v>
      </c>
      <c r="M2062" s="8">
        <v>0.97751800429238511</v>
      </c>
      <c r="N2062" s="8">
        <v>1.3796747713245094</v>
      </c>
      <c r="O2062" s="8">
        <v>0.86411984795741614</v>
      </c>
      <c r="P2062" s="8">
        <f t="shared" si="260"/>
        <v>0.9683011621720512</v>
      </c>
      <c r="Q2062" s="8">
        <f t="shared" si="261"/>
        <v>1.1218973096409628</v>
      </c>
      <c r="R2062" s="8">
        <f t="shared" si="262"/>
        <v>1.1586243551793032</v>
      </c>
      <c r="S2062" s="22">
        <f t="shared" si="263"/>
        <v>0.21241289700574534</v>
      </c>
      <c r="T2062" s="25"/>
      <c r="U2062" s="1">
        <v>0</v>
      </c>
    </row>
    <row r="2063" spans="1:21">
      <c r="A2063" s="6" t="s">
        <v>5841</v>
      </c>
      <c r="B2063" s="13" t="s">
        <v>5842</v>
      </c>
      <c r="C2063" s="14">
        <v>1.0101385078397316</v>
      </c>
      <c r="D2063" s="14">
        <v>1.1899367266475129</v>
      </c>
      <c r="E2063" s="14">
        <v>1.1314657468465863</v>
      </c>
      <c r="F2063" s="8">
        <v>1.0430678307408365</v>
      </c>
      <c r="G2063" s="8">
        <f t="shared" si="256"/>
        <v>1.1000376172436224</v>
      </c>
      <c r="H2063" s="8">
        <f t="shared" si="257"/>
        <v>1.0872667887937113</v>
      </c>
      <c r="I2063" s="8">
        <f t="shared" si="258"/>
        <v>0.98839055296862388</v>
      </c>
      <c r="J2063" s="22">
        <f t="shared" si="259"/>
        <v>-1.6846873425896764E-2</v>
      </c>
      <c r="K2063" s="8"/>
      <c r="L2063" s="8">
        <v>1.0855852193519089</v>
      </c>
      <c r="M2063" s="8">
        <v>0.84097802822157575</v>
      </c>
      <c r="N2063" s="8">
        <v>0.82640015246016063</v>
      </c>
      <c r="O2063" s="8">
        <v>0.82548884784498688</v>
      </c>
      <c r="P2063" s="8">
        <f t="shared" si="260"/>
        <v>0.96328162378674231</v>
      </c>
      <c r="Q2063" s="8">
        <f t="shared" si="261"/>
        <v>0.82594450015257381</v>
      </c>
      <c r="R2063" s="8">
        <f t="shared" si="262"/>
        <v>0.8574278588495392</v>
      </c>
      <c r="S2063" s="22">
        <f t="shared" si="263"/>
        <v>-0.22191280209551853</v>
      </c>
      <c r="T2063" s="25"/>
      <c r="U2063" s="1" t="s">
        <v>5843</v>
      </c>
    </row>
    <row r="2064" spans="1:21">
      <c r="A2064" s="6" t="s">
        <v>5844</v>
      </c>
      <c r="B2064" s="6" t="s">
        <v>5845</v>
      </c>
      <c r="C2064" s="7">
        <v>1.0850658625897958</v>
      </c>
      <c r="D2064" s="7">
        <v>1.103613691622557</v>
      </c>
      <c r="E2064" s="7">
        <v>1.0234314561614024</v>
      </c>
      <c r="F2064" s="8">
        <v>1.0284197777530637</v>
      </c>
      <c r="G2064" s="8">
        <f t="shared" si="256"/>
        <v>1.0943397771061765</v>
      </c>
      <c r="H2064" s="8">
        <f t="shared" si="257"/>
        <v>1.0259256169572331</v>
      </c>
      <c r="I2064" s="8">
        <f t="shared" si="258"/>
        <v>0.93748362110179817</v>
      </c>
      <c r="J2064" s="22">
        <f t="shared" si="259"/>
        <v>-9.3134609683885816E-2</v>
      </c>
      <c r="K2064" s="8"/>
      <c r="L2064" s="8">
        <v>0.93876231704149071</v>
      </c>
      <c r="M2064" s="8">
        <v>1.0000025510864166</v>
      </c>
      <c r="N2064" s="8">
        <v>0.94710328644868724</v>
      </c>
      <c r="O2064" s="8">
        <v>0.79099141577629184</v>
      </c>
      <c r="P2064" s="8">
        <f t="shared" si="260"/>
        <v>0.96938243406395364</v>
      </c>
      <c r="Q2064" s="8">
        <f t="shared" si="261"/>
        <v>0.86904735111248954</v>
      </c>
      <c r="R2064" s="8">
        <f t="shared" si="262"/>
        <v>0.89649587260331498</v>
      </c>
      <c r="S2064" s="22">
        <f t="shared" si="263"/>
        <v>-0.15763115383323978</v>
      </c>
      <c r="T2064" s="25"/>
      <c r="U2064" s="1" t="s">
        <v>5846</v>
      </c>
    </row>
    <row r="2065" spans="1:21">
      <c r="A2065" s="6" t="s">
        <v>5847</v>
      </c>
      <c r="B2065" s="13" t="s">
        <v>5848</v>
      </c>
      <c r="C2065" s="14">
        <v>1.0718134052870634</v>
      </c>
      <c r="D2065" s="14">
        <v>1.1644892653310954</v>
      </c>
      <c r="E2065" s="14">
        <v>1.2535605135847021</v>
      </c>
      <c r="F2065" s="8">
        <v>1.2053907392696104</v>
      </c>
      <c r="G2065" s="8">
        <f t="shared" si="256"/>
        <v>1.1181513353090793</v>
      </c>
      <c r="H2065" s="8">
        <f t="shared" si="257"/>
        <v>1.2294756264271562</v>
      </c>
      <c r="I2065" s="8">
        <f t="shared" si="258"/>
        <v>1.0995610232735666</v>
      </c>
      <c r="J2065" s="22">
        <f t="shared" si="259"/>
        <v>0.13692767288878738</v>
      </c>
      <c r="K2065" s="8"/>
      <c r="L2065" s="8">
        <v>0.75515040225588503</v>
      </c>
      <c r="M2065" s="8">
        <v>0.48127192795440404</v>
      </c>
      <c r="N2065" s="8">
        <v>0.62815474234291857</v>
      </c>
      <c r="O2065" s="8">
        <v>0.7930837156502808</v>
      </c>
      <c r="P2065" s="8">
        <f t="shared" si="260"/>
        <v>0.61821116510514451</v>
      </c>
      <c r="Q2065" s="8">
        <f t="shared" si="261"/>
        <v>0.71061922899659968</v>
      </c>
      <c r="R2065" s="8">
        <f t="shared" si="262"/>
        <v>1.1494765366713144</v>
      </c>
      <c r="S2065" s="22">
        <f t="shared" si="263"/>
        <v>0.20097701779735819</v>
      </c>
      <c r="T2065" s="25"/>
      <c r="U2065" s="1" t="s">
        <v>5849</v>
      </c>
    </row>
    <row r="2066" spans="1:21">
      <c r="A2066" s="6" t="s">
        <v>5850</v>
      </c>
      <c r="B2066" s="13" t="s">
        <v>5851</v>
      </c>
      <c r="C2066" s="14">
        <v>1.1629982234446701</v>
      </c>
      <c r="D2066" s="14">
        <v>1.0727760389399341</v>
      </c>
      <c r="E2066" s="14">
        <v>1.0936914600666487</v>
      </c>
      <c r="F2066" s="8">
        <v>1.0372806203577776</v>
      </c>
      <c r="G2066" s="8">
        <f t="shared" si="256"/>
        <v>1.117887131192302</v>
      </c>
      <c r="H2066" s="8">
        <f t="shared" si="257"/>
        <v>1.065486040212213</v>
      </c>
      <c r="I2066" s="8">
        <f t="shared" si="258"/>
        <v>0.95312488218358893</v>
      </c>
      <c r="J2066" s="22">
        <f t="shared" si="259"/>
        <v>-6.9262840769612075E-2</v>
      </c>
      <c r="K2066" s="8"/>
      <c r="L2066" s="8">
        <v>1.2745750880957243</v>
      </c>
      <c r="M2066" s="8">
        <v>0.93296874664031026</v>
      </c>
      <c r="N2066" s="8">
        <v>0.96755088446363702</v>
      </c>
      <c r="O2066" s="8">
        <v>0.87687777401832401</v>
      </c>
      <c r="P2066" s="8">
        <f t="shared" si="260"/>
        <v>1.1037719173680172</v>
      </c>
      <c r="Q2066" s="8">
        <f t="shared" si="261"/>
        <v>0.92221432924098057</v>
      </c>
      <c r="R2066" s="8">
        <f t="shared" si="262"/>
        <v>0.83551168020294719</v>
      </c>
      <c r="S2066" s="22">
        <f t="shared" si="263"/>
        <v>-0.25926809801552247</v>
      </c>
      <c r="T2066" s="25"/>
      <c r="U2066" s="1">
        <v>0</v>
      </c>
    </row>
    <row r="2067" spans="1:21">
      <c r="A2067" s="6" t="s">
        <v>5852</v>
      </c>
      <c r="B2067" s="13" t="s">
        <v>80</v>
      </c>
      <c r="C2067" s="14">
        <v>1.0857809779666368</v>
      </c>
      <c r="D2067" s="14">
        <v>1.1941113258955236</v>
      </c>
      <c r="E2067" s="14">
        <v>1.0434246225320267</v>
      </c>
      <c r="F2067" s="8">
        <v>1.0046913370018873</v>
      </c>
      <c r="G2067" s="8">
        <f t="shared" si="256"/>
        <v>1.1399461519310803</v>
      </c>
      <c r="H2067" s="8">
        <f t="shared" si="257"/>
        <v>1.0240579797669569</v>
      </c>
      <c r="I2067" s="8">
        <f t="shared" si="258"/>
        <v>0.8983389066511539</v>
      </c>
      <c r="J2067" s="22">
        <f t="shared" si="259"/>
        <v>-0.15466827719824858</v>
      </c>
      <c r="K2067" s="8"/>
      <c r="L2067" s="8">
        <v>1.1206609013625339</v>
      </c>
      <c r="M2067" s="8">
        <v>0.97602525429776066</v>
      </c>
      <c r="N2067" s="8">
        <v>1.1837516645829265</v>
      </c>
      <c r="O2067" s="8">
        <v>1.2641063458190016</v>
      </c>
      <c r="P2067" s="8">
        <f t="shared" si="260"/>
        <v>1.0483430778301472</v>
      </c>
      <c r="Q2067" s="8">
        <f t="shared" si="261"/>
        <v>1.2239290052009641</v>
      </c>
      <c r="R2067" s="8">
        <f t="shared" si="262"/>
        <v>1.167488993902877</v>
      </c>
      <c r="S2067" s="22">
        <f t="shared" si="263"/>
        <v>0.22340894949246787</v>
      </c>
      <c r="T2067" s="25"/>
      <c r="U2067" s="1">
        <v>0</v>
      </c>
    </row>
    <row r="2068" spans="1:21">
      <c r="A2068" s="6" t="s">
        <v>5853</v>
      </c>
      <c r="B2068" s="13" t="s">
        <v>80</v>
      </c>
      <c r="C2068" s="14">
        <v>1.0905129116304138</v>
      </c>
      <c r="D2068" s="14">
        <v>1.2795546560981019</v>
      </c>
      <c r="E2068" s="14">
        <v>1.152560698561925</v>
      </c>
      <c r="F2068" s="8">
        <v>1.137972811939195</v>
      </c>
      <c r="G2068" s="8">
        <f t="shared" si="256"/>
        <v>1.1850337838642577</v>
      </c>
      <c r="H2068" s="8">
        <f t="shared" si="257"/>
        <v>1.14526675525056</v>
      </c>
      <c r="I2068" s="8">
        <f t="shared" si="258"/>
        <v>0.96644228278115241</v>
      </c>
      <c r="J2068" s="22">
        <f t="shared" si="259"/>
        <v>-4.9244519545320019E-2</v>
      </c>
      <c r="K2068" s="8"/>
      <c r="L2068" s="8">
        <v>1.2884721018638416</v>
      </c>
      <c r="M2068" s="8">
        <v>1.3798141278436868</v>
      </c>
      <c r="N2068" s="8">
        <v>1.7698217384352419</v>
      </c>
      <c r="O2068" s="8">
        <v>1.3453998506791069</v>
      </c>
      <c r="P2068" s="8">
        <f t="shared" si="260"/>
        <v>1.3341431148537644</v>
      </c>
      <c r="Q2068" s="8">
        <f t="shared" si="261"/>
        <v>1.5576107945571744</v>
      </c>
      <c r="R2068" s="8">
        <f t="shared" si="262"/>
        <v>1.1674990315622207</v>
      </c>
      <c r="S2068" s="22">
        <f t="shared" si="263"/>
        <v>0.22342135322319323</v>
      </c>
      <c r="T2068" s="25"/>
      <c r="U2068" s="1">
        <v>0</v>
      </c>
    </row>
    <row r="2069" spans="1:21">
      <c r="A2069" s="6" t="s">
        <v>5854</v>
      </c>
      <c r="B2069" s="13" t="s">
        <v>5855</v>
      </c>
      <c r="C2069" s="14">
        <v>1.4072862007397569</v>
      </c>
      <c r="D2069" s="14">
        <v>1.1386499355028916</v>
      </c>
      <c r="E2069" s="14">
        <v>0.78718325243899667</v>
      </c>
      <c r="F2069" s="8">
        <v>0.89095816299430508</v>
      </c>
      <c r="G2069" s="8">
        <f t="shared" si="256"/>
        <v>1.2729680681213242</v>
      </c>
      <c r="H2069" s="8">
        <f t="shared" si="257"/>
        <v>0.83907070771665082</v>
      </c>
      <c r="I2069" s="8">
        <f t="shared" si="258"/>
        <v>0.65914513390345353</v>
      </c>
      <c r="J2069" s="22">
        <f t="shared" si="259"/>
        <v>-0.60133193479898794</v>
      </c>
      <c r="K2069" s="8"/>
      <c r="L2069" s="8">
        <v>1.0754956066161525</v>
      </c>
      <c r="M2069" s="8">
        <v>1.1582340505166133</v>
      </c>
      <c r="N2069" s="8">
        <v>1.1553176086175392</v>
      </c>
      <c r="O2069" s="8">
        <v>0.97465451934912251</v>
      </c>
      <c r="P2069" s="8">
        <f t="shared" si="260"/>
        <v>1.1168648285663829</v>
      </c>
      <c r="Q2069" s="8">
        <f t="shared" si="261"/>
        <v>1.0649860639833308</v>
      </c>
      <c r="R2069" s="8">
        <f t="shared" si="262"/>
        <v>0.95354964785698904</v>
      </c>
      <c r="S2069" s="22">
        <f t="shared" si="263"/>
        <v>-6.862003851779927E-2</v>
      </c>
      <c r="T2069" s="25"/>
      <c r="U2069" s="1" t="s">
        <v>5856</v>
      </c>
    </row>
    <row r="2070" spans="1:21">
      <c r="A2070" s="6" t="s">
        <v>5857</v>
      </c>
      <c r="B2070" s="13" t="s">
        <v>5858</v>
      </c>
      <c r="C2070" s="14">
        <v>0.91973727355249313</v>
      </c>
      <c r="D2070" s="14">
        <v>1.0874990987399105</v>
      </c>
      <c r="E2070" s="14">
        <v>0.83254290755369853</v>
      </c>
      <c r="F2070" s="8">
        <v>0.91689083713872555</v>
      </c>
      <c r="G2070" s="8">
        <f t="shared" si="256"/>
        <v>1.0036181861462019</v>
      </c>
      <c r="H2070" s="8">
        <f t="shared" si="257"/>
        <v>0.87471687234621198</v>
      </c>
      <c r="I2070" s="8">
        <f t="shared" si="258"/>
        <v>0.87156339374941116</v>
      </c>
      <c r="J2070" s="22">
        <f t="shared" si="259"/>
        <v>-0.19832249132619642</v>
      </c>
      <c r="K2070" s="8"/>
      <c r="L2070" s="8">
        <v>0.93219455026066811</v>
      </c>
      <c r="M2070" s="8">
        <v>1.0137171916620291</v>
      </c>
      <c r="N2070" s="8">
        <v>1.2915971676867062</v>
      </c>
      <c r="O2070" s="8">
        <v>0.98690212836759406</v>
      </c>
      <c r="P2070" s="8">
        <f t="shared" si="260"/>
        <v>0.97295587096134861</v>
      </c>
      <c r="Q2070" s="8">
        <f t="shared" si="261"/>
        <v>1.1392496480271501</v>
      </c>
      <c r="R2070" s="8">
        <f t="shared" si="262"/>
        <v>1.1709160528539611</v>
      </c>
      <c r="S2070" s="22">
        <f t="shared" si="263"/>
        <v>0.22763764759609478</v>
      </c>
      <c r="T2070" s="25"/>
      <c r="U2070" s="1" t="s">
        <v>5859</v>
      </c>
    </row>
    <row r="2071" spans="1:21">
      <c r="A2071" s="6" t="s">
        <v>5860</v>
      </c>
      <c r="B2071" s="13" t="s">
        <v>5861</v>
      </c>
      <c r="C2071" s="14">
        <v>0.99038154365190378</v>
      </c>
      <c r="D2071" s="14">
        <v>1.0110847389415545</v>
      </c>
      <c r="E2071" s="14">
        <v>0.8923952775873355</v>
      </c>
      <c r="F2071" s="8">
        <v>1.0653648370573567</v>
      </c>
      <c r="G2071" s="8">
        <f t="shared" si="256"/>
        <v>1.0007331412967291</v>
      </c>
      <c r="H2071" s="8">
        <f t="shared" si="257"/>
        <v>0.97888005732234618</v>
      </c>
      <c r="I2071" s="8">
        <f t="shared" si="258"/>
        <v>0.97816292568659602</v>
      </c>
      <c r="J2071" s="22">
        <f t="shared" si="259"/>
        <v>-3.1853310176605316E-2</v>
      </c>
      <c r="K2071" s="8"/>
      <c r="L2071" s="8">
        <v>1.127657000759497</v>
      </c>
      <c r="M2071" s="8">
        <v>0.97117381681523096</v>
      </c>
      <c r="N2071" s="8">
        <v>1.1014514986113972</v>
      </c>
      <c r="O2071" s="8">
        <v>1.0705941233271501</v>
      </c>
      <c r="P2071" s="8">
        <f t="shared" si="260"/>
        <v>1.0494154087873639</v>
      </c>
      <c r="Q2071" s="8">
        <f t="shared" si="261"/>
        <v>1.0860228109692738</v>
      </c>
      <c r="R2071" s="8">
        <f t="shared" si="262"/>
        <v>1.0348836141297095</v>
      </c>
      <c r="S2071" s="22">
        <f t="shared" si="263"/>
        <v>4.9468527377434783E-2</v>
      </c>
      <c r="T2071" s="25"/>
      <c r="U2071" s="1" t="s">
        <v>5862</v>
      </c>
    </row>
    <row r="2072" spans="1:21">
      <c r="A2072" s="6" t="s">
        <v>5863</v>
      </c>
      <c r="B2072" s="6" t="s">
        <v>5864</v>
      </c>
      <c r="C2072" s="7">
        <v>0.18036883478213736</v>
      </c>
      <c r="D2072" s="7">
        <v>0.19675797949962875</v>
      </c>
      <c r="E2072" s="7">
        <v>0.38009051811080624</v>
      </c>
      <c r="F2072" s="8">
        <v>0.37127720876322734</v>
      </c>
      <c r="G2072" s="8">
        <f t="shared" si="256"/>
        <v>0.18856340714088304</v>
      </c>
      <c r="H2072" s="8">
        <f t="shared" si="257"/>
        <v>0.37568386343701676</v>
      </c>
      <c r="I2072" s="8">
        <f t="shared" si="258"/>
        <v>1.992347662430223</v>
      </c>
      <c r="J2072" s="22">
        <f t="shared" si="259"/>
        <v>0.99446941803835553</v>
      </c>
      <c r="K2072" s="8"/>
      <c r="L2072" s="8">
        <v>0.67405276026659733</v>
      </c>
      <c r="M2072" s="8">
        <v>0.95605972311965803</v>
      </c>
      <c r="N2072" s="8">
        <v>0.78969643081559704</v>
      </c>
      <c r="O2072" s="8">
        <v>0.7133211619174844</v>
      </c>
      <c r="P2072" s="8">
        <f t="shared" si="260"/>
        <v>0.81505624169312774</v>
      </c>
      <c r="Q2072" s="8">
        <f t="shared" si="261"/>
        <v>0.75150879636654078</v>
      </c>
      <c r="R2072" s="8">
        <f t="shared" si="262"/>
        <v>0.92203305480542186</v>
      </c>
      <c r="S2072" s="22">
        <f t="shared" si="263"/>
        <v>-0.1171096228129616</v>
      </c>
      <c r="T2072" s="25"/>
      <c r="U2072" s="1" t="s">
        <v>5865</v>
      </c>
    </row>
    <row r="2073" spans="1:21">
      <c r="A2073" s="6" t="s">
        <v>5866</v>
      </c>
      <c r="B2073" s="6" t="s">
        <v>5867</v>
      </c>
      <c r="C2073" s="7">
        <v>0.92106860537107993</v>
      </c>
      <c r="D2073" s="7">
        <v>0.93829316354808123</v>
      </c>
      <c r="E2073" s="7">
        <v>1.0473995250448809</v>
      </c>
      <c r="F2073" s="8">
        <v>0.91323760569812995</v>
      </c>
      <c r="G2073" s="8">
        <f t="shared" si="256"/>
        <v>0.92968088445958053</v>
      </c>
      <c r="H2073" s="8">
        <f t="shared" si="257"/>
        <v>0.98031856537150541</v>
      </c>
      <c r="I2073" s="8">
        <f t="shared" si="258"/>
        <v>1.0544678090712389</v>
      </c>
      <c r="J2073" s="22">
        <f t="shared" si="259"/>
        <v>7.6515053024286281E-2</v>
      </c>
      <c r="K2073" s="8"/>
      <c r="L2073" s="8">
        <v>1.0082473858820775</v>
      </c>
      <c r="M2073" s="8">
        <v>1.3118473546509404</v>
      </c>
      <c r="N2073" s="8">
        <v>0.88349483057392642</v>
      </c>
      <c r="O2073" s="8">
        <v>0.93051209517838096</v>
      </c>
      <c r="P2073" s="8">
        <f t="shared" si="260"/>
        <v>1.1600473702665091</v>
      </c>
      <c r="Q2073" s="8">
        <f t="shared" si="261"/>
        <v>0.90700346287615363</v>
      </c>
      <c r="R2073" s="8">
        <f t="shared" si="262"/>
        <v>0.78186760827515067</v>
      </c>
      <c r="S2073" s="22">
        <f t="shared" si="263"/>
        <v>-0.35500375468828715</v>
      </c>
      <c r="T2073" s="25"/>
      <c r="U2073" s="1" t="s">
        <v>5868</v>
      </c>
    </row>
    <row r="2074" spans="1:21">
      <c r="A2074" s="6" t="s">
        <v>5869</v>
      </c>
      <c r="B2074" s="13" t="s">
        <v>5870</v>
      </c>
      <c r="C2074" s="14">
        <v>0.95785140161603477</v>
      </c>
      <c r="D2074" s="14">
        <v>1.0220570572715748</v>
      </c>
      <c r="E2074" s="14">
        <v>0.88008918281406434</v>
      </c>
      <c r="F2074" s="8">
        <v>1.0444641379501027</v>
      </c>
      <c r="G2074" s="8">
        <f t="shared" si="256"/>
        <v>0.98995422944380485</v>
      </c>
      <c r="H2074" s="8">
        <f t="shared" si="257"/>
        <v>0.96227666038208359</v>
      </c>
      <c r="I2074" s="8">
        <f t="shared" si="258"/>
        <v>0.97204156693459298</v>
      </c>
      <c r="J2074" s="22">
        <f t="shared" si="259"/>
        <v>-4.0910086479984967E-2</v>
      </c>
      <c r="K2074" s="8"/>
      <c r="L2074" s="8">
        <v>1.2215570287200985</v>
      </c>
      <c r="M2074" s="8">
        <v>1.2489652611273834</v>
      </c>
      <c r="N2074" s="8">
        <v>0.84039061425986317</v>
      </c>
      <c r="O2074" s="8">
        <v>0.95541556684927331</v>
      </c>
      <c r="P2074" s="8">
        <f t="shared" si="260"/>
        <v>1.235261144923741</v>
      </c>
      <c r="Q2074" s="8">
        <f t="shared" si="261"/>
        <v>0.89790309055456818</v>
      </c>
      <c r="R2074" s="8">
        <f t="shared" si="262"/>
        <v>0.72689333283449176</v>
      </c>
      <c r="S2074" s="22">
        <f t="shared" si="263"/>
        <v>-0.46018442191337178</v>
      </c>
      <c r="T2074" s="25"/>
      <c r="U2074" s="1" t="s">
        <v>5871</v>
      </c>
    </row>
    <row r="2075" spans="1:21">
      <c r="A2075" s="6" t="s">
        <v>5872</v>
      </c>
      <c r="B2075" s="13" t="s">
        <v>5873</v>
      </c>
      <c r="C2075" s="14">
        <v>1.0872416391618862</v>
      </c>
      <c r="D2075" s="14">
        <v>1.1618661454970964</v>
      </c>
      <c r="E2075" s="14">
        <v>0.97741072983987176</v>
      </c>
      <c r="F2075" s="8">
        <v>0.92362648260732383</v>
      </c>
      <c r="G2075" s="8">
        <f t="shared" si="256"/>
        <v>1.1245538923294913</v>
      </c>
      <c r="H2075" s="8">
        <f t="shared" si="257"/>
        <v>0.95051860622359774</v>
      </c>
      <c r="I2075" s="8">
        <f t="shared" si="258"/>
        <v>0.84524059958977782</v>
      </c>
      <c r="J2075" s="22">
        <f t="shared" si="259"/>
        <v>-0.24256602872656199</v>
      </c>
      <c r="K2075" s="8"/>
      <c r="L2075" s="8">
        <v>1.2092305678778299</v>
      </c>
      <c r="M2075" s="8">
        <v>0.67379002882363215</v>
      </c>
      <c r="N2075" s="8">
        <v>0.87063719968917952</v>
      </c>
      <c r="O2075" s="8">
        <v>1.1979692571192548</v>
      </c>
      <c r="P2075" s="8">
        <f t="shared" si="260"/>
        <v>0.94151029835073108</v>
      </c>
      <c r="Q2075" s="8">
        <f t="shared" si="261"/>
        <v>1.0343032284042173</v>
      </c>
      <c r="R2075" s="8">
        <f t="shared" si="262"/>
        <v>1.0985575306144117</v>
      </c>
      <c r="S2075" s="22">
        <f t="shared" si="263"/>
        <v>0.13561042457117831</v>
      </c>
      <c r="T2075" s="25"/>
      <c r="U2075" s="1" t="s">
        <v>5874</v>
      </c>
    </row>
    <row r="2076" spans="1:21">
      <c r="A2076" s="6" t="s">
        <v>5875</v>
      </c>
      <c r="B2076" s="13" t="s">
        <v>5876</v>
      </c>
      <c r="C2076" s="14">
        <v>0.14331216456307325</v>
      </c>
      <c r="D2076" s="14">
        <v>0.17371771046989942</v>
      </c>
      <c r="E2076" s="14">
        <v>0.54966375793422839</v>
      </c>
      <c r="F2076" s="8">
        <v>0.55984015465858705</v>
      </c>
      <c r="G2076" s="8">
        <f t="shared" si="256"/>
        <v>0.15851493751648632</v>
      </c>
      <c r="H2076" s="8">
        <f t="shared" si="257"/>
        <v>0.55475195629640772</v>
      </c>
      <c r="I2076" s="8">
        <f t="shared" si="258"/>
        <v>3.4996825219623915</v>
      </c>
      <c r="J2076" s="22">
        <f t="shared" si="259"/>
        <v>1.8072240521247676</v>
      </c>
      <c r="K2076" s="8"/>
      <c r="L2076" s="8">
        <v>0.84524302918412553</v>
      </c>
      <c r="M2076" s="8">
        <v>0.89760923114264257</v>
      </c>
      <c r="N2076" s="8">
        <v>0.68417323108747641</v>
      </c>
      <c r="O2076" s="8">
        <v>0.82043670912486732</v>
      </c>
      <c r="P2076" s="8">
        <f t="shared" si="260"/>
        <v>0.87142613016338411</v>
      </c>
      <c r="Q2076" s="8">
        <f t="shared" si="261"/>
        <v>0.75230497010617192</v>
      </c>
      <c r="R2076" s="8">
        <f t="shared" si="262"/>
        <v>0.86330320387009962</v>
      </c>
      <c r="S2076" s="22">
        <f t="shared" si="263"/>
        <v>-0.21206075229083018</v>
      </c>
      <c r="T2076" s="25"/>
      <c r="U2076" s="1" t="s">
        <v>5877</v>
      </c>
    </row>
    <row r="2077" spans="1:21">
      <c r="A2077" s="6" t="s">
        <v>5878</v>
      </c>
      <c r="B2077" s="6" t="s">
        <v>5879</v>
      </c>
      <c r="C2077" s="7">
        <v>0.94074949345498848</v>
      </c>
      <c r="D2077" s="7">
        <v>1.0939289412598348</v>
      </c>
      <c r="E2077" s="7">
        <v>1.0178208261752415</v>
      </c>
      <c r="F2077" s="8">
        <v>0.93385728700226112</v>
      </c>
      <c r="G2077" s="8">
        <f t="shared" si="256"/>
        <v>1.0173392173574116</v>
      </c>
      <c r="H2077" s="8">
        <f t="shared" si="257"/>
        <v>0.97583905658875136</v>
      </c>
      <c r="I2077" s="8">
        <f t="shared" si="258"/>
        <v>0.95920715523337541</v>
      </c>
      <c r="J2077" s="22">
        <f t="shared" si="259"/>
        <v>-6.0085674269915811E-2</v>
      </c>
      <c r="K2077" s="8"/>
      <c r="L2077" s="8">
        <v>0.74130098100067221</v>
      </c>
      <c r="M2077" s="8">
        <v>0.87288555935667433</v>
      </c>
      <c r="N2077" s="8">
        <v>0.72240627446723027</v>
      </c>
      <c r="O2077" s="8">
        <v>1.0759524522727315</v>
      </c>
      <c r="P2077" s="8">
        <f t="shared" si="260"/>
        <v>0.80709327017867327</v>
      </c>
      <c r="Q2077" s="8">
        <f t="shared" si="261"/>
        <v>0.89917936336998094</v>
      </c>
      <c r="R2077" s="8">
        <f t="shared" si="262"/>
        <v>1.1140959745221537</v>
      </c>
      <c r="S2077" s="22">
        <f t="shared" si="263"/>
        <v>0.15587351993381857</v>
      </c>
      <c r="T2077" s="25"/>
      <c r="U2077" s="1" t="s">
        <v>5880</v>
      </c>
    </row>
    <row r="2078" spans="1:21">
      <c r="A2078" s="6" t="s">
        <v>5881</v>
      </c>
      <c r="B2078" s="13" t="s">
        <v>5882</v>
      </c>
      <c r="C2078" s="14">
        <v>0.97807243003777</v>
      </c>
      <c r="D2078" s="14">
        <v>1.0238564534991654</v>
      </c>
      <c r="E2078" s="14">
        <v>0.89094600609544194</v>
      </c>
      <c r="F2078" s="8">
        <v>0.93487597653858101</v>
      </c>
      <c r="G2078" s="8">
        <f t="shared" si="256"/>
        <v>1.0009644417684678</v>
      </c>
      <c r="H2078" s="8">
        <f t="shared" si="257"/>
        <v>0.91291099131701148</v>
      </c>
      <c r="I2078" s="8">
        <f t="shared" si="258"/>
        <v>0.91203139015019685</v>
      </c>
      <c r="J2078" s="22">
        <f t="shared" si="259"/>
        <v>-0.13284461519615837</v>
      </c>
      <c r="K2078" s="8"/>
      <c r="L2078" s="8">
        <v>0.88917091859498965</v>
      </c>
      <c r="M2078" s="8">
        <v>0.54639314646989767</v>
      </c>
      <c r="N2078" s="8">
        <v>0.60685752114175195</v>
      </c>
      <c r="O2078" s="8">
        <v>0.72184345652617088</v>
      </c>
      <c r="P2078" s="8">
        <f t="shared" si="260"/>
        <v>0.71778203253244366</v>
      </c>
      <c r="Q2078" s="8">
        <f t="shared" si="261"/>
        <v>0.66435048883396142</v>
      </c>
      <c r="R2078" s="8">
        <f t="shared" si="262"/>
        <v>0.92556021009613787</v>
      </c>
      <c r="S2078" s="22">
        <f t="shared" si="263"/>
        <v>-0.11160125067843076</v>
      </c>
      <c r="T2078" s="25"/>
      <c r="U2078" s="1" t="s">
        <v>5883</v>
      </c>
    </row>
    <row r="2079" spans="1:21">
      <c r="A2079" s="6" t="s">
        <v>5884</v>
      </c>
      <c r="B2079" s="6" t="s">
        <v>5885</v>
      </c>
      <c r="C2079" s="7">
        <v>0.91431304734305097</v>
      </c>
      <c r="D2079" s="7">
        <v>1.0191700259908625</v>
      </c>
      <c r="E2079" s="7">
        <v>0.93121202280881055</v>
      </c>
      <c r="F2079" s="8">
        <v>0.90760846782932747</v>
      </c>
      <c r="G2079" s="8">
        <f t="shared" si="256"/>
        <v>0.96674153666695672</v>
      </c>
      <c r="H2079" s="8">
        <f t="shared" si="257"/>
        <v>0.91941024531906901</v>
      </c>
      <c r="I2079" s="8">
        <f t="shared" si="258"/>
        <v>0.95104038716379946</v>
      </c>
      <c r="J2079" s="22">
        <f t="shared" si="259"/>
        <v>-7.2421486584138495E-2</v>
      </c>
      <c r="K2079" s="8"/>
      <c r="L2079" s="8">
        <v>0.76666779037877686</v>
      </c>
      <c r="M2079" s="8">
        <v>1.0363883322053886</v>
      </c>
      <c r="N2079" s="8">
        <v>1.3742938244784701</v>
      </c>
      <c r="O2079" s="8">
        <v>0.67836444451059663</v>
      </c>
      <c r="P2079" s="8">
        <f t="shared" si="260"/>
        <v>0.90152806129208274</v>
      </c>
      <c r="Q2079" s="8">
        <f t="shared" si="261"/>
        <v>1.0263291344945333</v>
      </c>
      <c r="R2079" s="8">
        <f t="shared" si="262"/>
        <v>1.1384328215181498</v>
      </c>
      <c r="S2079" s="22">
        <f t="shared" si="263"/>
        <v>0.18704916110816552</v>
      </c>
      <c r="T2079" s="25"/>
      <c r="U2079" s="1" t="s">
        <v>5886</v>
      </c>
    </row>
    <row r="2080" spans="1:21">
      <c r="A2080" s="6" t="s">
        <v>5887</v>
      </c>
      <c r="B2080" s="13" t="s">
        <v>5888</v>
      </c>
      <c r="C2080" s="14">
        <v>1.0398918720825483</v>
      </c>
      <c r="D2080" s="14">
        <v>1.1180488480261186</v>
      </c>
      <c r="E2080" s="14">
        <v>1.0295421271886258</v>
      </c>
      <c r="F2080" s="8">
        <v>0.98384332873271885</v>
      </c>
      <c r="G2080" s="8">
        <f t="shared" si="256"/>
        <v>1.0789703600543334</v>
      </c>
      <c r="H2080" s="8">
        <f t="shared" si="257"/>
        <v>1.0066927279606723</v>
      </c>
      <c r="I2080" s="8">
        <f t="shared" si="258"/>
        <v>0.93301240259276308</v>
      </c>
      <c r="J2080" s="22">
        <f t="shared" si="259"/>
        <v>-0.10003183584661397</v>
      </c>
      <c r="K2080" s="8"/>
      <c r="L2080" s="8">
        <v>1.2342166371526986</v>
      </c>
      <c r="M2080" s="8">
        <v>0.75994969257586475</v>
      </c>
      <c r="N2080" s="8">
        <v>0.79043277091031816</v>
      </c>
      <c r="O2080" s="8">
        <v>1.0128772658276026</v>
      </c>
      <c r="P2080" s="8">
        <f t="shared" si="260"/>
        <v>0.99708316486428172</v>
      </c>
      <c r="Q2080" s="8">
        <f t="shared" si="261"/>
        <v>0.90165501836896045</v>
      </c>
      <c r="R2080" s="8">
        <f t="shared" si="262"/>
        <v>0.90429269106322685</v>
      </c>
      <c r="S2080" s="22">
        <f t="shared" si="263"/>
        <v>-0.14513829171450338</v>
      </c>
      <c r="T2080" s="25"/>
      <c r="U2080" s="1" t="s">
        <v>5889</v>
      </c>
    </row>
    <row r="2081" spans="1:21">
      <c r="A2081" s="6" t="s">
        <v>5890</v>
      </c>
      <c r="B2081" s="6" t="s">
        <v>5891</v>
      </c>
      <c r="C2081" s="7">
        <v>1.0087234923068338</v>
      </c>
      <c r="D2081" s="7">
        <v>1.085395804482771</v>
      </c>
      <c r="E2081" s="7">
        <v>1.0074894697505739</v>
      </c>
      <c r="F2081" s="8">
        <v>1.0253724909504516</v>
      </c>
      <c r="G2081" s="8">
        <f t="shared" si="256"/>
        <v>1.0470596483948023</v>
      </c>
      <c r="H2081" s="8">
        <f t="shared" si="257"/>
        <v>1.0164309803505127</v>
      </c>
      <c r="I2081" s="8">
        <f t="shared" si="258"/>
        <v>0.97074792435058987</v>
      </c>
      <c r="J2081" s="22">
        <f t="shared" si="259"/>
        <v>-4.2831377515198013E-2</v>
      </c>
      <c r="K2081" s="8"/>
      <c r="L2081" s="8">
        <v>1.226078317446027</v>
      </c>
      <c r="M2081" s="8">
        <v>0.99673716047317551</v>
      </c>
      <c r="N2081" s="8">
        <v>1.2648623580937524</v>
      </c>
      <c r="O2081" s="8">
        <v>0.88182784932995639</v>
      </c>
      <c r="P2081" s="8">
        <f t="shared" si="260"/>
        <v>1.1114077389596013</v>
      </c>
      <c r="Q2081" s="8">
        <f t="shared" si="261"/>
        <v>1.0733451037118544</v>
      </c>
      <c r="R2081" s="8">
        <f t="shared" si="262"/>
        <v>0.96575277109067315</v>
      </c>
      <c r="S2081" s="22">
        <f t="shared" si="263"/>
        <v>-5.0274182815311007E-2</v>
      </c>
      <c r="T2081" s="25"/>
      <c r="U2081" s="1" t="s">
        <v>5892</v>
      </c>
    </row>
    <row r="2082" spans="1:21">
      <c r="A2082" s="6" t="s">
        <v>5893</v>
      </c>
      <c r="B2082" s="13" t="s">
        <v>5894</v>
      </c>
      <c r="C2082" s="14">
        <v>0.96316151366959801</v>
      </c>
      <c r="D2082" s="14">
        <v>1.0567414192229583</v>
      </c>
      <c r="E2082" s="14">
        <v>1.0381445281492803</v>
      </c>
      <c r="F2082" s="8">
        <v>1.0146762508190921</v>
      </c>
      <c r="G2082" s="8">
        <f t="shared" si="256"/>
        <v>1.0099514664462781</v>
      </c>
      <c r="H2082" s="8">
        <f t="shared" si="257"/>
        <v>1.0264103894841861</v>
      </c>
      <c r="I2082" s="8">
        <f t="shared" si="258"/>
        <v>1.0162967465118122</v>
      </c>
      <c r="J2082" s="22">
        <f t="shared" si="259"/>
        <v>2.3321713343066756E-2</v>
      </c>
      <c r="K2082" s="8"/>
      <c r="L2082" s="8">
        <v>1.0945802042908617</v>
      </c>
      <c r="M2082" s="8">
        <v>0.99235220736396601</v>
      </c>
      <c r="N2082" s="8">
        <v>1.0781151817633103</v>
      </c>
      <c r="O2082" s="8">
        <v>0.89086046098107918</v>
      </c>
      <c r="P2082" s="8">
        <f t="shared" si="260"/>
        <v>1.0434662058274138</v>
      </c>
      <c r="Q2082" s="8">
        <f t="shared" si="261"/>
        <v>0.98448782137219482</v>
      </c>
      <c r="R2082" s="8">
        <f t="shared" si="262"/>
        <v>0.9434783952505178</v>
      </c>
      <c r="S2082" s="22">
        <f t="shared" si="263"/>
        <v>-8.3938613014800892E-2</v>
      </c>
      <c r="T2082" s="25"/>
      <c r="U2082" s="1" t="s">
        <v>5895</v>
      </c>
    </row>
    <row r="2083" spans="1:21">
      <c r="A2083" s="6" t="s">
        <v>5896</v>
      </c>
      <c r="B2083" s="13" t="s">
        <v>5897</v>
      </c>
      <c r="C2083" s="14">
        <v>0.20017144463231676</v>
      </c>
      <c r="D2083" s="14">
        <v>0.20279595350776677</v>
      </c>
      <c r="E2083" s="14">
        <v>0.38247206950976576</v>
      </c>
      <c r="F2083" s="8">
        <v>0.35471472199168075</v>
      </c>
      <c r="G2083" s="8">
        <f t="shared" si="256"/>
        <v>0.20148369907004177</v>
      </c>
      <c r="H2083" s="8">
        <f t="shared" si="257"/>
        <v>0.36859339575072325</v>
      </c>
      <c r="I2083" s="8">
        <f t="shared" si="258"/>
        <v>1.8293956158834921</v>
      </c>
      <c r="J2083" s="22">
        <f t="shared" si="259"/>
        <v>0.87136709879065843</v>
      </c>
      <c r="K2083" s="8"/>
      <c r="L2083" s="8">
        <v>0.48996492035194661</v>
      </c>
      <c r="M2083" s="8">
        <v>0.58679069319942312</v>
      </c>
      <c r="N2083" s="8">
        <v>0.50348670015204722</v>
      </c>
      <c r="O2083" s="8">
        <v>0.46418438180007426</v>
      </c>
      <c r="P2083" s="8">
        <f t="shared" si="260"/>
        <v>0.53837780677568481</v>
      </c>
      <c r="Q2083" s="8">
        <f t="shared" si="261"/>
        <v>0.48383554097606074</v>
      </c>
      <c r="R2083" s="8">
        <f t="shared" si="262"/>
        <v>0.89869146700850333</v>
      </c>
      <c r="S2083" s="22">
        <f t="shared" si="263"/>
        <v>-0.15410219095603092</v>
      </c>
      <c r="T2083" s="25"/>
      <c r="U2083" s="1" t="s">
        <v>5898</v>
      </c>
    </row>
    <row r="2084" spans="1:21">
      <c r="A2084" s="6" t="s">
        <v>5899</v>
      </c>
      <c r="B2084" s="13" t="s">
        <v>5900</v>
      </c>
      <c r="C2084" s="14">
        <v>0.96797713104768623</v>
      </c>
      <c r="D2084" s="14">
        <v>1.0416424855443298</v>
      </c>
      <c r="E2084" s="14">
        <v>1.1063196151714516</v>
      </c>
      <c r="F2084" s="8">
        <v>1.0828055044636617</v>
      </c>
      <c r="G2084" s="8">
        <f t="shared" si="256"/>
        <v>1.004809808296008</v>
      </c>
      <c r="H2084" s="8">
        <f t="shared" si="257"/>
        <v>1.0945625598175566</v>
      </c>
      <c r="I2084" s="8">
        <f t="shared" si="258"/>
        <v>1.0893231244167039</v>
      </c>
      <c r="J2084" s="22">
        <f t="shared" si="259"/>
        <v>0.12343196217883293</v>
      </c>
      <c r="K2084" s="8"/>
      <c r="L2084" s="8">
        <v>1.139935869088861</v>
      </c>
      <c r="M2084" s="8">
        <v>1.3192644561867308</v>
      </c>
      <c r="N2084" s="8">
        <v>0.90779405369972554</v>
      </c>
      <c r="O2084" s="8">
        <v>0.9548542181025933</v>
      </c>
      <c r="P2084" s="8">
        <f t="shared" si="260"/>
        <v>1.2296001626377959</v>
      </c>
      <c r="Q2084" s="8">
        <f t="shared" si="261"/>
        <v>0.93132413590115948</v>
      </c>
      <c r="R2084" s="8">
        <f t="shared" si="262"/>
        <v>0.75742030962588625</v>
      </c>
      <c r="S2084" s="22">
        <f t="shared" si="263"/>
        <v>-0.40083398842115797</v>
      </c>
      <c r="T2084" s="25"/>
      <c r="U2084" s="1" t="s">
        <v>5901</v>
      </c>
    </row>
    <row r="2085" spans="1:21">
      <c r="A2085" s="6" t="s">
        <v>5902</v>
      </c>
      <c r="B2085" s="13" t="s">
        <v>5903</v>
      </c>
      <c r="C2085" s="14">
        <v>1.0268448202603977</v>
      </c>
      <c r="D2085" s="14">
        <v>1.1140741816922848</v>
      </c>
      <c r="E2085" s="14">
        <v>1.0970815688196158</v>
      </c>
      <c r="F2085" s="8">
        <v>1.0804958893942467</v>
      </c>
      <c r="G2085" s="8">
        <f t="shared" si="256"/>
        <v>1.0704595009763413</v>
      </c>
      <c r="H2085" s="8">
        <f t="shared" si="257"/>
        <v>1.0887887291069314</v>
      </c>
      <c r="I2085" s="8">
        <f t="shared" si="258"/>
        <v>1.0171227665445282</v>
      </c>
      <c r="J2085" s="22">
        <f t="shared" si="259"/>
        <v>2.4493822750665369E-2</v>
      </c>
      <c r="K2085" s="8"/>
      <c r="L2085" s="8">
        <v>0.64806724822073403</v>
      </c>
      <c r="M2085" s="8">
        <v>0.97915069959900569</v>
      </c>
      <c r="N2085" s="8">
        <v>0.68400330645023311</v>
      </c>
      <c r="O2085" s="8">
        <v>0.67601698611538952</v>
      </c>
      <c r="P2085" s="8">
        <f t="shared" si="260"/>
        <v>0.81360897390986986</v>
      </c>
      <c r="Q2085" s="8">
        <f t="shared" si="261"/>
        <v>0.68001014628281131</v>
      </c>
      <c r="R2085" s="8">
        <f t="shared" si="262"/>
        <v>0.83579479588943373</v>
      </c>
      <c r="S2085" s="22">
        <f t="shared" si="263"/>
        <v>-0.25877931919890007</v>
      </c>
      <c r="T2085" s="25"/>
      <c r="U2085" s="1" t="s">
        <v>5904</v>
      </c>
    </row>
    <row r="2086" spans="1:21">
      <c r="A2086" s="6" t="s">
        <v>5905</v>
      </c>
      <c r="B2086" s="13" t="s">
        <v>5906</v>
      </c>
      <c r="C2086" s="14">
        <v>1.0308540309369421</v>
      </c>
      <c r="D2086" s="14">
        <v>1.0896103903136169</v>
      </c>
      <c r="E2086" s="14">
        <v>1.0144815690535687</v>
      </c>
      <c r="F2086" s="8">
        <v>1.0319588457111408</v>
      </c>
      <c r="G2086" s="8">
        <f t="shared" si="256"/>
        <v>1.0602322106252795</v>
      </c>
      <c r="H2086" s="8">
        <f t="shared" si="257"/>
        <v>1.0232202073823546</v>
      </c>
      <c r="I2086" s="8">
        <f t="shared" si="258"/>
        <v>0.96509066327922943</v>
      </c>
      <c r="J2086" s="22">
        <f t="shared" si="259"/>
        <v>-5.1263615388186835E-2</v>
      </c>
      <c r="K2086" s="8"/>
      <c r="L2086" s="8">
        <v>1.149692334234286</v>
      </c>
      <c r="M2086" s="8">
        <v>0.76288854412778173</v>
      </c>
      <c r="N2086" s="8">
        <v>0.81529840949359511</v>
      </c>
      <c r="O2086" s="8">
        <v>1.204195125036978</v>
      </c>
      <c r="P2086" s="8">
        <f t="shared" si="260"/>
        <v>0.95629043918103385</v>
      </c>
      <c r="Q2086" s="8">
        <f t="shared" si="261"/>
        <v>1.0097467672652867</v>
      </c>
      <c r="R2086" s="8">
        <f t="shared" si="262"/>
        <v>1.0558996784805594</v>
      </c>
      <c r="S2086" s="22">
        <f t="shared" si="263"/>
        <v>7.8472770080868809E-2</v>
      </c>
      <c r="T2086" s="25"/>
      <c r="U2086" s="1" t="s">
        <v>5907</v>
      </c>
    </row>
    <row r="2087" spans="1:21">
      <c r="A2087" s="6" t="s">
        <v>5908</v>
      </c>
      <c r="B2087" s="13" t="s">
        <v>5909</v>
      </c>
      <c r="C2087" s="14">
        <v>1.02803921509193</v>
      </c>
      <c r="D2087" s="14">
        <v>1.0989272641142538</v>
      </c>
      <c r="E2087" s="14">
        <v>0.99267469450010692</v>
      </c>
      <c r="F2087" s="8">
        <v>0.98778635978278473</v>
      </c>
      <c r="G2087" s="8">
        <f t="shared" si="256"/>
        <v>1.0634832396030918</v>
      </c>
      <c r="H2087" s="8">
        <f t="shared" si="257"/>
        <v>0.99023052714144577</v>
      </c>
      <c r="I2087" s="8">
        <f t="shared" si="258"/>
        <v>0.93112001230128927</v>
      </c>
      <c r="J2087" s="22">
        <f t="shared" si="259"/>
        <v>-0.10296096577855417</v>
      </c>
      <c r="K2087" s="8"/>
      <c r="L2087" s="8">
        <v>1.1703474848348441</v>
      </c>
      <c r="M2087" s="8">
        <v>1.0568203477568114</v>
      </c>
      <c r="N2087" s="8">
        <v>1.0870645459914601</v>
      </c>
      <c r="O2087" s="8">
        <v>0.8721318255236663</v>
      </c>
      <c r="P2087" s="8">
        <f t="shared" si="260"/>
        <v>1.1135839162958279</v>
      </c>
      <c r="Q2087" s="8">
        <f t="shared" si="261"/>
        <v>0.97959818575756319</v>
      </c>
      <c r="R2087" s="8">
        <f t="shared" si="262"/>
        <v>0.8796806162718761</v>
      </c>
      <c r="S2087" s="22">
        <f t="shared" si="263"/>
        <v>-0.18494827222443591</v>
      </c>
      <c r="T2087" s="25"/>
      <c r="U2087" s="1" t="s">
        <v>5910</v>
      </c>
    </row>
    <row r="2088" spans="1:21">
      <c r="A2088" s="6" t="s">
        <v>5911</v>
      </c>
      <c r="B2088" s="13" t="s">
        <v>5912</v>
      </c>
      <c r="C2088" s="14">
        <v>1.0424784596158025</v>
      </c>
      <c r="D2088" s="14">
        <v>1.0895784010473486</v>
      </c>
      <c r="E2088" s="14">
        <v>0.94386560372926087</v>
      </c>
      <c r="F2088" s="8">
        <v>0.98982373885542463</v>
      </c>
      <c r="G2088" s="8">
        <f t="shared" si="256"/>
        <v>1.0660284303315755</v>
      </c>
      <c r="H2088" s="8">
        <f t="shared" si="257"/>
        <v>0.96684467129234275</v>
      </c>
      <c r="I2088" s="8">
        <f t="shared" si="258"/>
        <v>0.9069595554704083</v>
      </c>
      <c r="J2088" s="22">
        <f t="shared" si="259"/>
        <v>-0.14088987756603474</v>
      </c>
      <c r="K2088" s="8"/>
      <c r="L2088" s="8">
        <v>0.79741255371509134</v>
      </c>
      <c r="M2088" s="8">
        <v>0.7652209659943825</v>
      </c>
      <c r="N2088" s="8">
        <v>0.87686776972143576</v>
      </c>
      <c r="O2088" s="8">
        <v>0.74812478421164119</v>
      </c>
      <c r="P2088" s="8">
        <f t="shared" si="260"/>
        <v>0.78131675985473692</v>
      </c>
      <c r="Q2088" s="8">
        <f t="shared" si="261"/>
        <v>0.81249627696653848</v>
      </c>
      <c r="R2088" s="8">
        <f t="shared" si="262"/>
        <v>1.039906371799318</v>
      </c>
      <c r="S2088" s="22">
        <f t="shared" si="263"/>
        <v>5.6453640845723282E-2</v>
      </c>
      <c r="T2088" s="25"/>
      <c r="U2088" s="1" t="s">
        <v>5913</v>
      </c>
    </row>
    <row r="2089" spans="1:21">
      <c r="A2089" s="6" t="s">
        <v>5914</v>
      </c>
      <c r="B2089" s="13" t="s">
        <v>5915</v>
      </c>
      <c r="C2089" s="14">
        <v>0.14150916090018714</v>
      </c>
      <c r="D2089" s="14">
        <v>0.16732785453281032</v>
      </c>
      <c r="E2089" s="14">
        <v>0.31611069067043174</v>
      </c>
      <c r="F2089" s="8">
        <v>0.34614367899643711</v>
      </c>
      <c r="G2089" s="8">
        <f t="shared" si="256"/>
        <v>0.15441850771649873</v>
      </c>
      <c r="H2089" s="8">
        <f t="shared" si="257"/>
        <v>0.3311271848334344</v>
      </c>
      <c r="I2089" s="8">
        <f t="shared" si="258"/>
        <v>2.1443490792007918</v>
      </c>
      <c r="J2089" s="22">
        <f t="shared" si="259"/>
        <v>1.1005397816528841</v>
      </c>
      <c r="K2089" s="8"/>
      <c r="L2089" s="8">
        <v>0.23229905548692098</v>
      </c>
      <c r="M2089" s="8">
        <v>0.23394191322005781</v>
      </c>
      <c r="N2089" s="8">
        <v>0.32013801656647212</v>
      </c>
      <c r="O2089" s="8">
        <v>0.27424437860527695</v>
      </c>
      <c r="P2089" s="8">
        <f t="shared" si="260"/>
        <v>0.23312048435348939</v>
      </c>
      <c r="Q2089" s="8">
        <f t="shared" si="261"/>
        <v>0.29719119758587453</v>
      </c>
      <c r="R2089" s="8">
        <f t="shared" si="262"/>
        <v>1.2748394822963405</v>
      </c>
      <c r="S2089" s="22">
        <f t="shared" si="263"/>
        <v>0.3503156057714481</v>
      </c>
      <c r="T2089" s="25"/>
      <c r="U2089" s="1" t="s">
        <v>5916</v>
      </c>
    </row>
    <row r="2090" spans="1:21">
      <c r="A2090" s="6" t="s">
        <v>5917</v>
      </c>
      <c r="B2090" s="13" t="s">
        <v>5918</v>
      </c>
      <c r="C2090" s="14">
        <v>1.09733693815197</v>
      </c>
      <c r="D2090" s="14">
        <v>1.2007570959627589</v>
      </c>
      <c r="E2090" s="14">
        <v>1.0743339390872055</v>
      </c>
      <c r="F2090" s="8">
        <v>1.0929660544078184</v>
      </c>
      <c r="G2090" s="8">
        <f t="shared" si="256"/>
        <v>1.1490470170573643</v>
      </c>
      <c r="H2090" s="8">
        <f t="shared" si="257"/>
        <v>1.0836499967475119</v>
      </c>
      <c r="I2090" s="8">
        <f t="shared" si="258"/>
        <v>0.9430858621631254</v>
      </c>
      <c r="J2090" s="22">
        <f t="shared" si="259"/>
        <v>-8.4538969503600708E-2</v>
      </c>
      <c r="K2090" s="8"/>
      <c r="L2090" s="8">
        <v>0.86756391773634145</v>
      </c>
      <c r="M2090" s="8">
        <v>1.2700037063641223</v>
      </c>
      <c r="N2090" s="8">
        <v>0.84701767511235382</v>
      </c>
      <c r="O2090" s="8">
        <v>0.77547777768622783</v>
      </c>
      <c r="P2090" s="8">
        <f t="shared" si="260"/>
        <v>1.0687838120502318</v>
      </c>
      <c r="Q2090" s="8">
        <f t="shared" si="261"/>
        <v>0.81124772639929077</v>
      </c>
      <c r="R2090" s="8">
        <f t="shared" si="262"/>
        <v>0.75903818644397936</v>
      </c>
      <c r="S2090" s="22">
        <f t="shared" si="263"/>
        <v>-0.39775562689149713</v>
      </c>
      <c r="T2090" s="25"/>
      <c r="U2090" s="1" t="s">
        <v>5919</v>
      </c>
    </row>
    <row r="2091" spans="1:21">
      <c r="A2091" s="6" t="s">
        <v>5920</v>
      </c>
      <c r="B2091" s="13" t="s">
        <v>80</v>
      </c>
      <c r="C2091" s="14">
        <v>1.0156768482050527</v>
      </c>
      <c r="D2091" s="14">
        <v>1.1454476545849013</v>
      </c>
      <c r="E2091" s="14">
        <v>1.1405851393920683</v>
      </c>
      <c r="F2091" s="8">
        <v>1.0754726961634278</v>
      </c>
      <c r="G2091" s="8">
        <f t="shared" si="256"/>
        <v>1.0805622513949769</v>
      </c>
      <c r="H2091" s="8">
        <f t="shared" si="257"/>
        <v>1.108028917777748</v>
      </c>
      <c r="I2091" s="8">
        <f t="shared" si="258"/>
        <v>1.0254188653613547</v>
      </c>
      <c r="J2091" s="22">
        <f t="shared" si="259"/>
        <v>3.6213345380423277E-2</v>
      </c>
      <c r="K2091" s="8"/>
      <c r="L2091" s="8">
        <v>1.0039164672077669</v>
      </c>
      <c r="M2091" s="8">
        <v>1.2206496596668499</v>
      </c>
      <c r="N2091" s="8">
        <v>1.0577242252941084</v>
      </c>
      <c r="O2091" s="8">
        <v>1.0566624680686387</v>
      </c>
      <c r="P2091" s="8">
        <f t="shared" si="260"/>
        <v>1.1122830634373084</v>
      </c>
      <c r="Q2091" s="8">
        <f t="shared" si="261"/>
        <v>1.0571933466813737</v>
      </c>
      <c r="R2091" s="8">
        <f t="shared" si="262"/>
        <v>0.95047149546115539</v>
      </c>
      <c r="S2091" s="22">
        <f t="shared" si="263"/>
        <v>-7.328473363528179E-2</v>
      </c>
      <c r="T2091" s="25"/>
      <c r="U2091" s="1">
        <v>0</v>
      </c>
    </row>
    <row r="2092" spans="1:21">
      <c r="A2092" s="6" t="s">
        <v>5921</v>
      </c>
      <c r="B2092" s="13" t="s">
        <v>80</v>
      </c>
      <c r="C2092" s="14">
        <v>1.2042619022104684</v>
      </c>
      <c r="D2092" s="14">
        <v>1.3771619047991939</v>
      </c>
      <c r="E2092" s="14">
        <v>1.1745625043686825</v>
      </c>
      <c r="F2092" s="8">
        <v>1.1019147150760082</v>
      </c>
      <c r="G2092" s="8">
        <f t="shared" si="256"/>
        <v>1.2907119035048311</v>
      </c>
      <c r="H2092" s="8">
        <f t="shared" si="257"/>
        <v>1.1382386097223454</v>
      </c>
      <c r="I2092" s="8">
        <f t="shared" si="258"/>
        <v>0.88186884046822844</v>
      </c>
      <c r="J2092" s="22">
        <f t="shared" si="259"/>
        <v>-0.18136399384022434</v>
      </c>
      <c r="K2092" s="8"/>
      <c r="L2092" s="8">
        <v>1.3002750450641607</v>
      </c>
      <c r="M2092" s="8">
        <v>1.3011648625019088</v>
      </c>
      <c r="N2092" s="8">
        <v>1.5724825930499644</v>
      </c>
      <c r="O2092" s="8">
        <v>1.6718496627256192</v>
      </c>
      <c r="P2092" s="8">
        <f t="shared" si="260"/>
        <v>1.3007199537830347</v>
      </c>
      <c r="Q2092" s="8">
        <f t="shared" si="261"/>
        <v>1.6221661278877919</v>
      </c>
      <c r="R2092" s="8">
        <f t="shared" si="262"/>
        <v>1.2471294248772442</v>
      </c>
      <c r="S2092" s="22">
        <f t="shared" si="263"/>
        <v>0.31861119326659271</v>
      </c>
      <c r="T2092" s="25"/>
      <c r="U2092" s="1">
        <v>0</v>
      </c>
    </row>
    <row r="2093" spans="1:21">
      <c r="A2093" s="6" t="s">
        <v>5922</v>
      </c>
      <c r="B2093" s="13" t="s">
        <v>5923</v>
      </c>
      <c r="C2093" s="14">
        <v>1.1568817046895628</v>
      </c>
      <c r="D2093" s="14">
        <v>1.1536369067495811</v>
      </c>
      <c r="E2093" s="14">
        <v>0.96106193037868726</v>
      </c>
      <c r="F2093" s="8">
        <v>1.1967318782108909</v>
      </c>
      <c r="G2093" s="8">
        <f t="shared" si="256"/>
        <v>1.1552593057195719</v>
      </c>
      <c r="H2093" s="8">
        <f t="shared" si="257"/>
        <v>1.0788969042947891</v>
      </c>
      <c r="I2093" s="8">
        <f t="shared" si="258"/>
        <v>0.93390020660580675</v>
      </c>
      <c r="J2093" s="22">
        <f t="shared" si="259"/>
        <v>-9.8659698193100318E-2</v>
      </c>
      <c r="K2093" s="8"/>
      <c r="L2093" s="8">
        <v>1.2203196233845812</v>
      </c>
      <c r="M2093" s="8">
        <v>1.1181163944110799</v>
      </c>
      <c r="N2093" s="8">
        <v>1.106435954637202</v>
      </c>
      <c r="O2093" s="8">
        <v>1.1863340285517068</v>
      </c>
      <c r="P2093" s="8">
        <f t="shared" si="260"/>
        <v>1.1692180088978306</v>
      </c>
      <c r="Q2093" s="8">
        <f t="shared" si="261"/>
        <v>1.1463849915944544</v>
      </c>
      <c r="R2093" s="8">
        <f t="shared" si="262"/>
        <v>0.9804715483942128</v>
      </c>
      <c r="S2093" s="22">
        <f t="shared" si="263"/>
        <v>-2.8452328402753441E-2</v>
      </c>
      <c r="T2093" s="25"/>
      <c r="U2093" s="1" t="s">
        <v>5924</v>
      </c>
    </row>
    <row r="2094" spans="1:21">
      <c r="A2094" s="6" t="s">
        <v>5925</v>
      </c>
      <c r="B2094" s="13" t="s">
        <v>5926</v>
      </c>
      <c r="C2094" s="14">
        <v>1.0769561499120044</v>
      </c>
      <c r="D2094" s="14">
        <v>1.0030874223744841</v>
      </c>
      <c r="E2094" s="14">
        <v>1.4194554854111547</v>
      </c>
      <c r="F2094" s="8">
        <v>0.74960620802356592</v>
      </c>
      <c r="G2094" s="8">
        <f t="shared" si="256"/>
        <v>1.0400217861432441</v>
      </c>
      <c r="H2094" s="8">
        <f t="shared" si="257"/>
        <v>1.0845308467173602</v>
      </c>
      <c r="I2094" s="8">
        <f t="shared" si="258"/>
        <v>1.0427962771233581</v>
      </c>
      <c r="J2094" s="22">
        <f t="shared" si="259"/>
        <v>6.0457337444050456E-2</v>
      </c>
      <c r="K2094" s="8"/>
      <c r="L2094" s="8">
        <v>1.2378336681334414</v>
      </c>
      <c r="M2094" s="8">
        <v>0.9446308559733142</v>
      </c>
      <c r="N2094" s="8">
        <v>0.98397693273049425</v>
      </c>
      <c r="O2094" s="8">
        <v>1.0218078140702382</v>
      </c>
      <c r="P2094" s="8">
        <f t="shared" si="260"/>
        <v>1.0912322620533779</v>
      </c>
      <c r="Q2094" s="8">
        <f t="shared" si="261"/>
        <v>1.0028923734003663</v>
      </c>
      <c r="R2094" s="8">
        <f t="shared" si="262"/>
        <v>0.9190457506390235</v>
      </c>
      <c r="S2094" s="22">
        <f t="shared" si="263"/>
        <v>-0.12179141337615923</v>
      </c>
      <c r="T2094" s="25"/>
      <c r="U2094" s="1" t="s">
        <v>5927</v>
      </c>
    </row>
    <row r="2095" spans="1:21">
      <c r="A2095" s="6" t="s">
        <v>5928</v>
      </c>
      <c r="B2095" s="13" t="s">
        <v>5929</v>
      </c>
      <c r="C2095" s="14">
        <v>0.99372889222435057</v>
      </c>
      <c r="D2095" s="14">
        <v>0.94433113755621922</v>
      </c>
      <c r="E2095" s="14">
        <v>0.88563201062516583</v>
      </c>
      <c r="F2095" s="8">
        <v>0.8622153108186571</v>
      </c>
      <c r="G2095" s="8">
        <f t="shared" si="256"/>
        <v>0.96903001489028484</v>
      </c>
      <c r="H2095" s="8">
        <f t="shared" si="257"/>
        <v>0.87392366072191141</v>
      </c>
      <c r="I2095" s="8">
        <f t="shared" si="258"/>
        <v>0.90185406777194455</v>
      </c>
      <c r="J2095" s="22">
        <f t="shared" si="259"/>
        <v>-0.14903409015900071</v>
      </c>
      <c r="K2095" s="8"/>
      <c r="L2095" s="8">
        <v>0.91258643494400937</v>
      </c>
      <c r="M2095" s="8">
        <v>0.85669855160246489</v>
      </c>
      <c r="N2095" s="8">
        <v>0.78131348204492501</v>
      </c>
      <c r="O2095" s="8">
        <v>1.1478561235520086</v>
      </c>
      <c r="P2095" s="8">
        <f t="shared" si="260"/>
        <v>0.88464249327323707</v>
      </c>
      <c r="Q2095" s="8">
        <f t="shared" si="261"/>
        <v>0.96458480279846681</v>
      </c>
      <c r="R2095" s="8">
        <f t="shared" si="262"/>
        <v>1.0903667980377449</v>
      </c>
      <c r="S2095" s="22">
        <f t="shared" si="263"/>
        <v>0.12481353747258481</v>
      </c>
      <c r="T2095" s="25"/>
      <c r="U2095" s="1" t="s">
        <v>5930</v>
      </c>
    </row>
    <row r="2096" spans="1:21">
      <c r="A2096" s="6" t="s">
        <v>5931</v>
      </c>
      <c r="B2096" s="13" t="s">
        <v>5932</v>
      </c>
      <c r="C2096" s="14">
        <v>0.90053566492327575</v>
      </c>
      <c r="D2096" s="14">
        <v>0.86606939763086999</v>
      </c>
      <c r="E2096" s="14">
        <v>0.86007059062779267</v>
      </c>
      <c r="F2096" s="8">
        <v>1.028964249746614</v>
      </c>
      <c r="G2096" s="8">
        <f t="shared" si="256"/>
        <v>0.88330253127707281</v>
      </c>
      <c r="H2096" s="8">
        <f t="shared" si="257"/>
        <v>0.9445174201872033</v>
      </c>
      <c r="I2096" s="8">
        <f t="shared" si="258"/>
        <v>1.0693022908262546</v>
      </c>
      <c r="J2096" s="22">
        <f t="shared" si="259"/>
        <v>9.6669759349969603E-2</v>
      </c>
      <c r="K2096" s="8"/>
      <c r="L2096" s="8">
        <v>0.56368572284103502</v>
      </c>
      <c r="M2096" s="8">
        <v>0.48999518573549095</v>
      </c>
      <c r="N2096" s="8">
        <v>0.52342452425526698</v>
      </c>
      <c r="O2096" s="8">
        <v>0.64361185392068343</v>
      </c>
      <c r="P2096" s="8">
        <f t="shared" si="260"/>
        <v>0.52684045428826298</v>
      </c>
      <c r="Q2096" s="8">
        <f t="shared" si="261"/>
        <v>0.58351818908797526</v>
      </c>
      <c r="R2096" s="8">
        <f t="shared" si="262"/>
        <v>1.1075804531303148</v>
      </c>
      <c r="S2096" s="22">
        <f t="shared" si="263"/>
        <v>0.14741149798252234</v>
      </c>
      <c r="T2096" s="25"/>
      <c r="U2096" s="1" t="s">
        <v>5933</v>
      </c>
    </row>
    <row r="2097" spans="1:21">
      <c r="A2097" s="6" t="s">
        <v>5934</v>
      </c>
      <c r="B2097" s="13" t="s">
        <v>5935</v>
      </c>
      <c r="C2097" s="14">
        <v>0.96787823211259116</v>
      </c>
      <c r="D2097" s="14">
        <v>1.0013759966291311</v>
      </c>
      <c r="E2097" s="14">
        <v>1.0340424965581898</v>
      </c>
      <c r="F2097" s="8">
        <v>1.1392813010849854</v>
      </c>
      <c r="G2097" s="8">
        <f t="shared" si="256"/>
        <v>0.98462711437086115</v>
      </c>
      <c r="H2097" s="8">
        <f t="shared" si="257"/>
        <v>1.0866618988215877</v>
      </c>
      <c r="I2097" s="8">
        <f t="shared" si="258"/>
        <v>1.1036278434358604</v>
      </c>
      <c r="J2097" s="22">
        <f t="shared" si="259"/>
        <v>0.14225376002792056</v>
      </c>
      <c r="K2097" s="8"/>
      <c r="L2097" s="8">
        <v>0.65958463634362585</v>
      </c>
      <c r="M2097" s="8">
        <v>1.2131392612563954</v>
      </c>
      <c r="N2097" s="8">
        <v>0.76749294488246589</v>
      </c>
      <c r="O2097" s="8">
        <v>1.3046255189884453</v>
      </c>
      <c r="P2097" s="8">
        <f t="shared" si="260"/>
        <v>0.93636194880001056</v>
      </c>
      <c r="Q2097" s="8">
        <f t="shared" si="261"/>
        <v>1.0360592319354556</v>
      </c>
      <c r="R2097" s="8">
        <f t="shared" si="262"/>
        <v>1.1064730185407592</v>
      </c>
      <c r="S2097" s="22">
        <f t="shared" si="263"/>
        <v>0.14596827129975035</v>
      </c>
      <c r="T2097" s="25"/>
      <c r="U2097" s="1" t="s">
        <v>5936</v>
      </c>
    </row>
    <row r="2098" spans="1:21">
      <c r="A2098" s="6" t="s">
        <v>5937</v>
      </c>
      <c r="B2098" s="6" t="s">
        <v>5938</v>
      </c>
      <c r="C2098" s="7">
        <v>1.0397929731474533</v>
      </c>
      <c r="D2098" s="7">
        <v>1.018210348002814</v>
      </c>
      <c r="E2098" s="7">
        <v>0.89345468657263771</v>
      </c>
      <c r="F2098" s="8">
        <v>0.89973118753554315</v>
      </c>
      <c r="G2098" s="8">
        <f t="shared" si="256"/>
        <v>1.0290016605751338</v>
      </c>
      <c r="H2098" s="8">
        <f t="shared" si="257"/>
        <v>0.89659293705409038</v>
      </c>
      <c r="I2098" s="8">
        <f t="shared" si="258"/>
        <v>0.87132311968569909</v>
      </c>
      <c r="J2098" s="22">
        <f t="shared" si="259"/>
        <v>-0.19872027075669355</v>
      </c>
      <c r="K2098" s="8"/>
      <c r="L2098" s="8">
        <v>0.87003872840737606</v>
      </c>
      <c r="M2098" s="8">
        <v>1.070301746145764</v>
      </c>
      <c r="N2098" s="8">
        <v>1.1148189034078742</v>
      </c>
      <c r="O2098" s="8">
        <v>1.0895779173057811</v>
      </c>
      <c r="P2098" s="8">
        <f t="shared" si="260"/>
        <v>0.97017023727657004</v>
      </c>
      <c r="Q2098" s="8">
        <f t="shared" si="261"/>
        <v>1.1021984103568276</v>
      </c>
      <c r="R2098" s="8">
        <f t="shared" si="262"/>
        <v>1.1360876349401139</v>
      </c>
      <c r="S2098" s="22">
        <f t="shared" si="263"/>
        <v>0.184074124998511</v>
      </c>
      <c r="T2098" s="25"/>
      <c r="U2098" s="1" t="s">
        <v>5939</v>
      </c>
    </row>
    <row r="2099" spans="1:21">
      <c r="A2099" s="6" t="s">
        <v>5940</v>
      </c>
      <c r="B2099" s="13" t="s">
        <v>5941</v>
      </c>
      <c r="C2099" s="14">
        <v>0.88913185694578101</v>
      </c>
      <c r="D2099" s="14">
        <v>0.99773721759111422</v>
      </c>
      <c r="E2099" s="14">
        <v>0.93776340797391977</v>
      </c>
      <c r="F2099" s="8">
        <v>0.95220248046236755</v>
      </c>
      <c r="G2099" s="8">
        <f t="shared" si="256"/>
        <v>0.94343453726844761</v>
      </c>
      <c r="H2099" s="8">
        <f t="shared" si="257"/>
        <v>0.94498294421814366</v>
      </c>
      <c r="I2099" s="8">
        <f t="shared" si="258"/>
        <v>1.001641244716543</v>
      </c>
      <c r="J2099" s="22">
        <f t="shared" si="259"/>
        <v>2.3658746544447822E-3</v>
      </c>
      <c r="K2099" s="8"/>
      <c r="L2099" s="8">
        <v>0.98664038502342932</v>
      </c>
      <c r="M2099" s="8">
        <v>0.64617415392307886</v>
      </c>
      <c r="N2099" s="8">
        <v>0.85834598426191056</v>
      </c>
      <c r="O2099" s="8">
        <v>1.1403034313239511</v>
      </c>
      <c r="P2099" s="8">
        <f t="shared" si="260"/>
        <v>0.81640726947325404</v>
      </c>
      <c r="Q2099" s="8">
        <f t="shared" si="261"/>
        <v>0.99932470779293081</v>
      </c>
      <c r="R2099" s="8">
        <f t="shared" si="262"/>
        <v>1.2240517020845429</v>
      </c>
      <c r="S2099" s="22">
        <f t="shared" si="263"/>
        <v>0.29166449656460081</v>
      </c>
      <c r="T2099" s="25"/>
      <c r="U2099" s="1" t="s">
        <v>5942</v>
      </c>
    </row>
    <row r="2100" spans="1:21">
      <c r="A2100" s="6" t="s">
        <v>5943</v>
      </c>
      <c r="B2100" s="6" t="s">
        <v>5944</v>
      </c>
      <c r="C2100" s="7">
        <v>0.97906902699911214</v>
      </c>
      <c r="D2100" s="7">
        <v>1.0701769110556363</v>
      </c>
      <c r="E2100" s="7">
        <v>0.92474539036252545</v>
      </c>
      <c r="F2100" s="8">
        <v>1.064126602362347</v>
      </c>
      <c r="G2100" s="8">
        <f t="shared" si="256"/>
        <v>1.0246229690273743</v>
      </c>
      <c r="H2100" s="8">
        <f t="shared" si="257"/>
        <v>0.99443599636243629</v>
      </c>
      <c r="I2100" s="8">
        <f t="shared" si="258"/>
        <v>0.97053845797191818</v>
      </c>
      <c r="J2100" s="22">
        <f t="shared" si="259"/>
        <v>-4.3142713451685522E-2</v>
      </c>
      <c r="K2100" s="8"/>
      <c r="L2100" s="8">
        <v>1.0835863338099194</v>
      </c>
      <c r="M2100" s="8">
        <v>1.0042009104462979</v>
      </c>
      <c r="N2100" s="8">
        <v>0.97910575979618486</v>
      </c>
      <c r="O2100" s="8">
        <v>1.3048806775096633</v>
      </c>
      <c r="P2100" s="8">
        <f t="shared" si="260"/>
        <v>1.0438936221281088</v>
      </c>
      <c r="Q2100" s="8">
        <f t="shared" si="261"/>
        <v>1.141993218652924</v>
      </c>
      <c r="R2100" s="8">
        <f t="shared" si="262"/>
        <v>1.0939747062778551</v>
      </c>
      <c r="S2100" s="22">
        <f t="shared" si="263"/>
        <v>0.12957938205244815</v>
      </c>
      <c r="T2100" s="25"/>
      <c r="U2100" s="1" t="s">
        <v>5945</v>
      </c>
    </row>
    <row r="2101" spans="1:21">
      <c r="A2101" s="6" t="s">
        <v>5946</v>
      </c>
      <c r="B2101" s="13" t="s">
        <v>5947</v>
      </c>
      <c r="C2101" s="14">
        <v>0.95931206281128423</v>
      </c>
      <c r="D2101" s="14">
        <v>1.0350846859593321</v>
      </c>
      <c r="E2101" s="14">
        <v>1.0541204156476385</v>
      </c>
      <c r="F2101" s="8">
        <v>1.0417066507569608</v>
      </c>
      <c r="G2101" s="8">
        <f t="shared" si="256"/>
        <v>0.99719837438530812</v>
      </c>
      <c r="H2101" s="8">
        <f t="shared" si="257"/>
        <v>1.0479135332022995</v>
      </c>
      <c r="I2101" s="8">
        <f t="shared" si="258"/>
        <v>1.0508576428920204</v>
      </c>
      <c r="J2101" s="22">
        <f t="shared" si="259"/>
        <v>7.1567244177247316E-2</v>
      </c>
      <c r="K2101" s="8"/>
      <c r="L2101" s="8">
        <v>1.0869178097132353</v>
      </c>
      <c r="M2101" s="8">
        <v>1.4082696746162164</v>
      </c>
      <c r="N2101" s="8">
        <v>0.91555394546717184</v>
      </c>
      <c r="O2101" s="8">
        <v>1.3722425271112573</v>
      </c>
      <c r="P2101" s="8">
        <f t="shared" si="260"/>
        <v>1.2475937421647258</v>
      </c>
      <c r="Q2101" s="8">
        <f t="shared" si="261"/>
        <v>1.1438982362892145</v>
      </c>
      <c r="R2101" s="8">
        <f t="shared" si="262"/>
        <v>0.91688359570032218</v>
      </c>
      <c r="S2101" s="22">
        <f t="shared" si="263"/>
        <v>-0.1251895089031359</v>
      </c>
      <c r="T2101" s="25"/>
      <c r="U2101" s="1" t="s">
        <v>5948</v>
      </c>
    </row>
    <row r="2102" spans="1:21">
      <c r="A2102" s="6" t="s">
        <v>5949</v>
      </c>
      <c r="B2102" s="6" t="s">
        <v>5950</v>
      </c>
      <c r="C2102" s="7">
        <v>0.93438953116733969</v>
      </c>
      <c r="D2102" s="7">
        <v>1.0914337784909089</v>
      </c>
      <c r="E2102" s="7">
        <v>0.91871947205412618</v>
      </c>
      <c r="F2102" s="8">
        <v>0.9702578743130037</v>
      </c>
      <c r="G2102" s="8">
        <f t="shared" si="256"/>
        <v>1.0129116548291244</v>
      </c>
      <c r="H2102" s="8">
        <f t="shared" si="257"/>
        <v>0.94448867318356489</v>
      </c>
      <c r="I2102" s="8">
        <f t="shared" si="258"/>
        <v>0.93244921082766863</v>
      </c>
      <c r="J2102" s="22">
        <f t="shared" si="259"/>
        <v>-0.10090294891097493</v>
      </c>
      <c r="K2102" s="8"/>
      <c r="L2102" s="8">
        <v>0.84743228477773302</v>
      </c>
      <c r="M2102" s="8">
        <v>1.2860974172436677</v>
      </c>
      <c r="N2102" s="8">
        <v>0.78533503179301767</v>
      </c>
      <c r="O2102" s="8">
        <v>0.90867052576210661</v>
      </c>
      <c r="P2102" s="8">
        <f t="shared" si="260"/>
        <v>1.0667648510107004</v>
      </c>
      <c r="Q2102" s="8">
        <f t="shared" si="261"/>
        <v>0.84700277877756214</v>
      </c>
      <c r="R2102" s="8">
        <f t="shared" si="262"/>
        <v>0.79399201986742818</v>
      </c>
      <c r="S2102" s="22">
        <f t="shared" si="263"/>
        <v>-0.33280358746313787</v>
      </c>
      <c r="T2102" s="25"/>
      <c r="U2102" s="1" t="s">
        <v>5951</v>
      </c>
    </row>
    <row r="2103" spans="1:21">
      <c r="A2103" s="6" t="s">
        <v>5952</v>
      </c>
      <c r="B2103" s="13" t="s">
        <v>5953</v>
      </c>
      <c r="C2103" s="14">
        <v>0.90999192464043788</v>
      </c>
      <c r="D2103" s="14">
        <v>0.99413842513593254</v>
      </c>
      <c r="E2103" s="14">
        <v>0.82040631821807575</v>
      </c>
      <c r="F2103" s="8">
        <v>0.83630020028693175</v>
      </c>
      <c r="G2103" s="8">
        <f t="shared" si="256"/>
        <v>0.95206517488818521</v>
      </c>
      <c r="H2103" s="8">
        <f t="shared" si="257"/>
        <v>0.8283532592525038</v>
      </c>
      <c r="I2103" s="8">
        <f t="shared" si="258"/>
        <v>0.87005940465135623</v>
      </c>
      <c r="J2103" s="22">
        <f t="shared" si="259"/>
        <v>-0.20081418832817421</v>
      </c>
      <c r="K2103" s="8"/>
      <c r="L2103" s="8">
        <v>1.1471699310503469</v>
      </c>
      <c r="M2103" s="8">
        <v>1.0650771211645782</v>
      </c>
      <c r="N2103" s="8">
        <v>0.94030630095895318</v>
      </c>
      <c r="O2103" s="8">
        <v>0.90673132100084863</v>
      </c>
      <c r="P2103" s="8">
        <f t="shared" si="260"/>
        <v>1.1061235261074627</v>
      </c>
      <c r="Q2103" s="8">
        <f t="shared" si="261"/>
        <v>0.92351881097990085</v>
      </c>
      <c r="R2103" s="8">
        <f t="shared" si="262"/>
        <v>0.8349147171924256</v>
      </c>
      <c r="S2103" s="22">
        <f t="shared" si="263"/>
        <v>-0.2602992546266496</v>
      </c>
      <c r="T2103" s="25"/>
      <c r="U2103" s="1" t="s">
        <v>5954</v>
      </c>
    </row>
    <row r="2104" spans="1:21">
      <c r="A2104" s="6" t="s">
        <v>5955</v>
      </c>
      <c r="B2104" s="13" t="s">
        <v>5956</v>
      </c>
      <c r="C2104" s="14">
        <v>0.92822736674988082</v>
      </c>
      <c r="D2104" s="14">
        <v>1.1424006769728474</v>
      </c>
      <c r="E2104" s="14">
        <v>1.1206512999246208</v>
      </c>
      <c r="F2104" s="8">
        <v>1.0902524762464145</v>
      </c>
      <c r="G2104" s="8">
        <f t="shared" si="256"/>
        <v>1.0353140218613641</v>
      </c>
      <c r="H2104" s="8">
        <f t="shared" si="257"/>
        <v>1.1054518880855175</v>
      </c>
      <c r="I2104" s="8">
        <f t="shared" si="258"/>
        <v>1.0677455001508183</v>
      </c>
      <c r="J2104" s="22">
        <f t="shared" si="259"/>
        <v>9.4567817976515686E-2</v>
      </c>
      <c r="K2104" s="8"/>
      <c r="L2104" s="8">
        <v>0.38692712991367906</v>
      </c>
      <c r="M2104" s="8">
        <v>0.5384629121234551</v>
      </c>
      <c r="N2104" s="8">
        <v>0.40798905402128427</v>
      </c>
      <c r="O2104" s="8">
        <v>0.48454603179328332</v>
      </c>
      <c r="P2104" s="8">
        <f t="shared" si="260"/>
        <v>0.46269502101856708</v>
      </c>
      <c r="Q2104" s="8">
        <f t="shared" si="261"/>
        <v>0.44626754290728377</v>
      </c>
      <c r="R2104" s="8">
        <f t="shared" si="262"/>
        <v>0.96449609923374535</v>
      </c>
      <c r="S2104" s="22">
        <f t="shared" si="263"/>
        <v>-5.2152691374529714E-2</v>
      </c>
      <c r="T2104" s="25"/>
      <c r="U2104" s="1" t="s">
        <v>5957</v>
      </c>
    </row>
    <row r="2105" spans="1:21">
      <c r="A2105" s="6" t="s">
        <v>5958</v>
      </c>
      <c r="B2105" s="13" t="s">
        <v>5959</v>
      </c>
      <c r="C2105" s="14">
        <v>0.94384579088450182</v>
      </c>
      <c r="D2105" s="14">
        <v>1.0995350601733511</v>
      </c>
      <c r="E2105" s="14">
        <v>1.1340422294988415</v>
      </c>
      <c r="F2105" s="8">
        <v>1.0203756431386752</v>
      </c>
      <c r="G2105" s="8">
        <f t="shared" si="256"/>
        <v>1.0216904255289265</v>
      </c>
      <c r="H2105" s="8">
        <f t="shared" si="257"/>
        <v>1.0772089363187582</v>
      </c>
      <c r="I2105" s="8">
        <f t="shared" si="258"/>
        <v>1.0543398561859771</v>
      </c>
      <c r="J2105" s="22">
        <f t="shared" si="259"/>
        <v>7.6339980639732283E-2</v>
      </c>
      <c r="K2105" s="8"/>
      <c r="L2105" s="8">
        <v>1.0859183669422405</v>
      </c>
      <c r="M2105" s="8">
        <v>0.94901580908252359</v>
      </c>
      <c r="N2105" s="8">
        <v>1.0013658872750637</v>
      </c>
      <c r="O2105" s="8">
        <v>1.289979419870523</v>
      </c>
      <c r="P2105" s="8">
        <f t="shared" si="260"/>
        <v>1.0174670880123822</v>
      </c>
      <c r="Q2105" s="8">
        <f t="shared" si="261"/>
        <v>1.1456726535727935</v>
      </c>
      <c r="R2105" s="8">
        <f t="shared" si="262"/>
        <v>1.1260046315707963</v>
      </c>
      <c r="S2105" s="22">
        <f t="shared" si="263"/>
        <v>0.17121276163703866</v>
      </c>
      <c r="T2105" s="25"/>
      <c r="U2105" s="1" t="s">
        <v>5960</v>
      </c>
    </row>
    <row r="2106" spans="1:21">
      <c r="A2106" s="6" t="s">
        <v>5961</v>
      </c>
      <c r="B2106" s="6" t="s">
        <v>5962</v>
      </c>
      <c r="C2106" s="7">
        <v>1.0226758497656232</v>
      </c>
      <c r="D2106" s="7">
        <v>1.027887101048969</v>
      </c>
      <c r="E2106" s="7">
        <v>0.94852700326459083</v>
      </c>
      <c r="F2106" s="8">
        <v>1.0310894468827299</v>
      </c>
      <c r="G2106" s="8">
        <f t="shared" si="256"/>
        <v>1.0252814754072961</v>
      </c>
      <c r="H2106" s="8">
        <f t="shared" si="257"/>
        <v>0.9898082250736604</v>
      </c>
      <c r="I2106" s="8">
        <f t="shared" si="258"/>
        <v>0.96540145200658789</v>
      </c>
      <c r="J2106" s="22">
        <f t="shared" si="259"/>
        <v>-5.0799098225907273E-2</v>
      </c>
      <c r="K2106" s="8"/>
      <c r="L2106" s="8">
        <v>0.87717760534305278</v>
      </c>
      <c r="M2106" s="8">
        <v>1.1765668863880954</v>
      </c>
      <c r="N2106" s="8">
        <v>1.4472481354016151</v>
      </c>
      <c r="O2106" s="8">
        <v>0.89152387313624637</v>
      </c>
      <c r="P2106" s="8">
        <f t="shared" si="260"/>
        <v>1.0268722458655741</v>
      </c>
      <c r="Q2106" s="8">
        <f t="shared" si="261"/>
        <v>1.1693860042689308</v>
      </c>
      <c r="R2106" s="8">
        <f t="shared" si="262"/>
        <v>1.1387843122424919</v>
      </c>
      <c r="S2106" s="22">
        <f t="shared" si="263"/>
        <v>0.18749452393407778</v>
      </c>
      <c r="T2106" s="25"/>
      <c r="U2106" s="1" t="s">
        <v>5963</v>
      </c>
    </row>
    <row r="2107" spans="1:21">
      <c r="A2107" s="6" t="s">
        <v>5964</v>
      </c>
      <c r="B2107" s="13" t="s">
        <v>5965</v>
      </c>
      <c r="C2107" s="14">
        <v>0.92010243885130549</v>
      </c>
      <c r="D2107" s="14">
        <v>0.92871237830073106</v>
      </c>
      <c r="E2107" s="14">
        <v>1.1325082052881237</v>
      </c>
      <c r="F2107" s="8">
        <v>1.1022045146854786</v>
      </c>
      <c r="G2107" s="8">
        <f t="shared" si="256"/>
        <v>0.92440740857601833</v>
      </c>
      <c r="H2107" s="8">
        <f t="shared" si="257"/>
        <v>1.1173563599868013</v>
      </c>
      <c r="I2107" s="8">
        <f t="shared" si="258"/>
        <v>1.2087271798351407</v>
      </c>
      <c r="J2107" s="22">
        <f t="shared" si="259"/>
        <v>0.27348865259812194</v>
      </c>
      <c r="K2107" s="8"/>
      <c r="L2107" s="8">
        <v>0.49144028825198649</v>
      </c>
      <c r="M2107" s="8">
        <v>1.3243491358559205</v>
      </c>
      <c r="N2107" s="8">
        <v>1.4667894686846006</v>
      </c>
      <c r="O2107" s="8">
        <v>1.2664538042142086</v>
      </c>
      <c r="P2107" s="8">
        <f t="shared" si="260"/>
        <v>0.90789471205395356</v>
      </c>
      <c r="Q2107" s="8">
        <f t="shared" si="261"/>
        <v>1.3666216364494046</v>
      </c>
      <c r="R2107" s="8">
        <f t="shared" si="262"/>
        <v>1.5052644522597354</v>
      </c>
      <c r="S2107" s="22">
        <f t="shared" si="263"/>
        <v>0.59001696901003153</v>
      </c>
      <c r="T2107" s="25"/>
      <c r="U2107" s="1" t="s">
        <v>5966</v>
      </c>
    </row>
    <row r="2108" spans="1:21">
      <c r="A2108" s="6" t="s">
        <v>5967</v>
      </c>
      <c r="B2108" s="13" t="s">
        <v>5968</v>
      </c>
      <c r="C2108" s="14">
        <v>0.92198912622850282</v>
      </c>
      <c r="D2108" s="14">
        <v>0.9942743795175728</v>
      </c>
      <c r="E2108" s="14">
        <v>0.90943057407099592</v>
      </c>
      <c r="F2108" s="8">
        <v>0.94953281133270151</v>
      </c>
      <c r="G2108" s="8">
        <f t="shared" si="256"/>
        <v>0.95813175287303776</v>
      </c>
      <c r="H2108" s="8">
        <f t="shared" si="257"/>
        <v>0.92948169270184877</v>
      </c>
      <c r="I2108" s="8">
        <f t="shared" si="258"/>
        <v>0.97009799530672125</v>
      </c>
      <c r="J2108" s="22">
        <f t="shared" si="259"/>
        <v>-4.3797605111186674E-2</v>
      </c>
      <c r="K2108" s="8"/>
      <c r="L2108" s="8">
        <v>1.1758206238188629</v>
      </c>
      <c r="M2108" s="8">
        <v>0.76204887225580542</v>
      </c>
      <c r="N2108" s="8">
        <v>0.93775743140030299</v>
      </c>
      <c r="O2108" s="8">
        <v>1.1855175212838087</v>
      </c>
      <c r="P2108" s="8">
        <f t="shared" si="260"/>
        <v>0.96893474803733415</v>
      </c>
      <c r="Q2108" s="8">
        <f t="shared" si="261"/>
        <v>1.0616374763420557</v>
      </c>
      <c r="R2108" s="8">
        <f t="shared" si="262"/>
        <v>1.095674892961058</v>
      </c>
      <c r="S2108" s="22">
        <f t="shared" si="263"/>
        <v>0.13181978744903292</v>
      </c>
      <c r="T2108" s="25"/>
      <c r="U2108" s="1" t="s">
        <v>5969</v>
      </c>
    </row>
    <row r="2109" spans="1:21">
      <c r="A2109" s="6" t="s">
        <v>5970</v>
      </c>
      <c r="B2109" s="13" t="s">
        <v>5971</v>
      </c>
      <c r="C2109" s="14">
        <v>0.15107953477322814</v>
      </c>
      <c r="D2109" s="14">
        <v>0.1451193064260563</v>
      </c>
      <c r="E2109" s="14">
        <v>0.42497555800009273</v>
      </c>
      <c r="F2109" s="8">
        <v>0.42547851754052612</v>
      </c>
      <c r="G2109" s="8">
        <f t="shared" si="256"/>
        <v>0.14809942059964221</v>
      </c>
      <c r="H2109" s="8">
        <f t="shared" si="257"/>
        <v>0.42522703777030946</v>
      </c>
      <c r="I2109" s="8">
        <f t="shared" si="258"/>
        <v>2.8712268829182492</v>
      </c>
      <c r="J2109" s="22">
        <f t="shared" si="259"/>
        <v>1.5216673360930693</v>
      </c>
      <c r="K2109" s="8"/>
      <c r="L2109" s="8">
        <v>1.2642951053083498</v>
      </c>
      <c r="M2109" s="8">
        <v>1.1861764644784905</v>
      </c>
      <c r="N2109" s="8">
        <v>0.78720420280269454</v>
      </c>
      <c r="O2109" s="8">
        <v>0.9183665495683967</v>
      </c>
      <c r="P2109" s="8">
        <f t="shared" si="260"/>
        <v>1.2252357848934201</v>
      </c>
      <c r="Q2109" s="8">
        <f t="shared" si="261"/>
        <v>0.85278537618554562</v>
      </c>
      <c r="R2109" s="8">
        <f t="shared" si="262"/>
        <v>0.6960173598420708</v>
      </c>
      <c r="S2109" s="22">
        <f t="shared" si="263"/>
        <v>-0.52280480512696237</v>
      </c>
      <c r="T2109" s="25"/>
      <c r="U2109" s="1" t="s">
        <v>5972</v>
      </c>
    </row>
    <row r="2110" spans="1:21">
      <c r="A2110" s="6" t="s">
        <v>5973</v>
      </c>
      <c r="B2110" s="13" t="s">
        <v>80</v>
      </c>
      <c r="C2110" s="14">
        <v>0.98765801913159479</v>
      </c>
      <c r="D2110" s="14">
        <v>1.0999349260017046</v>
      </c>
      <c r="E2110" s="14">
        <v>1.0075826977412803</v>
      </c>
      <c r="F2110" s="8">
        <v>1.1271536265189694</v>
      </c>
      <c r="G2110" s="8">
        <f t="shared" si="256"/>
        <v>1.0437964725666498</v>
      </c>
      <c r="H2110" s="8">
        <f t="shared" si="257"/>
        <v>1.067368162130125</v>
      </c>
      <c r="I2110" s="8">
        <f t="shared" si="258"/>
        <v>1.0225826491878378</v>
      </c>
      <c r="J2110" s="22">
        <f t="shared" si="259"/>
        <v>3.221745221804647E-2</v>
      </c>
      <c r="K2110" s="8"/>
      <c r="L2110" s="8">
        <v>1.1230881195206641</v>
      </c>
      <c r="M2110" s="8">
        <v>0.87885655933517226</v>
      </c>
      <c r="N2110" s="8">
        <v>0.90841711070295117</v>
      </c>
      <c r="O2110" s="8">
        <v>1.0482932685726831</v>
      </c>
      <c r="P2110" s="8">
        <f t="shared" si="260"/>
        <v>1.0009723394279182</v>
      </c>
      <c r="Q2110" s="8">
        <f t="shared" si="261"/>
        <v>0.97835518963781709</v>
      </c>
      <c r="R2110" s="8">
        <f t="shared" si="262"/>
        <v>0.97740482039391074</v>
      </c>
      <c r="S2110" s="22">
        <f t="shared" si="263"/>
        <v>-3.2971875159291467E-2</v>
      </c>
      <c r="T2110" s="25"/>
      <c r="U2110" s="1">
        <v>0</v>
      </c>
    </row>
    <row r="2111" spans="1:21">
      <c r="A2111" s="6" t="s">
        <v>5974</v>
      </c>
      <c r="B2111" s="13" t="s">
        <v>5975</v>
      </c>
      <c r="C2111" s="14">
        <v>8.3645676259209586E-2</v>
      </c>
      <c r="D2111" s="14">
        <v>9.4176399893818971E-2</v>
      </c>
      <c r="E2111" s="14">
        <v>0.34613010367795677</v>
      </c>
      <c r="F2111" s="8">
        <v>0.34388675476510761</v>
      </c>
      <c r="G2111" s="8">
        <f t="shared" si="256"/>
        <v>8.8911038076514279E-2</v>
      </c>
      <c r="H2111" s="8">
        <f t="shared" si="257"/>
        <v>0.34500842922153219</v>
      </c>
      <c r="I2111" s="8">
        <f t="shared" si="258"/>
        <v>3.8803779225322717</v>
      </c>
      <c r="J2111" s="22">
        <f t="shared" si="259"/>
        <v>1.9561971679823977</v>
      </c>
      <c r="K2111" s="8"/>
      <c r="L2111" s="8">
        <v>0.99139963631388051</v>
      </c>
      <c r="M2111" s="8">
        <v>0.84130456728289982</v>
      </c>
      <c r="N2111" s="8">
        <v>0.64033267467869204</v>
      </c>
      <c r="O2111" s="8">
        <v>0.97638959729340591</v>
      </c>
      <c r="P2111" s="8">
        <f t="shared" si="260"/>
        <v>0.91635210179839022</v>
      </c>
      <c r="Q2111" s="8">
        <f t="shared" si="261"/>
        <v>0.80836113598604897</v>
      </c>
      <c r="R2111" s="8">
        <f t="shared" si="262"/>
        <v>0.88215123247886573</v>
      </c>
      <c r="S2111" s="22">
        <f t="shared" si="263"/>
        <v>-0.18090208803420632</v>
      </c>
      <c r="T2111" s="25"/>
      <c r="U2111" s="1" t="s">
        <v>5976</v>
      </c>
    </row>
    <row r="2112" spans="1:21">
      <c r="A2112" s="6" t="s">
        <v>5977</v>
      </c>
      <c r="B2112" s="6" t="s">
        <v>5978</v>
      </c>
      <c r="C2112" s="7">
        <v>1.0000432088496478</v>
      </c>
      <c r="D2112" s="7">
        <v>1.0453212511651819</v>
      </c>
      <c r="E2112" s="7">
        <v>0.94498433961773998</v>
      </c>
      <c r="F2112" s="8">
        <v>1.0063862256269713</v>
      </c>
      <c r="G2112" s="8">
        <f t="shared" si="256"/>
        <v>1.022682230007415</v>
      </c>
      <c r="H2112" s="8">
        <f t="shared" si="257"/>
        <v>0.97568528262235565</v>
      </c>
      <c r="I2112" s="8">
        <f t="shared" si="258"/>
        <v>0.95404540530178317</v>
      </c>
      <c r="J2112" s="22">
        <f t="shared" si="259"/>
        <v>-6.7870165716434783E-2</v>
      </c>
      <c r="K2112" s="8"/>
      <c r="L2112" s="8">
        <v>0.90240163718244393</v>
      </c>
      <c r="M2112" s="8">
        <v>0.8422375360295401</v>
      </c>
      <c r="N2112" s="8">
        <v>0.83880465097892531</v>
      </c>
      <c r="O2112" s="8">
        <v>1.1626553177826617</v>
      </c>
      <c r="P2112" s="8">
        <f t="shared" si="260"/>
        <v>0.87231958660599207</v>
      </c>
      <c r="Q2112" s="8">
        <f t="shared" si="261"/>
        <v>1.0007299843807935</v>
      </c>
      <c r="R2112" s="8">
        <f t="shared" si="262"/>
        <v>1.1472056798293602</v>
      </c>
      <c r="S2112" s="22">
        <f t="shared" si="263"/>
        <v>0.19812407197094037</v>
      </c>
      <c r="T2112" s="25"/>
      <c r="U2112" s="1" t="s">
        <v>5979</v>
      </c>
    </row>
    <row r="2113" spans="1:21">
      <c r="A2113" s="6" t="s">
        <v>5980</v>
      </c>
      <c r="B2113" s="13" t="s">
        <v>5981</v>
      </c>
      <c r="C2113" s="14">
        <v>0.79690479616448062</v>
      </c>
      <c r="D2113" s="14">
        <v>0.8570084379603794</v>
      </c>
      <c r="E2113" s="14">
        <v>0.99264079341257716</v>
      </c>
      <c r="F2113" s="8">
        <v>0.92780662242877454</v>
      </c>
      <c r="G2113" s="8">
        <f t="shared" si="256"/>
        <v>0.82695661706243007</v>
      </c>
      <c r="H2113" s="8">
        <f t="shared" si="257"/>
        <v>0.96022370792067591</v>
      </c>
      <c r="I2113" s="8">
        <f t="shared" si="258"/>
        <v>1.1611536664784738</v>
      </c>
      <c r="J2113" s="22">
        <f t="shared" si="259"/>
        <v>0.21555891035711583</v>
      </c>
      <c r="K2113" s="8"/>
      <c r="L2113" s="8">
        <v>0.9200108669571132</v>
      </c>
      <c r="M2113" s="8">
        <v>0.91547558264080453</v>
      </c>
      <c r="N2113" s="8">
        <v>0.7417210415672244</v>
      </c>
      <c r="O2113" s="8">
        <v>0.89290172915082444</v>
      </c>
      <c r="P2113" s="8">
        <f t="shared" si="260"/>
        <v>0.91774322479895887</v>
      </c>
      <c r="Q2113" s="8">
        <f t="shared" si="261"/>
        <v>0.81731138535902437</v>
      </c>
      <c r="R2113" s="8">
        <f t="shared" si="262"/>
        <v>0.8905665149836054</v>
      </c>
      <c r="S2113" s="22">
        <f t="shared" si="263"/>
        <v>-0.16720472695931979</v>
      </c>
      <c r="T2113" s="25"/>
      <c r="U2113" s="1" t="s">
        <v>5982</v>
      </c>
    </row>
    <row r="2114" spans="1:21">
      <c r="A2114" s="6" t="s">
        <v>5983</v>
      </c>
      <c r="B2114" s="13" t="s">
        <v>5851</v>
      </c>
      <c r="C2114" s="14">
        <v>0.95888603662933647</v>
      </c>
      <c r="D2114" s="14">
        <v>1.1234550340254581</v>
      </c>
      <c r="E2114" s="14">
        <v>1.0178971036221833</v>
      </c>
      <c r="F2114" s="8">
        <v>1.0904368941797138</v>
      </c>
      <c r="G2114" s="8">
        <f t="shared" si="256"/>
        <v>1.0411705353273972</v>
      </c>
      <c r="H2114" s="8">
        <f t="shared" si="257"/>
        <v>1.0541669989009486</v>
      </c>
      <c r="I2114" s="8">
        <f t="shared" si="258"/>
        <v>1.0124825502956292</v>
      </c>
      <c r="J2114" s="22">
        <f t="shared" si="259"/>
        <v>1.789704397859938E-2</v>
      </c>
      <c r="K2114" s="8"/>
      <c r="L2114" s="8">
        <v>0.88046148873346408</v>
      </c>
      <c r="M2114" s="8">
        <v>0.89093850460416435</v>
      </c>
      <c r="N2114" s="8">
        <v>0.9618867298888587</v>
      </c>
      <c r="O2114" s="8">
        <v>0.76797611716241398</v>
      </c>
      <c r="P2114" s="8">
        <f t="shared" si="260"/>
        <v>0.88569999666881416</v>
      </c>
      <c r="Q2114" s="8">
        <f t="shared" si="261"/>
        <v>0.86493142352563634</v>
      </c>
      <c r="R2114" s="8">
        <f t="shared" si="262"/>
        <v>0.97655123267326405</v>
      </c>
      <c r="S2114" s="22">
        <f t="shared" si="263"/>
        <v>-3.4232360877938899E-2</v>
      </c>
      <c r="T2114" s="25"/>
      <c r="U2114" s="1">
        <v>0</v>
      </c>
    </row>
    <row r="2115" spans="1:21">
      <c r="A2115" s="6" t="s">
        <v>5984</v>
      </c>
      <c r="B2115" s="13" t="s">
        <v>80</v>
      </c>
      <c r="C2115" s="14">
        <v>0.97627703398527588</v>
      </c>
      <c r="D2115" s="14">
        <v>1.0788539995309074</v>
      </c>
      <c r="E2115" s="14">
        <v>1.0586716366484969</v>
      </c>
      <c r="F2115" s="8">
        <v>0.9528786795511317</v>
      </c>
      <c r="G2115" s="8">
        <f t="shared" si="256"/>
        <v>1.0275655167580917</v>
      </c>
      <c r="H2115" s="8">
        <f t="shared" si="257"/>
        <v>1.0057751580998144</v>
      </c>
      <c r="I2115" s="8">
        <f t="shared" si="258"/>
        <v>0.97879419044050386</v>
      </c>
      <c r="J2115" s="22">
        <f t="shared" si="259"/>
        <v>-3.0922556452843159E-2</v>
      </c>
      <c r="K2115" s="8"/>
      <c r="L2115" s="8">
        <v>1.0369456711634981</v>
      </c>
      <c r="M2115" s="8">
        <v>0.90908474672631834</v>
      </c>
      <c r="N2115" s="8">
        <v>0.99168018295219285</v>
      </c>
      <c r="O2115" s="8">
        <v>1.0546211998988935</v>
      </c>
      <c r="P2115" s="8">
        <f t="shared" si="260"/>
        <v>0.97301520894490823</v>
      </c>
      <c r="Q2115" s="8">
        <f t="shared" si="261"/>
        <v>1.0231506914255433</v>
      </c>
      <c r="R2115" s="8">
        <f t="shared" si="262"/>
        <v>1.0515258980740902</v>
      </c>
      <c r="S2115" s="22">
        <f t="shared" si="263"/>
        <v>7.2484382702071845E-2</v>
      </c>
      <c r="T2115" s="25"/>
      <c r="U2115" s="1">
        <v>0</v>
      </c>
    </row>
    <row r="2116" spans="1:21">
      <c r="A2116" s="6" t="s">
        <v>5985</v>
      </c>
      <c r="B2116" s="13" t="s">
        <v>80</v>
      </c>
      <c r="C2116" s="14">
        <v>1.0175026746991145</v>
      </c>
      <c r="D2116" s="14">
        <v>1.1837787928908687</v>
      </c>
      <c r="E2116" s="14">
        <v>1.1205750224776789</v>
      </c>
      <c r="F2116" s="8">
        <v>0.971100927722372</v>
      </c>
      <c r="G2116" s="8">
        <f t="shared" si="256"/>
        <v>1.1006407337949917</v>
      </c>
      <c r="H2116" s="8">
        <f t="shared" si="257"/>
        <v>1.0458379751000255</v>
      </c>
      <c r="I2116" s="8">
        <f t="shared" si="258"/>
        <v>0.95020831320134125</v>
      </c>
      <c r="J2116" s="22">
        <f t="shared" si="259"/>
        <v>-7.3684266204397303E-2</v>
      </c>
      <c r="K2116" s="8"/>
      <c r="L2116" s="8">
        <v>1.3483910756106219</v>
      </c>
      <c r="M2116" s="8">
        <v>1.211693159699103</v>
      </c>
      <c r="N2116" s="8">
        <v>1.5847171669314857</v>
      </c>
      <c r="O2116" s="8">
        <v>1.5733074418311663</v>
      </c>
      <c r="P2116" s="8">
        <f t="shared" si="260"/>
        <v>1.2800421176548624</v>
      </c>
      <c r="Q2116" s="8">
        <f t="shared" si="261"/>
        <v>1.579012304381326</v>
      </c>
      <c r="R2116" s="8">
        <f t="shared" si="262"/>
        <v>1.2335627731329657</v>
      </c>
      <c r="S2116" s="22">
        <f t="shared" si="263"/>
        <v>0.30283113289246222</v>
      </c>
      <c r="T2116" s="25"/>
      <c r="U2116" s="1">
        <v>0</v>
      </c>
    </row>
    <row r="2117" spans="1:21">
      <c r="A2117" s="6" t="s">
        <v>5986</v>
      </c>
      <c r="B2117" s="13" t="s">
        <v>5987</v>
      </c>
      <c r="C2117" s="14">
        <v>1.1132977047542276</v>
      </c>
      <c r="D2117" s="14">
        <v>1.0798776560514924</v>
      </c>
      <c r="E2117" s="14">
        <v>1.1224311070199287</v>
      </c>
      <c r="F2117" s="8">
        <v>1.1339770900510435</v>
      </c>
      <c r="G2117" s="8">
        <f t="shared" si="256"/>
        <v>1.09658768040286</v>
      </c>
      <c r="H2117" s="8">
        <f t="shared" si="257"/>
        <v>1.1282040985354862</v>
      </c>
      <c r="I2117" s="8">
        <f t="shared" si="258"/>
        <v>1.0288316371756165</v>
      </c>
      <c r="J2117" s="22">
        <f t="shared" si="259"/>
        <v>4.1006912178372691E-2</v>
      </c>
      <c r="K2117" s="8"/>
      <c r="L2117" s="8">
        <v>1.2577749310404318</v>
      </c>
      <c r="M2117" s="8">
        <v>1.0622782149246572</v>
      </c>
      <c r="N2117" s="8">
        <v>0.64792264180889503</v>
      </c>
      <c r="O2117" s="8">
        <v>1.1766380047454168</v>
      </c>
      <c r="P2117" s="8">
        <f t="shared" si="260"/>
        <v>1.1600265729825445</v>
      </c>
      <c r="Q2117" s="8">
        <f t="shared" si="261"/>
        <v>0.91228032327715591</v>
      </c>
      <c r="R2117" s="8">
        <f t="shared" si="262"/>
        <v>0.7864305392001425</v>
      </c>
      <c r="S2117" s="22">
        <f t="shared" si="263"/>
        <v>-0.34660874841598011</v>
      </c>
      <c r="T2117" s="25"/>
      <c r="U2117" s="1" t="s">
        <v>5988</v>
      </c>
    </row>
    <row r="2118" spans="1:21">
      <c r="A2118" s="6" t="s">
        <v>5989</v>
      </c>
      <c r="B2118" s="6" t="s">
        <v>5990</v>
      </c>
      <c r="C2118" s="7">
        <v>0.20519246749098691</v>
      </c>
      <c r="D2118" s="7">
        <v>0.23253797382070093</v>
      </c>
      <c r="E2118" s="7">
        <v>0.34234165714651588</v>
      </c>
      <c r="F2118" s="8">
        <v>0.33059109995486291</v>
      </c>
      <c r="G2118" s="8">
        <f t="shared" ref="G2118:G2181" si="264">AVERAGE(C2118:D2118)</f>
        <v>0.21886522065584391</v>
      </c>
      <c r="H2118" s="8">
        <f t="shared" ref="H2118:H2181" si="265">AVERAGE(E2118:F2118)</f>
        <v>0.33646637855068939</v>
      </c>
      <c r="I2118" s="8">
        <f t="shared" ref="I2118:I2181" si="266">H2118/G2118</f>
        <v>1.5373222732348517</v>
      </c>
      <c r="J2118" s="22">
        <f t="shared" ref="J2118:J2181" si="267">LOG(I2118,2)</f>
        <v>0.62041963299275082</v>
      </c>
      <c r="K2118" s="8"/>
      <c r="L2118" s="8">
        <v>1.2479232808691978</v>
      </c>
      <c r="M2118" s="8">
        <v>1.0667564649085308</v>
      </c>
      <c r="N2118" s="8">
        <v>1.5745216886968847</v>
      </c>
      <c r="O2118" s="8">
        <v>1.2308847063563975</v>
      </c>
      <c r="P2118" s="8">
        <f t="shared" ref="P2118:P2181" si="268">AVERAGE(L2118:M2118)</f>
        <v>1.1573398728888642</v>
      </c>
      <c r="Q2118" s="8">
        <f t="shared" ref="Q2118:Q2181" si="269">AVERAGE(N2118:O2118)</f>
        <v>1.4027031975266411</v>
      </c>
      <c r="R2118" s="8">
        <f t="shared" ref="R2118:R2181" si="270">Q2118/P2118</f>
        <v>1.2120062830163447</v>
      </c>
      <c r="S2118" s="22">
        <f t="shared" ref="S2118:S2181" si="271">LOG(R2118,2)</f>
        <v>0.27739717773250355</v>
      </c>
      <c r="T2118" s="25"/>
      <c r="U2118" s="1" t="s">
        <v>5991</v>
      </c>
    </row>
    <row r="2119" spans="1:21">
      <c r="A2119" s="6" t="s">
        <v>5992</v>
      </c>
      <c r="B2119" s="13" t="s">
        <v>5993</v>
      </c>
      <c r="C2119" s="14">
        <v>5.4858478536167384E-2</v>
      </c>
      <c r="D2119" s="14">
        <v>4.2825630216661054E-2</v>
      </c>
      <c r="E2119" s="14">
        <v>1.6620008161421968E-2</v>
      </c>
      <c r="F2119" s="8">
        <v>1.506079788610944E-2</v>
      </c>
      <c r="G2119" s="8">
        <f t="shared" si="264"/>
        <v>4.8842054376414215E-2</v>
      </c>
      <c r="H2119" s="8">
        <f t="shared" si="265"/>
        <v>1.5840403023765704E-2</v>
      </c>
      <c r="I2119" s="8">
        <f t="shared" si="266"/>
        <v>0.324318934287396</v>
      </c>
      <c r="J2119" s="22">
        <f t="shared" si="267"/>
        <v>-1.6245148416606345</v>
      </c>
      <c r="K2119" s="8"/>
      <c r="L2119" s="8">
        <v>4.8449178136792781E-2</v>
      </c>
      <c r="M2119" s="8">
        <v>4.8001242014643966E-2</v>
      </c>
      <c r="N2119" s="8">
        <v>5.5225507104088876E-2</v>
      </c>
      <c r="O2119" s="8">
        <v>4.6949167904141192E-2</v>
      </c>
      <c r="P2119" s="8">
        <f t="shared" si="268"/>
        <v>4.8225210075718374E-2</v>
      </c>
      <c r="Q2119" s="8">
        <f t="shared" si="269"/>
        <v>5.1087337504115038E-2</v>
      </c>
      <c r="R2119" s="8">
        <f t="shared" si="270"/>
        <v>1.059349195657268</v>
      </c>
      <c r="S2119" s="22">
        <f t="shared" si="271"/>
        <v>8.3178226537407252E-2</v>
      </c>
      <c r="T2119" s="25"/>
      <c r="U2119" s="1" t="s">
        <v>5994</v>
      </c>
    </row>
    <row r="2120" spans="1:21">
      <c r="A2120" s="6" t="s">
        <v>5995</v>
      </c>
      <c r="B2120" s="6" t="s">
        <v>5996</v>
      </c>
      <c r="C2120" s="7">
        <v>0.8989532819617555</v>
      </c>
      <c r="D2120" s="7">
        <v>0.92844846685401772</v>
      </c>
      <c r="E2120" s="7">
        <v>0.93983984958511224</v>
      </c>
      <c r="F2120" s="8">
        <v>1.0483369145493879</v>
      </c>
      <c r="G2120" s="8">
        <f t="shared" si="264"/>
        <v>0.91370087440788661</v>
      </c>
      <c r="H2120" s="8">
        <f t="shared" si="265"/>
        <v>0.99408838206725014</v>
      </c>
      <c r="I2120" s="8">
        <f t="shared" si="266"/>
        <v>1.0879801146206167</v>
      </c>
      <c r="J2120" s="22">
        <f t="shared" si="267"/>
        <v>0.12165218820553556</v>
      </c>
      <c r="K2120" s="8"/>
      <c r="L2120" s="8">
        <v>0.56568460838302448</v>
      </c>
      <c r="M2120" s="8">
        <v>0.50492268568173593</v>
      </c>
      <c r="N2120" s="8">
        <v>0.61297480808251259</v>
      </c>
      <c r="O2120" s="8">
        <v>0.62330123563171802</v>
      </c>
      <c r="P2120" s="8">
        <f t="shared" si="268"/>
        <v>0.5353036470323802</v>
      </c>
      <c r="Q2120" s="8">
        <f t="shared" si="269"/>
        <v>0.61813802185711531</v>
      </c>
      <c r="R2120" s="8">
        <f t="shared" si="270"/>
        <v>1.1547427806329227</v>
      </c>
      <c r="S2120" s="22">
        <f t="shared" si="271"/>
        <v>0.20757152659167916</v>
      </c>
      <c r="T2120" s="25"/>
      <c r="U2120" s="1" t="s">
        <v>5997</v>
      </c>
    </row>
    <row r="2121" spans="1:21">
      <c r="A2121" s="6" t="s">
        <v>5998</v>
      </c>
      <c r="B2121" s="13" t="s">
        <v>5999</v>
      </c>
      <c r="C2121" s="14">
        <v>0.94417291813135451</v>
      </c>
      <c r="D2121" s="14">
        <v>0.98818842161003229</v>
      </c>
      <c r="E2121" s="14">
        <v>1.0068199232718626</v>
      </c>
      <c r="F2121" s="8">
        <v>0.95053393725632629</v>
      </c>
      <c r="G2121" s="8">
        <f t="shared" si="264"/>
        <v>0.9661806698706934</v>
      </c>
      <c r="H2121" s="8">
        <f t="shared" si="265"/>
        <v>0.97867693026409452</v>
      </c>
      <c r="I2121" s="8">
        <f t="shared" si="266"/>
        <v>1.0129336683946217</v>
      </c>
      <c r="J2121" s="22">
        <f t="shared" si="267"/>
        <v>1.8539702854368383E-2</v>
      </c>
      <c r="K2121" s="8"/>
      <c r="L2121" s="8">
        <v>1.3524364392075052</v>
      </c>
      <c r="M2121" s="8">
        <v>1.3452476357806635</v>
      </c>
      <c r="N2121" s="8">
        <v>1.4368827325297708</v>
      </c>
      <c r="O2121" s="8">
        <v>1.123973285965989</v>
      </c>
      <c r="P2121" s="8">
        <f t="shared" si="268"/>
        <v>1.3488420374940844</v>
      </c>
      <c r="Q2121" s="8">
        <f t="shared" si="269"/>
        <v>1.2804280092478799</v>
      </c>
      <c r="R2121" s="8">
        <f t="shared" si="270"/>
        <v>0.94927943647626378</v>
      </c>
      <c r="S2121" s="22">
        <f t="shared" si="271"/>
        <v>-7.5095263408158572E-2</v>
      </c>
      <c r="T2121" s="25"/>
      <c r="U2121" s="1" t="s">
        <v>6000</v>
      </c>
    </row>
    <row r="2122" spans="1:21">
      <c r="A2122" s="6" t="s">
        <v>6001</v>
      </c>
      <c r="B2122" s="13" t="s">
        <v>6002</v>
      </c>
      <c r="C2122" s="14">
        <v>0.77561109467748401</v>
      </c>
      <c r="D2122" s="14">
        <v>0.82870593462951792</v>
      </c>
      <c r="E2122" s="14">
        <v>0.71833014366623171</v>
      </c>
      <c r="F2122" s="8">
        <v>0.77857738716425118</v>
      </c>
      <c r="G2122" s="8">
        <f t="shared" si="264"/>
        <v>0.80215851465350096</v>
      </c>
      <c r="H2122" s="8">
        <f t="shared" si="265"/>
        <v>0.74845376541524145</v>
      </c>
      <c r="I2122" s="8">
        <f t="shared" si="266"/>
        <v>0.9330497049433456</v>
      </c>
      <c r="J2122" s="22">
        <f t="shared" si="267"/>
        <v>-9.9974157255972501E-2</v>
      </c>
      <c r="K2122" s="8"/>
      <c r="L2122" s="8">
        <v>1.0702128376837516</v>
      </c>
      <c r="M2122" s="8">
        <v>1.0356419572080764</v>
      </c>
      <c r="N2122" s="8">
        <v>1.3407620293957823</v>
      </c>
      <c r="O2122" s="8">
        <v>1.1875077577493105</v>
      </c>
      <c r="P2122" s="8">
        <f t="shared" si="268"/>
        <v>1.0529273974459139</v>
      </c>
      <c r="Q2122" s="8">
        <f t="shared" si="269"/>
        <v>1.2641348935725465</v>
      </c>
      <c r="R2122" s="8">
        <f t="shared" si="270"/>
        <v>1.2005907497885977</v>
      </c>
      <c r="S2122" s="22">
        <f t="shared" si="271"/>
        <v>0.26374445756393161</v>
      </c>
      <c r="T2122" s="25"/>
      <c r="U2122" s="1" t="s">
        <v>6003</v>
      </c>
    </row>
    <row r="2123" spans="1:21">
      <c r="A2123" s="6" t="s">
        <v>6004</v>
      </c>
      <c r="B2123" s="6" t="s">
        <v>6005</v>
      </c>
      <c r="C2123" s="7">
        <v>0.92492566383978558</v>
      </c>
      <c r="D2123" s="7">
        <v>1.0252479865818358</v>
      </c>
      <c r="E2123" s="7">
        <v>0.88031801515488961</v>
      </c>
      <c r="F2123" s="8">
        <v>1.0609388066581735</v>
      </c>
      <c r="G2123" s="8">
        <f t="shared" si="264"/>
        <v>0.97508682521081069</v>
      </c>
      <c r="H2123" s="8">
        <f t="shared" si="265"/>
        <v>0.97062841090653151</v>
      </c>
      <c r="I2123" s="8">
        <f t="shared" si="266"/>
        <v>0.99542767455265813</v>
      </c>
      <c r="J2123" s="22">
        <f t="shared" si="267"/>
        <v>-6.6115979820646825E-3</v>
      </c>
      <c r="K2123" s="8"/>
      <c r="L2123" s="8">
        <v>1.1851011638352427</v>
      </c>
      <c r="M2123" s="8">
        <v>1.0358751993947366</v>
      </c>
      <c r="N2123" s="8">
        <v>1.3519770554538435</v>
      </c>
      <c r="O2123" s="8">
        <v>1.244663266502178</v>
      </c>
      <c r="P2123" s="8">
        <f t="shared" si="268"/>
        <v>1.1104881816149896</v>
      </c>
      <c r="Q2123" s="8">
        <f t="shared" si="269"/>
        <v>1.2983201609780108</v>
      </c>
      <c r="R2123" s="8">
        <f t="shared" si="270"/>
        <v>1.1691436095158221</v>
      </c>
      <c r="S2123" s="22">
        <f t="shared" si="271"/>
        <v>0.22545215143604477</v>
      </c>
      <c r="T2123" s="25"/>
      <c r="U2123" s="1" t="s">
        <v>6006</v>
      </c>
    </row>
    <row r="2124" spans="1:21">
      <c r="A2124" s="6" t="s">
        <v>6007</v>
      </c>
      <c r="B2124" s="6" t="s">
        <v>6008</v>
      </c>
      <c r="C2124" s="7">
        <v>0.85124595719399709</v>
      </c>
      <c r="D2124" s="7">
        <v>0.91915558500308214</v>
      </c>
      <c r="E2124" s="7">
        <v>0.84812045727358309</v>
      </c>
      <c r="F2124" s="8">
        <v>0.96755307795794732</v>
      </c>
      <c r="G2124" s="8">
        <f t="shared" si="264"/>
        <v>0.88520077109853967</v>
      </c>
      <c r="H2124" s="8">
        <f t="shared" si="265"/>
        <v>0.90783676761576526</v>
      </c>
      <c r="I2124" s="8">
        <f t="shared" si="266"/>
        <v>1.0255715960223737</v>
      </c>
      <c r="J2124" s="22">
        <f t="shared" si="267"/>
        <v>3.6428211097060854E-2</v>
      </c>
      <c r="K2124" s="8"/>
      <c r="L2124" s="8">
        <v>1.2948494985930463</v>
      </c>
      <c r="M2124" s="8">
        <v>1.31114762809096</v>
      </c>
      <c r="N2124" s="8">
        <v>1.4314451441379836</v>
      </c>
      <c r="O2124" s="8">
        <v>1.3154952719923387</v>
      </c>
      <c r="P2124" s="8">
        <f t="shared" si="268"/>
        <v>1.3029985633420031</v>
      </c>
      <c r="Q2124" s="8">
        <f t="shared" si="269"/>
        <v>1.3734702080651613</v>
      </c>
      <c r="R2124" s="8">
        <f t="shared" si="270"/>
        <v>1.0540842075392689</v>
      </c>
      <c r="S2124" s="22">
        <f t="shared" si="271"/>
        <v>7.5990124040228535E-2</v>
      </c>
      <c r="T2124" s="25"/>
      <c r="U2124" s="1" t="s">
        <v>6009</v>
      </c>
    </row>
    <row r="2125" spans="1:21">
      <c r="A2125" s="6" t="s">
        <v>6010</v>
      </c>
      <c r="B2125" s="13" t="s">
        <v>6011</v>
      </c>
      <c r="C2125" s="14">
        <v>7.6578206205111757E-2</v>
      </c>
      <c r="D2125" s="14">
        <v>0.11548125122849405</v>
      </c>
      <c r="E2125" s="14">
        <v>0.47353886588634864</v>
      </c>
      <c r="F2125" s="8">
        <v>0.34680231447250603</v>
      </c>
      <c r="G2125" s="8">
        <f t="shared" si="264"/>
        <v>9.6029728716802903E-2</v>
      </c>
      <c r="H2125" s="8">
        <f t="shared" si="265"/>
        <v>0.41017059017942736</v>
      </c>
      <c r="I2125" s="8">
        <f t="shared" si="266"/>
        <v>4.271287607080966</v>
      </c>
      <c r="J2125" s="22">
        <f t="shared" si="267"/>
        <v>2.0946710450977069</v>
      </c>
      <c r="K2125" s="8"/>
      <c r="L2125" s="8">
        <v>0.69880086697694332</v>
      </c>
      <c r="M2125" s="8">
        <v>0.6955748490576833</v>
      </c>
      <c r="N2125" s="8">
        <v>0.3996061052506123</v>
      </c>
      <c r="O2125" s="8">
        <v>0.28996214351231553</v>
      </c>
      <c r="P2125" s="8">
        <f t="shared" si="268"/>
        <v>0.69718785801731331</v>
      </c>
      <c r="Q2125" s="8">
        <f t="shared" si="269"/>
        <v>0.34478412438146389</v>
      </c>
      <c r="R2125" s="8">
        <f t="shared" si="270"/>
        <v>0.49453546905130102</v>
      </c>
      <c r="S2125" s="22">
        <f t="shared" si="271"/>
        <v>-1.0158540972814796</v>
      </c>
      <c r="T2125" s="25"/>
      <c r="U2125" s="1" t="s">
        <v>6012</v>
      </c>
    </row>
    <row r="2126" spans="1:21">
      <c r="A2126" s="6" t="s">
        <v>6013</v>
      </c>
      <c r="B2126" s="13" t="s">
        <v>6014</v>
      </c>
      <c r="C2126" s="14">
        <v>7.5825052776311228E-2</v>
      </c>
      <c r="D2126" s="14">
        <v>6.0771608593166639E-2</v>
      </c>
      <c r="E2126" s="14">
        <v>0.47431011562764869</v>
      </c>
      <c r="F2126" s="8">
        <v>0.87349115016895718</v>
      </c>
      <c r="G2126" s="8">
        <f t="shared" si="264"/>
        <v>6.8298330684738937E-2</v>
      </c>
      <c r="H2126" s="8">
        <f t="shared" si="265"/>
        <v>0.67390063289830293</v>
      </c>
      <c r="I2126" s="8">
        <f t="shared" si="266"/>
        <v>9.8670147006811693</v>
      </c>
      <c r="J2126" s="22">
        <f t="shared" si="267"/>
        <v>3.3026136583405061</v>
      </c>
      <c r="K2126" s="8"/>
      <c r="L2126" s="8">
        <v>0.19631911573111022</v>
      </c>
      <c r="M2126" s="8">
        <v>0.19541030398381298</v>
      </c>
      <c r="N2126" s="8">
        <v>0.17320984689672181</v>
      </c>
      <c r="O2126" s="8">
        <v>0.14508313516464502</v>
      </c>
      <c r="P2126" s="8">
        <f t="shared" si="268"/>
        <v>0.1958647098574616</v>
      </c>
      <c r="Q2126" s="8">
        <f t="shared" si="269"/>
        <v>0.1591464910306834</v>
      </c>
      <c r="R2126" s="8">
        <f t="shared" si="270"/>
        <v>0.81253274847980794</v>
      </c>
      <c r="S2126" s="22">
        <f t="shared" si="271"/>
        <v>-0.29950213402223663</v>
      </c>
      <c r="T2126" s="25"/>
      <c r="U2126" s="1" t="s">
        <v>6015</v>
      </c>
    </row>
    <row r="2127" spans="1:21">
      <c r="A2127" s="6" t="s">
        <v>6016</v>
      </c>
      <c r="B2127" s="13" t="s">
        <v>6017</v>
      </c>
      <c r="C2127" s="14">
        <v>0.98252288211704586</v>
      </c>
      <c r="D2127" s="14">
        <v>1.0791738921935903</v>
      </c>
      <c r="E2127" s="14">
        <v>0.98042792663001266</v>
      </c>
      <c r="F2127" s="8">
        <v>1.0872666620882354</v>
      </c>
      <c r="G2127" s="8">
        <f t="shared" si="264"/>
        <v>1.030848387155318</v>
      </c>
      <c r="H2127" s="8">
        <f t="shared" si="265"/>
        <v>1.0338472943591239</v>
      </c>
      <c r="I2127" s="8">
        <f t="shared" si="266"/>
        <v>1.0029091641808565</v>
      </c>
      <c r="J2127" s="22">
        <f t="shared" si="267"/>
        <v>4.1909436167805545E-3</v>
      </c>
      <c r="K2127" s="8"/>
      <c r="L2127" s="8">
        <v>0.84272062600018638</v>
      </c>
      <c r="M2127" s="8">
        <v>0.9459370122186106</v>
      </c>
      <c r="N2127" s="8">
        <v>0.83903121716191642</v>
      </c>
      <c r="O2127" s="8">
        <v>1.245224615248858</v>
      </c>
      <c r="P2127" s="8">
        <f t="shared" si="268"/>
        <v>0.89432881910939854</v>
      </c>
      <c r="Q2127" s="8">
        <f t="shared" si="269"/>
        <v>1.0421279162053871</v>
      </c>
      <c r="R2127" s="8">
        <f t="shared" si="270"/>
        <v>1.1652625901546723</v>
      </c>
      <c r="S2127" s="22">
        <f t="shared" si="271"/>
        <v>0.22065510065251354</v>
      </c>
      <c r="T2127" s="25"/>
      <c r="U2127" s="1" t="s">
        <v>6018</v>
      </c>
    </row>
    <row r="2128" spans="1:21">
      <c r="A2128" s="6" t="s">
        <v>6019</v>
      </c>
      <c r="B2128" s="13" t="s">
        <v>6020</v>
      </c>
      <c r="C2128" s="14">
        <v>0.93900735067523777</v>
      </c>
      <c r="D2128" s="14">
        <v>1.1150738462631684</v>
      </c>
      <c r="E2128" s="14">
        <v>1.0149053326476896</v>
      </c>
      <c r="F2128" s="8">
        <v>1.06109687917243</v>
      </c>
      <c r="G2128" s="8">
        <f t="shared" si="264"/>
        <v>1.027040598469203</v>
      </c>
      <c r="H2128" s="8">
        <f t="shared" si="265"/>
        <v>1.0380011059100598</v>
      </c>
      <c r="I2128" s="8">
        <f t="shared" si="266"/>
        <v>1.0106719320124182</v>
      </c>
      <c r="J2128" s="22">
        <f t="shared" si="267"/>
        <v>1.5314768884567079E-2</v>
      </c>
      <c r="K2128" s="8"/>
      <c r="L2128" s="8">
        <v>1.2247933195976053</v>
      </c>
      <c r="M2128" s="8">
        <v>1.223308620594775</v>
      </c>
      <c r="N2128" s="8">
        <v>0.87380912625105545</v>
      </c>
      <c r="O2128" s="8">
        <v>1.2666068993269397</v>
      </c>
      <c r="P2128" s="8">
        <f t="shared" si="268"/>
        <v>1.2240509700961901</v>
      </c>
      <c r="Q2128" s="8">
        <f t="shared" si="269"/>
        <v>1.0702080127889975</v>
      </c>
      <c r="R2128" s="8">
        <f t="shared" si="270"/>
        <v>0.87431654312965157</v>
      </c>
      <c r="S2128" s="22">
        <f t="shared" si="271"/>
        <v>-0.19377239808528984</v>
      </c>
      <c r="T2128" s="25"/>
      <c r="U2128" s="1" t="s">
        <v>6021</v>
      </c>
    </row>
    <row r="2129" spans="1:21">
      <c r="A2129" s="6" t="s">
        <v>6022</v>
      </c>
      <c r="B2129" s="6" t="s">
        <v>6023</v>
      </c>
      <c r="C2129" s="7">
        <v>0.40828523451380266</v>
      </c>
      <c r="D2129" s="7">
        <v>0.41213371196739695</v>
      </c>
      <c r="E2129" s="7">
        <v>0.814329548278382</v>
      </c>
      <c r="F2129" s="8">
        <v>0.86233825610752335</v>
      </c>
      <c r="G2129" s="8">
        <f t="shared" si="264"/>
        <v>0.41020947324059981</v>
      </c>
      <c r="H2129" s="8">
        <f t="shared" si="265"/>
        <v>0.83833390219295267</v>
      </c>
      <c r="I2129" s="8">
        <f t="shared" si="266"/>
        <v>2.0436727010964115</v>
      </c>
      <c r="J2129" s="22">
        <f t="shared" si="267"/>
        <v>1.0311641638320719</v>
      </c>
      <c r="K2129" s="8"/>
      <c r="L2129" s="8">
        <v>1.1717276677090749</v>
      </c>
      <c r="M2129" s="8">
        <v>1.1016028475955464</v>
      </c>
      <c r="N2129" s="8">
        <v>1.428443142213351</v>
      </c>
      <c r="O2129" s="8">
        <v>1.0585506411256531</v>
      </c>
      <c r="P2129" s="8">
        <f t="shared" si="268"/>
        <v>1.1366652576523106</v>
      </c>
      <c r="Q2129" s="8">
        <f t="shared" si="269"/>
        <v>1.2434968916695022</v>
      </c>
      <c r="R2129" s="8">
        <f t="shared" si="270"/>
        <v>1.0939868913015285</v>
      </c>
      <c r="S2129" s="22">
        <f t="shared" si="271"/>
        <v>0.12959545113999185</v>
      </c>
      <c r="T2129" s="25"/>
      <c r="U2129" s="1" t="s">
        <v>6024</v>
      </c>
    </row>
    <row r="2130" spans="1:21">
      <c r="A2130" s="6" t="s">
        <v>6025</v>
      </c>
      <c r="B2130" s="13" t="s">
        <v>6026</v>
      </c>
      <c r="C2130" s="14">
        <v>0.92123597279970226</v>
      </c>
      <c r="D2130" s="14">
        <v>1.1040455467171786</v>
      </c>
      <c r="E2130" s="14">
        <v>0.97029150145864063</v>
      </c>
      <c r="F2130" s="8">
        <v>1.0119802362703834</v>
      </c>
      <c r="G2130" s="8">
        <f t="shared" si="264"/>
        <v>1.0126407597584404</v>
      </c>
      <c r="H2130" s="8">
        <f t="shared" si="265"/>
        <v>0.99113586886451199</v>
      </c>
      <c r="I2130" s="8">
        <f t="shared" si="266"/>
        <v>0.9787635539191033</v>
      </c>
      <c r="J2130" s="22">
        <f t="shared" si="267"/>
        <v>-3.0967713902349453E-2</v>
      </c>
      <c r="K2130" s="8"/>
      <c r="L2130" s="8">
        <v>0.96355801626474125</v>
      </c>
      <c r="M2130" s="8">
        <v>1.3434283467247148</v>
      </c>
      <c r="N2130" s="8">
        <v>0.92892135026364875</v>
      </c>
      <c r="O2130" s="8">
        <v>1.0419653372464728</v>
      </c>
      <c r="P2130" s="8">
        <f t="shared" si="268"/>
        <v>1.153493181494728</v>
      </c>
      <c r="Q2130" s="8">
        <f t="shared" si="269"/>
        <v>0.98544334375506071</v>
      </c>
      <c r="R2130" s="8">
        <f t="shared" si="270"/>
        <v>0.85431224004124262</v>
      </c>
      <c r="S2130" s="22">
        <f t="shared" si="271"/>
        <v>-0.22716464233774958</v>
      </c>
      <c r="T2130" s="25"/>
      <c r="U2130" s="1" t="s">
        <v>6027</v>
      </c>
    </row>
    <row r="2131" spans="1:21">
      <c r="A2131" s="6" t="s">
        <v>6028</v>
      </c>
      <c r="B2131" s="13" t="s">
        <v>6029</v>
      </c>
      <c r="C2131" s="14">
        <v>0.95354549413420553</v>
      </c>
      <c r="D2131" s="14">
        <v>1.1095556978318901</v>
      </c>
      <c r="E2131" s="14">
        <v>1.0292793937602709</v>
      </c>
      <c r="F2131" s="8">
        <v>0.93052020059017859</v>
      </c>
      <c r="G2131" s="8">
        <f t="shared" si="264"/>
        <v>1.0315505959830478</v>
      </c>
      <c r="H2131" s="8">
        <f t="shared" si="265"/>
        <v>0.9798997971752248</v>
      </c>
      <c r="I2131" s="8">
        <f t="shared" si="266"/>
        <v>0.94992897196806836</v>
      </c>
      <c r="J2131" s="22">
        <f t="shared" si="267"/>
        <v>-7.4108450517822791E-2</v>
      </c>
      <c r="K2131" s="8"/>
      <c r="L2131" s="8">
        <v>1.4116415252607177</v>
      </c>
      <c r="M2131" s="8">
        <v>1.4525856900816312</v>
      </c>
      <c r="N2131" s="8">
        <v>1.3564517375679184</v>
      </c>
      <c r="O2131" s="8">
        <v>1.5893824286679104</v>
      </c>
      <c r="P2131" s="8">
        <f t="shared" si="268"/>
        <v>1.4321136076711745</v>
      </c>
      <c r="Q2131" s="8">
        <f t="shared" si="269"/>
        <v>1.4729170831179144</v>
      </c>
      <c r="R2131" s="8">
        <f t="shared" si="270"/>
        <v>1.0284917867047518</v>
      </c>
      <c r="S2131" s="22">
        <f t="shared" si="271"/>
        <v>4.0530272883132192E-2</v>
      </c>
      <c r="T2131" s="25"/>
      <c r="U2131" s="1" t="s">
        <v>6030</v>
      </c>
    </row>
    <row r="2132" spans="1:21">
      <c r="A2132" s="6" t="s">
        <v>6031</v>
      </c>
      <c r="B2132" s="13" t="s">
        <v>6032</v>
      </c>
      <c r="C2132" s="14">
        <v>0.26234083675512354</v>
      </c>
      <c r="D2132" s="14">
        <v>0.25727367396264911</v>
      </c>
      <c r="E2132" s="14">
        <v>0.90721852810968484</v>
      </c>
      <c r="F2132" s="8">
        <v>0.95573276661409701</v>
      </c>
      <c r="G2132" s="8">
        <f t="shared" si="264"/>
        <v>0.25980725535888632</v>
      </c>
      <c r="H2132" s="8">
        <f t="shared" si="265"/>
        <v>0.93147564736189092</v>
      </c>
      <c r="I2132" s="8">
        <f t="shared" si="266"/>
        <v>3.5852564859098774</v>
      </c>
      <c r="J2132" s="22">
        <f t="shared" si="267"/>
        <v>1.842076331678669</v>
      </c>
      <c r="K2132" s="8"/>
      <c r="L2132" s="8">
        <v>0.47706734935482398</v>
      </c>
      <c r="M2132" s="8">
        <v>0.63717100551799988</v>
      </c>
      <c r="N2132" s="8">
        <v>0.68236070162354734</v>
      </c>
      <c r="O2132" s="8">
        <v>1.0253800333672924</v>
      </c>
      <c r="P2132" s="8">
        <f t="shared" si="268"/>
        <v>0.55711917743641193</v>
      </c>
      <c r="Q2132" s="8">
        <f t="shared" si="269"/>
        <v>0.85387036749541989</v>
      </c>
      <c r="R2132" s="8">
        <f t="shared" si="270"/>
        <v>1.5326529799683271</v>
      </c>
      <c r="S2132" s="22">
        <f t="shared" si="271"/>
        <v>0.61603108202481127</v>
      </c>
      <c r="T2132" s="25"/>
      <c r="U2132" s="1" t="s">
        <v>6033</v>
      </c>
    </row>
    <row r="2133" spans="1:21">
      <c r="A2133" s="6" t="s">
        <v>6034</v>
      </c>
      <c r="B2133" s="6" t="s">
        <v>6035</v>
      </c>
      <c r="C2133" s="7">
        <v>0.97689325042702169</v>
      </c>
      <c r="D2133" s="7">
        <v>0.98436570429097281</v>
      </c>
      <c r="E2133" s="7">
        <v>1.0167868430055864</v>
      </c>
      <c r="F2133" s="8">
        <v>1.0033652842434018</v>
      </c>
      <c r="G2133" s="8">
        <f t="shared" si="264"/>
        <v>0.98062947735899719</v>
      </c>
      <c r="H2133" s="8">
        <f t="shared" si="265"/>
        <v>1.0100760636244941</v>
      </c>
      <c r="I2133" s="8">
        <f t="shared" si="266"/>
        <v>1.0300282491454382</v>
      </c>
      <c r="J2133" s="22">
        <f t="shared" si="267"/>
        <v>4.2683904731953971E-2</v>
      </c>
      <c r="K2133" s="8"/>
      <c r="L2133" s="8">
        <v>1.0873461423293758</v>
      </c>
      <c r="M2133" s="8">
        <v>1.2940276515901104</v>
      </c>
      <c r="N2133" s="8">
        <v>0.97542405932257892</v>
      </c>
      <c r="O2133" s="8">
        <v>1.2328239111176553</v>
      </c>
      <c r="P2133" s="8">
        <f t="shared" si="268"/>
        <v>1.1906868969597431</v>
      </c>
      <c r="Q2133" s="8">
        <f t="shared" si="269"/>
        <v>1.104123985220117</v>
      </c>
      <c r="R2133" s="8">
        <f t="shared" si="270"/>
        <v>0.92730002155843605</v>
      </c>
      <c r="S2133" s="22">
        <f t="shared" si="271"/>
        <v>-0.1088919064294159</v>
      </c>
      <c r="T2133" s="25"/>
      <c r="U2133" s="1" t="s">
        <v>6036</v>
      </c>
    </row>
    <row r="2134" spans="1:21">
      <c r="A2134" s="6" t="s">
        <v>6037</v>
      </c>
      <c r="B2134" s="13" t="s">
        <v>6038</v>
      </c>
      <c r="C2134" s="14">
        <v>0.83798589228087272</v>
      </c>
      <c r="D2134" s="14">
        <v>0.90936686952498824</v>
      </c>
      <c r="E2134" s="14">
        <v>1.0360257101786756</v>
      </c>
      <c r="F2134" s="8">
        <v>1.0294911581274691</v>
      </c>
      <c r="G2134" s="8">
        <f t="shared" si="264"/>
        <v>0.87367638090293043</v>
      </c>
      <c r="H2134" s="8">
        <f t="shared" si="265"/>
        <v>1.0327584341530724</v>
      </c>
      <c r="I2134" s="8">
        <f t="shared" si="266"/>
        <v>1.1820834999404852</v>
      </c>
      <c r="J2134" s="22">
        <f t="shared" si="267"/>
        <v>0.24133194811718361</v>
      </c>
      <c r="K2134" s="8"/>
      <c r="L2134" s="8">
        <v>1.038421039063538</v>
      </c>
      <c r="M2134" s="8">
        <v>1.2118331050110991</v>
      </c>
      <c r="N2134" s="8">
        <v>1.2314438461025603</v>
      </c>
      <c r="O2134" s="8">
        <v>1.3671903883911378</v>
      </c>
      <c r="P2134" s="8">
        <f t="shared" si="268"/>
        <v>1.1251270720373185</v>
      </c>
      <c r="Q2134" s="8">
        <f t="shared" si="269"/>
        <v>1.299317117246849</v>
      </c>
      <c r="R2134" s="8">
        <f t="shared" si="270"/>
        <v>1.1548181085840523</v>
      </c>
      <c r="S2134" s="22">
        <f t="shared" si="271"/>
        <v>0.20766563561654267</v>
      </c>
      <c r="T2134" s="25"/>
      <c r="U2134" s="1" t="s">
        <v>6039</v>
      </c>
    </row>
    <row r="2135" spans="1:21">
      <c r="A2135" s="6" t="s">
        <v>6040</v>
      </c>
      <c r="B2135" s="13" t="s">
        <v>6041</v>
      </c>
      <c r="C2135" s="14">
        <v>0.88611924323057889</v>
      </c>
      <c r="D2135" s="14">
        <v>1.1012544832352711</v>
      </c>
      <c r="E2135" s="14">
        <v>1.0242196564464672</v>
      </c>
      <c r="F2135" s="8">
        <v>0.94854924902177196</v>
      </c>
      <c r="G2135" s="8">
        <f t="shared" si="264"/>
        <v>0.99368686323292499</v>
      </c>
      <c r="H2135" s="8">
        <f t="shared" si="265"/>
        <v>0.98638445273411957</v>
      </c>
      <c r="I2135" s="8">
        <f t="shared" si="266"/>
        <v>0.99265119549326908</v>
      </c>
      <c r="J2135" s="22">
        <f t="shared" si="267"/>
        <v>-1.0641232052057879E-2</v>
      </c>
      <c r="K2135" s="8"/>
      <c r="L2135" s="8">
        <v>0.80726420388632525</v>
      </c>
      <c r="M2135" s="8">
        <v>1.2416881049035891</v>
      </c>
      <c r="N2135" s="8">
        <v>0.96851379074134936</v>
      </c>
      <c r="O2135" s="8">
        <v>1.2240464579877508</v>
      </c>
      <c r="P2135" s="8">
        <f t="shared" si="268"/>
        <v>1.0244761543949572</v>
      </c>
      <c r="Q2135" s="8">
        <f t="shared" si="269"/>
        <v>1.0962801243645501</v>
      </c>
      <c r="R2135" s="8">
        <f t="shared" si="270"/>
        <v>1.070088473666817</v>
      </c>
      <c r="S2135" s="22">
        <f t="shared" si="271"/>
        <v>9.7730081900848517E-2</v>
      </c>
      <c r="T2135" s="25"/>
      <c r="U2135" s="1" t="s">
        <v>6042</v>
      </c>
    </row>
    <row r="2136" spans="1:21">
      <c r="A2136" s="6" t="s">
        <v>6043</v>
      </c>
      <c r="B2136" s="13" t="s">
        <v>6044</v>
      </c>
      <c r="C2136" s="14">
        <v>0.48051949518512554</v>
      </c>
      <c r="D2136" s="14">
        <v>0.54220206861422715</v>
      </c>
      <c r="E2136" s="14">
        <v>0.68147118624959524</v>
      </c>
      <c r="F2136" s="8">
        <v>0.68305767952156171</v>
      </c>
      <c r="G2136" s="8">
        <f t="shared" si="264"/>
        <v>0.51136078189967638</v>
      </c>
      <c r="H2136" s="8">
        <f t="shared" si="265"/>
        <v>0.68226443288557848</v>
      </c>
      <c r="I2136" s="8">
        <f t="shared" si="266"/>
        <v>1.3342134497506921</v>
      </c>
      <c r="J2136" s="22">
        <f t="shared" si="267"/>
        <v>0.41598948980801004</v>
      </c>
      <c r="K2136" s="8"/>
      <c r="L2136" s="8">
        <v>0.3139678076310628</v>
      </c>
      <c r="M2136" s="8">
        <v>0.30582715514869374</v>
      </c>
      <c r="N2136" s="8">
        <v>0.37151189855971173</v>
      </c>
      <c r="O2136" s="8">
        <v>0.3587528808327311</v>
      </c>
      <c r="P2136" s="8">
        <f t="shared" si="268"/>
        <v>0.30989748138987827</v>
      </c>
      <c r="Q2136" s="8">
        <f t="shared" si="269"/>
        <v>0.36513238969622142</v>
      </c>
      <c r="R2136" s="8">
        <f t="shared" si="270"/>
        <v>1.1782360671620069</v>
      </c>
      <c r="S2136" s="22">
        <f t="shared" si="271"/>
        <v>0.23662862134467175</v>
      </c>
      <c r="T2136" s="25"/>
      <c r="U2136" s="1" t="s">
        <v>6045</v>
      </c>
    </row>
    <row r="2137" spans="1:21">
      <c r="A2137" s="6" t="s">
        <v>6046</v>
      </c>
      <c r="B2137" s="13" t="s">
        <v>6047</v>
      </c>
      <c r="C2137" s="14">
        <v>0.97766922668699796</v>
      </c>
      <c r="D2137" s="14">
        <v>1.0233046386560376</v>
      </c>
      <c r="E2137" s="14">
        <v>0.94416223824514545</v>
      </c>
      <c r="F2137" s="8">
        <v>0.968132677176888</v>
      </c>
      <c r="G2137" s="8">
        <f t="shared" si="264"/>
        <v>1.0004869326715178</v>
      </c>
      <c r="H2137" s="8">
        <f t="shared" si="265"/>
        <v>0.95614745771101672</v>
      </c>
      <c r="I2137" s="8">
        <f t="shared" si="266"/>
        <v>0.95568210487057037</v>
      </c>
      <c r="J2137" s="22">
        <f t="shared" si="267"/>
        <v>-6.5397290484909484E-2</v>
      </c>
      <c r="K2137" s="8"/>
      <c r="L2137" s="8">
        <v>0.82906157479659159</v>
      </c>
      <c r="M2137" s="8">
        <v>1.2427610189622254</v>
      </c>
      <c r="N2137" s="8">
        <v>1.3374768197424109</v>
      </c>
      <c r="O2137" s="8">
        <v>1.2008270325568984</v>
      </c>
      <c r="P2137" s="8">
        <f t="shared" si="268"/>
        <v>1.0359112968794084</v>
      </c>
      <c r="Q2137" s="8">
        <f t="shared" si="269"/>
        <v>1.2691519261496547</v>
      </c>
      <c r="R2137" s="8">
        <f t="shared" si="270"/>
        <v>1.2251550204856951</v>
      </c>
      <c r="S2137" s="22">
        <f t="shared" si="271"/>
        <v>0.2929643068900159</v>
      </c>
      <c r="T2137" s="25"/>
      <c r="U2137" s="1" t="s">
        <v>6048</v>
      </c>
    </row>
    <row r="2138" spans="1:21">
      <c r="A2138" s="6" t="s">
        <v>6049</v>
      </c>
      <c r="B2138" s="13" t="s">
        <v>6050</v>
      </c>
      <c r="C2138" s="14">
        <v>0.90821935141911947</v>
      </c>
      <c r="D2138" s="14">
        <v>1.0330453702347293</v>
      </c>
      <c r="E2138" s="14">
        <v>0.99541220731812796</v>
      </c>
      <c r="F2138" s="8">
        <v>1.1119259743122558</v>
      </c>
      <c r="G2138" s="8">
        <f t="shared" si="264"/>
        <v>0.97063236082692439</v>
      </c>
      <c r="H2138" s="8">
        <f t="shared" si="265"/>
        <v>1.053669090815192</v>
      </c>
      <c r="I2138" s="8">
        <f t="shared" si="266"/>
        <v>1.0855491052426121</v>
      </c>
      <c r="J2138" s="22">
        <f t="shared" si="267"/>
        <v>0.11842498830925102</v>
      </c>
      <c r="K2138" s="8"/>
      <c r="L2138" s="8">
        <v>1.0562682314027299</v>
      </c>
      <c r="M2138" s="8">
        <v>0.86238966095697078</v>
      </c>
      <c r="N2138" s="8">
        <v>0.86066828763756964</v>
      </c>
      <c r="O2138" s="8">
        <v>1.3263650249962324</v>
      </c>
      <c r="P2138" s="8">
        <f t="shared" si="268"/>
        <v>0.95932894617985032</v>
      </c>
      <c r="Q2138" s="8">
        <f t="shared" si="269"/>
        <v>1.093516656316901</v>
      </c>
      <c r="R2138" s="8">
        <f t="shared" si="270"/>
        <v>1.1398766405114746</v>
      </c>
      <c r="S2138" s="22">
        <f t="shared" si="271"/>
        <v>0.18887770180044047</v>
      </c>
      <c r="T2138" s="25"/>
      <c r="U2138" s="1" t="s">
        <v>6051</v>
      </c>
    </row>
    <row r="2139" spans="1:21">
      <c r="A2139" s="6" t="s">
        <v>6052</v>
      </c>
      <c r="B2139" s="13" t="s">
        <v>80</v>
      </c>
      <c r="C2139" s="14">
        <v>0.98977293482054984</v>
      </c>
      <c r="D2139" s="14">
        <v>1.0327254775720465</v>
      </c>
      <c r="E2139" s="14">
        <v>0.94725571248222806</v>
      </c>
      <c r="F2139" s="8">
        <v>0.95623332957590945</v>
      </c>
      <c r="G2139" s="8">
        <f t="shared" si="264"/>
        <v>1.0112492061962981</v>
      </c>
      <c r="H2139" s="8">
        <f t="shared" si="265"/>
        <v>0.9517445210290687</v>
      </c>
      <c r="I2139" s="8">
        <f t="shared" si="266"/>
        <v>0.94115724907112686</v>
      </c>
      <c r="J2139" s="22">
        <f t="shared" si="267"/>
        <v>-8.7492305512836599E-2</v>
      </c>
      <c r="K2139" s="8"/>
      <c r="L2139" s="8">
        <v>1.1941913338000043</v>
      </c>
      <c r="M2139" s="8">
        <v>1.1368224177812181</v>
      </c>
      <c r="N2139" s="8">
        <v>1.1644935390286801</v>
      </c>
      <c r="O2139" s="8">
        <v>1.1826087141419217</v>
      </c>
      <c r="P2139" s="8">
        <f t="shared" si="268"/>
        <v>1.1655068757906113</v>
      </c>
      <c r="Q2139" s="8">
        <f t="shared" si="269"/>
        <v>1.1735511265853009</v>
      </c>
      <c r="R2139" s="8">
        <f t="shared" si="270"/>
        <v>1.0069019333663158</v>
      </c>
      <c r="S2139" s="22">
        <f t="shared" si="271"/>
        <v>9.9231797344069821E-3</v>
      </c>
      <c r="T2139" s="25"/>
      <c r="U2139" s="1">
        <v>0</v>
      </c>
    </row>
    <row r="2140" spans="1:21">
      <c r="A2140" s="6" t="s">
        <v>6053</v>
      </c>
      <c r="B2140" s="13" t="s">
        <v>80</v>
      </c>
      <c r="C2140" s="14">
        <v>1.0958686693463286</v>
      </c>
      <c r="D2140" s="14">
        <v>1.1637535122069249</v>
      </c>
      <c r="E2140" s="14">
        <v>1.219201761373379</v>
      </c>
      <c r="F2140" s="8">
        <v>1.0774573843979822</v>
      </c>
      <c r="G2140" s="8">
        <f t="shared" si="264"/>
        <v>1.1298110907766268</v>
      </c>
      <c r="H2140" s="8">
        <f t="shared" si="265"/>
        <v>1.1483295728856806</v>
      </c>
      <c r="I2140" s="8">
        <f t="shared" si="266"/>
        <v>1.0163907774142351</v>
      </c>
      <c r="J2140" s="22">
        <f t="shared" si="267"/>
        <v>2.3455189753105971E-2</v>
      </c>
      <c r="K2140" s="8"/>
      <c r="L2140" s="8">
        <v>1.2950398686446642</v>
      </c>
      <c r="M2140" s="8">
        <v>1.2815725188224623</v>
      </c>
      <c r="N2140" s="8">
        <v>1.6275381755168099</v>
      </c>
      <c r="O2140" s="8">
        <v>1.5009444852136966</v>
      </c>
      <c r="P2140" s="8">
        <f t="shared" si="268"/>
        <v>1.2883061937335634</v>
      </c>
      <c r="Q2140" s="8">
        <f t="shared" si="269"/>
        <v>1.5642413303652534</v>
      </c>
      <c r="R2140" s="8">
        <f t="shared" si="270"/>
        <v>1.2141844368783317</v>
      </c>
      <c r="S2140" s="22">
        <f t="shared" si="271"/>
        <v>0.27998758630464143</v>
      </c>
      <c r="T2140" s="25"/>
      <c r="U2140" s="1">
        <v>0</v>
      </c>
    </row>
    <row r="2141" spans="1:21">
      <c r="A2141" s="6" t="s">
        <v>6054</v>
      </c>
      <c r="B2141" s="13" t="s">
        <v>6055</v>
      </c>
      <c r="C2141" s="14">
        <v>1.0680628533638445</v>
      </c>
      <c r="D2141" s="14">
        <v>1.2070429867844761</v>
      </c>
      <c r="E2141" s="14">
        <v>0.94320453252243219</v>
      </c>
      <c r="F2141" s="8">
        <v>1.0540011796435809</v>
      </c>
      <c r="G2141" s="8">
        <f t="shared" si="264"/>
        <v>1.1375529200741603</v>
      </c>
      <c r="H2141" s="8">
        <f t="shared" si="265"/>
        <v>0.99860285608300647</v>
      </c>
      <c r="I2141" s="8">
        <f t="shared" si="266"/>
        <v>0.87785178030917865</v>
      </c>
      <c r="J2141" s="22">
        <f t="shared" si="267"/>
        <v>-0.18795072444825817</v>
      </c>
      <c r="K2141" s="8"/>
      <c r="L2141" s="8">
        <v>1.2495890188208558</v>
      </c>
      <c r="M2141" s="8">
        <v>1.1990047847447949</v>
      </c>
      <c r="N2141" s="8">
        <v>1.0183583509993988</v>
      </c>
      <c r="O2141" s="8">
        <v>1.01241798048941</v>
      </c>
      <c r="P2141" s="8">
        <f t="shared" si="268"/>
        <v>1.2242969017828254</v>
      </c>
      <c r="Q2141" s="8">
        <f t="shared" si="269"/>
        <v>1.0153881657444044</v>
      </c>
      <c r="R2141" s="8">
        <f t="shared" si="270"/>
        <v>0.8293643186271179</v>
      </c>
      <c r="S2141" s="22">
        <f t="shared" si="271"/>
        <v>-0.26992211473661132</v>
      </c>
      <c r="T2141" s="25"/>
      <c r="U2141" s="1" t="s">
        <v>6056</v>
      </c>
    </row>
    <row r="2142" spans="1:21">
      <c r="A2142" s="6" t="s">
        <v>6057</v>
      </c>
      <c r="B2142" s="13" t="s">
        <v>6058</v>
      </c>
      <c r="C2142" s="14">
        <v>1.054627813411706</v>
      </c>
      <c r="D2142" s="14">
        <v>1.0422422842868599</v>
      </c>
      <c r="E2142" s="14">
        <v>0.98790311643030548</v>
      </c>
      <c r="F2142" s="8">
        <v>1.0181187189073457</v>
      </c>
      <c r="G2142" s="8">
        <f t="shared" si="264"/>
        <v>1.0484350488492828</v>
      </c>
      <c r="H2142" s="8">
        <f t="shared" si="265"/>
        <v>1.0030109176688256</v>
      </c>
      <c r="I2142" s="8">
        <f t="shared" si="266"/>
        <v>0.95667434884944669</v>
      </c>
      <c r="J2142" s="22">
        <f t="shared" si="267"/>
        <v>-6.3900178800157317E-2</v>
      </c>
      <c r="K2142" s="8"/>
      <c r="L2142" s="8">
        <v>1.2320749740719956</v>
      </c>
      <c r="M2142" s="8">
        <v>1.1533359645967516</v>
      </c>
      <c r="N2142" s="8">
        <v>0.8465079012006238</v>
      </c>
      <c r="O2142" s="8">
        <v>1.2737003062168044</v>
      </c>
      <c r="P2142" s="8">
        <f t="shared" si="268"/>
        <v>1.1927054693343737</v>
      </c>
      <c r="Q2142" s="8">
        <f t="shared" si="269"/>
        <v>1.060104103708714</v>
      </c>
      <c r="R2142" s="8">
        <f t="shared" si="270"/>
        <v>0.88882304220533004</v>
      </c>
      <c r="S2142" s="22">
        <f t="shared" si="271"/>
        <v>-0.17003187667019512</v>
      </c>
      <c r="T2142" s="25"/>
      <c r="U2142" s="1" t="s">
        <v>6059</v>
      </c>
    </row>
    <row r="2143" spans="1:21">
      <c r="A2143" s="6" t="s">
        <v>6060</v>
      </c>
      <c r="B2143" s="13" t="s">
        <v>6061</v>
      </c>
      <c r="C2143" s="14">
        <v>0.98431827816953998</v>
      </c>
      <c r="D2143" s="14">
        <v>0.9688828994171248</v>
      </c>
      <c r="E2143" s="14">
        <v>0.84395909877931585</v>
      </c>
      <c r="F2143" s="8">
        <v>0.79925854111281536</v>
      </c>
      <c r="G2143" s="8">
        <f t="shared" si="264"/>
        <v>0.97660058879333245</v>
      </c>
      <c r="H2143" s="8">
        <f t="shared" si="265"/>
        <v>0.8216088199460656</v>
      </c>
      <c r="I2143" s="8">
        <f t="shared" si="266"/>
        <v>0.84129461867438404</v>
      </c>
      <c r="J2143" s="22">
        <f t="shared" si="267"/>
        <v>-0.24931697875044093</v>
      </c>
      <c r="K2143" s="8"/>
      <c r="L2143" s="8">
        <v>0.83201231059667125</v>
      </c>
      <c r="M2143" s="8">
        <v>0.97555876992444046</v>
      </c>
      <c r="N2143" s="8">
        <v>0.70518724455990411</v>
      </c>
      <c r="O2143" s="8">
        <v>0.64749026344319938</v>
      </c>
      <c r="P2143" s="8">
        <f t="shared" si="268"/>
        <v>0.90378554026055591</v>
      </c>
      <c r="Q2143" s="8">
        <f t="shared" si="269"/>
        <v>0.67633875400155175</v>
      </c>
      <c r="R2143" s="8">
        <f t="shared" si="270"/>
        <v>0.74833987032650173</v>
      </c>
      <c r="S2143" s="22">
        <f t="shared" si="271"/>
        <v>-0.41823445328733705</v>
      </c>
      <c r="T2143" s="25"/>
      <c r="U2143" s="1" t="s">
        <v>6062</v>
      </c>
    </row>
    <row r="2144" spans="1:21">
      <c r="A2144" s="6" t="s">
        <v>6063</v>
      </c>
      <c r="B2144" s="13" t="s">
        <v>6064</v>
      </c>
      <c r="C2144" s="14">
        <v>0.73570917817184012</v>
      </c>
      <c r="D2144" s="14">
        <v>0.79610887230213967</v>
      </c>
      <c r="E2144" s="14">
        <v>0.71578756210150629</v>
      </c>
      <c r="F2144" s="8">
        <v>0.69105790510421228</v>
      </c>
      <c r="G2144" s="8">
        <f t="shared" si="264"/>
        <v>0.76590902523698989</v>
      </c>
      <c r="H2144" s="8">
        <f t="shared" si="265"/>
        <v>0.70342273360285934</v>
      </c>
      <c r="I2144" s="8">
        <f t="shared" si="266"/>
        <v>0.91841551728053361</v>
      </c>
      <c r="J2144" s="22">
        <f t="shared" si="267"/>
        <v>-0.12278107731349021</v>
      </c>
      <c r="K2144" s="8"/>
      <c r="L2144" s="8">
        <v>1.1621615726152681</v>
      </c>
      <c r="M2144" s="8">
        <v>1.0626980508606454</v>
      </c>
      <c r="N2144" s="8">
        <v>1.2177932335773445</v>
      </c>
      <c r="O2144" s="8">
        <v>1.1772503851963405</v>
      </c>
      <c r="P2144" s="8">
        <f t="shared" si="268"/>
        <v>1.1124298117379567</v>
      </c>
      <c r="Q2144" s="8">
        <f t="shared" si="269"/>
        <v>1.1975218093868425</v>
      </c>
      <c r="R2144" s="8">
        <f t="shared" si="270"/>
        <v>1.0764920148228911</v>
      </c>
      <c r="S2144" s="22">
        <f t="shared" si="271"/>
        <v>0.10633761795554846</v>
      </c>
      <c r="T2144" s="25"/>
      <c r="U2144" s="1" t="s">
        <v>6065</v>
      </c>
    </row>
    <row r="2145" spans="1:21">
      <c r="A2145" s="6" t="s">
        <v>6066</v>
      </c>
      <c r="B2145" s="13" t="s">
        <v>6067</v>
      </c>
      <c r="C2145" s="14">
        <v>1.0277957715593884</v>
      </c>
      <c r="D2145" s="14">
        <v>1.0425861688992439</v>
      </c>
      <c r="E2145" s="14">
        <v>1.0746220983312078</v>
      </c>
      <c r="F2145" s="8">
        <v>1.1166242407082143</v>
      </c>
      <c r="G2145" s="8">
        <f t="shared" si="264"/>
        <v>1.0351909702293161</v>
      </c>
      <c r="H2145" s="8">
        <f t="shared" si="265"/>
        <v>1.0956231695197109</v>
      </c>
      <c r="I2145" s="8">
        <f t="shared" si="266"/>
        <v>1.0583778269211601</v>
      </c>
      <c r="J2145" s="22">
        <f t="shared" si="267"/>
        <v>8.185474249834411E-2</v>
      </c>
      <c r="K2145" s="8"/>
      <c r="L2145" s="8">
        <v>0.93428862082846664</v>
      </c>
      <c r="M2145" s="8">
        <v>0.97075398087924292</v>
      </c>
      <c r="N2145" s="8">
        <v>1.0866680551712258</v>
      </c>
      <c r="O2145" s="8">
        <v>0.78869498908532842</v>
      </c>
      <c r="P2145" s="8">
        <f t="shared" si="268"/>
        <v>0.95252130085385478</v>
      </c>
      <c r="Q2145" s="8">
        <f t="shared" si="269"/>
        <v>0.93768152212827705</v>
      </c>
      <c r="R2145" s="8">
        <f t="shared" si="270"/>
        <v>0.98442052822096981</v>
      </c>
      <c r="S2145" s="22">
        <f t="shared" si="271"/>
        <v>-2.265335211181279E-2</v>
      </c>
      <c r="T2145" s="25"/>
      <c r="U2145" s="1" t="s">
        <v>6068</v>
      </c>
    </row>
    <row r="2146" spans="1:21">
      <c r="A2146" s="6" t="s">
        <v>6069</v>
      </c>
      <c r="B2146" s="6" t="s">
        <v>6070</v>
      </c>
      <c r="C2146" s="7">
        <v>0.95196311117268517</v>
      </c>
      <c r="D2146" s="7">
        <v>1.0201776878783133</v>
      </c>
      <c r="E2146" s="7">
        <v>0.90295546635282842</v>
      </c>
      <c r="F2146" s="8">
        <v>0.94633623382218035</v>
      </c>
      <c r="G2146" s="8">
        <f t="shared" si="264"/>
        <v>0.98607039952549924</v>
      </c>
      <c r="H2146" s="8">
        <f t="shared" si="265"/>
        <v>0.92464585008750433</v>
      </c>
      <c r="I2146" s="8">
        <f t="shared" si="266"/>
        <v>0.93770774432783643</v>
      </c>
      <c r="J2146" s="22">
        <f t="shared" si="267"/>
        <v>-9.2789747314898738E-2</v>
      </c>
      <c r="K2146" s="8"/>
      <c r="L2146" s="8">
        <v>0.8919788768563558</v>
      </c>
      <c r="M2146" s="8">
        <v>0.87209253592203007</v>
      </c>
      <c r="N2146" s="8">
        <v>1.3541860757380069</v>
      </c>
      <c r="O2146" s="8">
        <v>0.94970001597398657</v>
      </c>
      <c r="P2146" s="8">
        <f t="shared" si="268"/>
        <v>0.88203570638919293</v>
      </c>
      <c r="Q2146" s="8">
        <f t="shared" si="269"/>
        <v>1.1519430458559967</v>
      </c>
      <c r="R2146" s="8">
        <f t="shared" si="270"/>
        <v>1.3060050035522131</v>
      </c>
      <c r="S2146" s="22">
        <f t="shared" si="271"/>
        <v>0.38516042413253421</v>
      </c>
      <c r="T2146" s="25"/>
      <c r="U2146" s="1" t="s">
        <v>6071</v>
      </c>
    </row>
    <row r="2147" spans="1:21">
      <c r="A2147" s="6" t="s">
        <v>6072</v>
      </c>
      <c r="B2147" s="13" t="s">
        <v>6073</v>
      </c>
      <c r="C2147" s="14">
        <v>0.13056941715659975</v>
      </c>
      <c r="D2147" s="14">
        <v>0.12634960444314247</v>
      </c>
      <c r="E2147" s="14">
        <v>0.26720837190887908</v>
      </c>
      <c r="F2147" s="8">
        <v>0.27605608253635583</v>
      </c>
      <c r="G2147" s="8">
        <f t="shared" si="264"/>
        <v>0.12845951079987111</v>
      </c>
      <c r="H2147" s="8">
        <f t="shared" si="265"/>
        <v>0.27163222722261748</v>
      </c>
      <c r="I2147" s="8">
        <f t="shared" si="266"/>
        <v>2.1145357438406966</v>
      </c>
      <c r="J2147" s="22">
        <f t="shared" si="267"/>
        <v>1.0803409477045571</v>
      </c>
      <c r="K2147" s="8"/>
      <c r="L2147" s="8">
        <v>1.2603449267372755</v>
      </c>
      <c r="M2147" s="8">
        <v>1.3751026356731533</v>
      </c>
      <c r="N2147" s="8">
        <v>1.5545838645936649</v>
      </c>
      <c r="O2147" s="8">
        <v>1.4018919472768072</v>
      </c>
      <c r="P2147" s="8">
        <f t="shared" si="268"/>
        <v>1.3177237812052143</v>
      </c>
      <c r="Q2147" s="8">
        <f t="shared" si="269"/>
        <v>1.4782379059352362</v>
      </c>
      <c r="R2147" s="8">
        <f t="shared" si="270"/>
        <v>1.121811662671226</v>
      </c>
      <c r="S2147" s="22">
        <f t="shared" si="271"/>
        <v>0.16583048687585381</v>
      </c>
      <c r="T2147" s="25"/>
      <c r="U2147" s="1" t="s">
        <v>6074</v>
      </c>
    </row>
    <row r="2148" spans="1:21">
      <c r="A2148" s="6" t="s">
        <v>6075</v>
      </c>
      <c r="B2148" s="6" t="s">
        <v>6076</v>
      </c>
      <c r="C2148" s="7">
        <v>0.96017933039596359</v>
      </c>
      <c r="D2148" s="7">
        <v>1.1572916804207323</v>
      </c>
      <c r="E2148" s="7">
        <v>0.91510900623221603</v>
      </c>
      <c r="F2148" s="8">
        <v>1.0418471596585221</v>
      </c>
      <c r="G2148" s="8">
        <f t="shared" si="264"/>
        <v>1.058735505408348</v>
      </c>
      <c r="H2148" s="8">
        <f t="shared" si="265"/>
        <v>0.97847808294536909</v>
      </c>
      <c r="I2148" s="8">
        <f t="shared" si="266"/>
        <v>0.92419502127490838</v>
      </c>
      <c r="J2148" s="22">
        <f t="shared" si="267"/>
        <v>-0.11373077729521407</v>
      </c>
      <c r="K2148" s="8"/>
      <c r="L2148" s="8">
        <v>0.99687277529789931</v>
      </c>
      <c r="M2148" s="8">
        <v>1.1416272068264157</v>
      </c>
      <c r="N2148" s="8">
        <v>1.3350412332752561</v>
      </c>
      <c r="O2148" s="8">
        <v>0.61824909691159846</v>
      </c>
      <c r="P2148" s="8">
        <f t="shared" si="268"/>
        <v>1.0692499910621576</v>
      </c>
      <c r="Q2148" s="8">
        <f t="shared" si="269"/>
        <v>0.97664516509342736</v>
      </c>
      <c r="R2148" s="8">
        <f t="shared" si="270"/>
        <v>0.91339272691810858</v>
      </c>
      <c r="S2148" s="22">
        <f t="shared" si="271"/>
        <v>-0.13069279288836297</v>
      </c>
      <c r="T2148" s="25"/>
      <c r="U2148" s="1" t="s">
        <v>6077</v>
      </c>
    </row>
    <row r="2149" spans="1:21">
      <c r="A2149" s="6" t="s">
        <v>6078</v>
      </c>
      <c r="B2149" s="13" t="s">
        <v>6079</v>
      </c>
      <c r="C2149" s="14">
        <v>1.0131359063341498</v>
      </c>
      <c r="D2149" s="14">
        <v>1.1741660183772504</v>
      </c>
      <c r="E2149" s="14">
        <v>1.0642144644595983</v>
      </c>
      <c r="F2149" s="8">
        <v>0.97652808404517988</v>
      </c>
      <c r="G2149" s="8">
        <f t="shared" si="264"/>
        <v>1.0936509623557003</v>
      </c>
      <c r="H2149" s="8">
        <f t="shared" si="265"/>
        <v>1.0203712742523892</v>
      </c>
      <c r="I2149" s="8">
        <f t="shared" si="266"/>
        <v>0.93299536083663448</v>
      </c>
      <c r="J2149" s="22">
        <f t="shared" si="267"/>
        <v>-0.10005818735225859</v>
      </c>
      <c r="K2149" s="8"/>
      <c r="L2149" s="8">
        <v>1.0108173815789212</v>
      </c>
      <c r="M2149" s="8">
        <v>0.77385092690080537</v>
      </c>
      <c r="N2149" s="8">
        <v>0.64180535486813439</v>
      </c>
      <c r="O2149" s="8">
        <v>0.56481890256851597</v>
      </c>
      <c r="P2149" s="8">
        <f t="shared" si="268"/>
        <v>0.89233415423986329</v>
      </c>
      <c r="Q2149" s="8">
        <f t="shared" si="269"/>
        <v>0.60331212871832518</v>
      </c>
      <c r="R2149" s="8">
        <f t="shared" si="270"/>
        <v>0.67610561116789025</v>
      </c>
      <c r="S2149" s="22">
        <f t="shared" si="271"/>
        <v>-0.56467947440433575</v>
      </c>
      <c r="T2149" s="25"/>
      <c r="U2149" s="1" t="s">
        <v>6080</v>
      </c>
    </row>
    <row r="2150" spans="1:21">
      <c r="A2150" s="6" t="s">
        <v>6081</v>
      </c>
      <c r="B2150" s="6" t="s">
        <v>6082</v>
      </c>
      <c r="C2150" s="7">
        <v>0.9752652218031499</v>
      </c>
      <c r="D2150" s="7">
        <v>1.1579954442786344</v>
      </c>
      <c r="E2150" s="7">
        <v>1.0645789011505424</v>
      </c>
      <c r="F2150" s="8">
        <v>0.97853911769877699</v>
      </c>
      <c r="G2150" s="8">
        <f t="shared" si="264"/>
        <v>1.0666303330408922</v>
      </c>
      <c r="H2150" s="8">
        <f t="shared" si="265"/>
        <v>1.0215590094246596</v>
      </c>
      <c r="I2150" s="8">
        <f t="shared" si="266"/>
        <v>0.95774419475983097</v>
      </c>
      <c r="J2150" s="22">
        <f t="shared" si="267"/>
        <v>-6.22877189174924E-2</v>
      </c>
      <c r="K2150" s="8"/>
      <c r="L2150" s="8">
        <v>0.99244667159777977</v>
      </c>
      <c r="M2150" s="8">
        <v>1.0860689179639853</v>
      </c>
      <c r="N2150" s="8">
        <v>0.70920879430799666</v>
      </c>
      <c r="O2150" s="8">
        <v>0.43392258118360061</v>
      </c>
      <c r="P2150" s="8">
        <f t="shared" si="268"/>
        <v>1.0392577947808825</v>
      </c>
      <c r="Q2150" s="8">
        <f t="shared" si="269"/>
        <v>0.57156568774579863</v>
      </c>
      <c r="R2150" s="8">
        <f t="shared" si="270"/>
        <v>0.54997488651630244</v>
      </c>
      <c r="S2150" s="22">
        <f t="shared" si="271"/>
        <v>-0.86256235247840518</v>
      </c>
      <c r="T2150" s="25"/>
      <c r="U2150" s="1" t="s">
        <v>6083</v>
      </c>
    </row>
    <row r="2151" spans="1:21">
      <c r="A2151" s="6" t="s">
        <v>6084</v>
      </c>
      <c r="B2151" s="13" t="s">
        <v>6085</v>
      </c>
      <c r="C2151" s="14">
        <v>0.92567120965819427</v>
      </c>
      <c r="D2151" s="14">
        <v>1.1374583353343981</v>
      </c>
      <c r="E2151" s="14">
        <v>1.0657315381265513</v>
      </c>
      <c r="F2151" s="8">
        <v>1.0579969015317323</v>
      </c>
      <c r="G2151" s="8">
        <f t="shared" si="264"/>
        <v>1.0315647724962962</v>
      </c>
      <c r="H2151" s="8">
        <f t="shared" si="265"/>
        <v>1.0618642198291419</v>
      </c>
      <c r="I2151" s="8">
        <f t="shared" si="266"/>
        <v>1.0293723168342825</v>
      </c>
      <c r="J2151" s="22">
        <f t="shared" si="267"/>
        <v>4.1764889422260823E-2</v>
      </c>
      <c r="K2151" s="8"/>
      <c r="L2151" s="8">
        <v>1.2438779172723144</v>
      </c>
      <c r="M2151" s="8">
        <v>1.1944798863235893</v>
      </c>
      <c r="N2151" s="8">
        <v>1.2454343079022627</v>
      </c>
      <c r="O2151" s="8">
        <v>1.1516835013702809</v>
      </c>
      <c r="P2151" s="8">
        <f t="shared" si="268"/>
        <v>1.2191789017979517</v>
      </c>
      <c r="Q2151" s="8">
        <f t="shared" si="269"/>
        <v>1.1985589046362719</v>
      </c>
      <c r="R2151" s="8">
        <f t="shared" si="270"/>
        <v>0.98308697999016303</v>
      </c>
      <c r="S2151" s="22">
        <f t="shared" si="271"/>
        <v>-2.460902822074916E-2</v>
      </c>
      <c r="T2151" s="25"/>
      <c r="U2151" s="1" t="s">
        <v>6086</v>
      </c>
    </row>
    <row r="2152" spans="1:21">
      <c r="A2152" s="6" t="s">
        <v>6087</v>
      </c>
      <c r="B2152" s="6" t="s">
        <v>6088</v>
      </c>
      <c r="C2152" s="7">
        <v>0.88088520728093489</v>
      </c>
      <c r="D2152" s="7">
        <v>1.0802775218798459</v>
      </c>
      <c r="E2152" s="7">
        <v>0.9898270031476144</v>
      </c>
      <c r="F2152" s="8">
        <v>1.0082479685726593</v>
      </c>
      <c r="G2152" s="8">
        <f t="shared" si="264"/>
        <v>0.98058136458039047</v>
      </c>
      <c r="H2152" s="8">
        <f t="shared" si="265"/>
        <v>0.99903748586013685</v>
      </c>
      <c r="I2152" s="8">
        <f t="shared" si="266"/>
        <v>1.0188216112873449</v>
      </c>
      <c r="J2152" s="22">
        <f t="shared" si="267"/>
        <v>2.6901467557879994E-2</v>
      </c>
      <c r="K2152" s="8"/>
      <c r="L2152" s="8">
        <v>1.2286959056557751</v>
      </c>
      <c r="M2152" s="8">
        <v>0.60274445876697247</v>
      </c>
      <c r="N2152" s="8">
        <v>0.69300931222413065</v>
      </c>
      <c r="O2152" s="8">
        <v>0.68663158059806495</v>
      </c>
      <c r="P2152" s="8">
        <f t="shared" si="268"/>
        <v>0.91572018221137386</v>
      </c>
      <c r="Q2152" s="8">
        <f t="shared" si="269"/>
        <v>0.68982044641109774</v>
      </c>
      <c r="R2152" s="8">
        <f t="shared" si="270"/>
        <v>0.75330920931026057</v>
      </c>
      <c r="S2152" s="22">
        <f t="shared" si="271"/>
        <v>-0.40868592830068073</v>
      </c>
      <c r="T2152" s="25"/>
      <c r="U2152" s="1" t="s">
        <v>6089</v>
      </c>
    </row>
    <row r="2153" spans="1:21">
      <c r="A2153" s="6" t="s">
        <v>6090</v>
      </c>
      <c r="B2153" s="13" t="s">
        <v>6091</v>
      </c>
      <c r="C2153" s="14">
        <v>0.98724720817043088</v>
      </c>
      <c r="D2153" s="14">
        <v>1.1956787999426692</v>
      </c>
      <c r="E2153" s="14">
        <v>1.0585021312108485</v>
      </c>
      <c r="F2153" s="8">
        <v>1.0339874429774329</v>
      </c>
      <c r="G2153" s="8">
        <f t="shared" si="264"/>
        <v>1.0914630040565501</v>
      </c>
      <c r="H2153" s="8">
        <f t="shared" si="265"/>
        <v>1.0462447870941407</v>
      </c>
      <c r="I2153" s="8">
        <f t="shared" si="266"/>
        <v>0.95857100351147906</v>
      </c>
      <c r="J2153" s="22">
        <f t="shared" si="267"/>
        <v>-6.1042795367483638E-2</v>
      </c>
      <c r="K2153" s="8"/>
      <c r="L2153" s="8">
        <v>1.3459162649395873</v>
      </c>
      <c r="M2153" s="8">
        <v>1.2343176518051304</v>
      </c>
      <c r="N2153" s="8">
        <v>0.9434782275208291</v>
      </c>
      <c r="O2153" s="8">
        <v>1.1563784181606951</v>
      </c>
      <c r="P2153" s="8">
        <f t="shared" si="268"/>
        <v>1.2901169583723588</v>
      </c>
      <c r="Q2153" s="8">
        <f t="shared" si="269"/>
        <v>1.0499283228407621</v>
      </c>
      <c r="R2153" s="8">
        <f t="shared" si="270"/>
        <v>0.81382413898765871</v>
      </c>
      <c r="S2153" s="22">
        <f t="shared" si="271"/>
        <v>-0.2972110217978034</v>
      </c>
      <c r="T2153" s="25"/>
      <c r="U2153" s="1" t="s">
        <v>6092</v>
      </c>
    </row>
    <row r="2154" spans="1:21">
      <c r="A2154" s="6" t="s">
        <v>6093</v>
      </c>
      <c r="B2154" s="9" t="s">
        <v>6094</v>
      </c>
      <c r="C2154" s="10">
        <v>1.0183775498941858</v>
      </c>
      <c r="D2154" s="10">
        <v>1.0769986220873471</v>
      </c>
      <c r="E2154" s="10">
        <v>1.0493064612184249</v>
      </c>
      <c r="F2154" s="8">
        <v>1.1194871095775272</v>
      </c>
      <c r="G2154" s="8">
        <f t="shared" si="264"/>
        <v>1.0476880859907665</v>
      </c>
      <c r="H2154" s="8">
        <f t="shared" si="265"/>
        <v>1.0843967853979759</v>
      </c>
      <c r="I2154" s="8">
        <f t="shared" si="266"/>
        <v>1.0350378131602931</v>
      </c>
      <c r="J2154" s="22">
        <f t="shared" si="267"/>
        <v>4.9683474837962843E-2</v>
      </c>
      <c r="K2154" s="8"/>
      <c r="L2154" s="8">
        <v>1.148121781308437</v>
      </c>
      <c r="M2154" s="8">
        <v>1.2606273704603872</v>
      </c>
      <c r="N2154" s="8">
        <v>0.99553180806304209</v>
      </c>
      <c r="O2154" s="8">
        <v>1.3056461530733179</v>
      </c>
      <c r="P2154" s="8">
        <f t="shared" si="268"/>
        <v>1.2043745758844122</v>
      </c>
      <c r="Q2154" s="8">
        <f t="shared" si="269"/>
        <v>1.1505889805681799</v>
      </c>
      <c r="R2154" s="8">
        <f t="shared" si="270"/>
        <v>0.95534147233493727</v>
      </c>
      <c r="S2154" s="22">
        <f t="shared" si="271"/>
        <v>-6.591160007374923E-2</v>
      </c>
      <c r="T2154" s="25"/>
      <c r="U2154" s="1" t="s">
        <v>6095</v>
      </c>
    </row>
    <row r="2155" spans="1:21">
      <c r="A2155" s="6" t="s">
        <v>6096</v>
      </c>
      <c r="B2155" s="13" t="s">
        <v>6097</v>
      </c>
      <c r="C2155" s="14">
        <v>0.94631826426187726</v>
      </c>
      <c r="D2155" s="14">
        <v>0.99289884106803672</v>
      </c>
      <c r="E2155" s="14">
        <v>0.8670542146589052</v>
      </c>
      <c r="F2155" s="8">
        <v>0.92384602776601343</v>
      </c>
      <c r="G2155" s="8">
        <f t="shared" si="264"/>
        <v>0.96960855266495694</v>
      </c>
      <c r="H2155" s="8">
        <f t="shared" si="265"/>
        <v>0.89545012121245926</v>
      </c>
      <c r="I2155" s="8">
        <f t="shared" si="266"/>
        <v>0.9235171438528732</v>
      </c>
      <c r="J2155" s="22">
        <f t="shared" si="267"/>
        <v>-0.11478935173925929</v>
      </c>
      <c r="K2155" s="8"/>
      <c r="L2155" s="8">
        <v>0.99701555283661292</v>
      </c>
      <c r="M2155" s="8">
        <v>1.1858032769798343</v>
      </c>
      <c r="N2155" s="8">
        <v>1.3775223925860938</v>
      </c>
      <c r="O2155" s="8">
        <v>1.2218520947052747</v>
      </c>
      <c r="P2155" s="8">
        <f t="shared" si="268"/>
        <v>1.0914094149082236</v>
      </c>
      <c r="Q2155" s="8">
        <f t="shared" si="269"/>
        <v>1.2996872436456841</v>
      </c>
      <c r="R2155" s="8">
        <f t="shared" si="270"/>
        <v>1.1908338208306317</v>
      </c>
      <c r="S2155" s="22">
        <f t="shared" si="271"/>
        <v>0.25197210120297903</v>
      </c>
      <c r="T2155" s="25"/>
      <c r="U2155" s="1" t="s">
        <v>6098</v>
      </c>
    </row>
    <row r="2156" spans="1:21">
      <c r="A2156" s="6" t="s">
        <v>6099</v>
      </c>
      <c r="B2156" s="6" t="s">
        <v>6100</v>
      </c>
      <c r="C2156" s="7">
        <v>1.0000888545119995</v>
      </c>
      <c r="D2156" s="7">
        <v>1.0479363736826139</v>
      </c>
      <c r="E2156" s="7">
        <v>0.97948717145106423</v>
      </c>
      <c r="F2156" s="8">
        <v>0.87341211391182894</v>
      </c>
      <c r="G2156" s="8">
        <f t="shared" si="264"/>
        <v>1.0240126140973067</v>
      </c>
      <c r="H2156" s="8">
        <f t="shared" si="265"/>
        <v>0.92644964268144658</v>
      </c>
      <c r="I2156" s="8">
        <f t="shared" si="266"/>
        <v>0.90472483436948248</v>
      </c>
      <c r="J2156" s="22">
        <f t="shared" si="267"/>
        <v>-0.14444902142498717</v>
      </c>
      <c r="K2156" s="8"/>
      <c r="L2156" s="8">
        <v>1.2152748170167029</v>
      </c>
      <c r="M2156" s="8">
        <v>1.1037020272754872</v>
      </c>
      <c r="N2156" s="8">
        <v>1.0167157461727132</v>
      </c>
      <c r="O2156" s="8">
        <v>1.2604830948177037</v>
      </c>
      <c r="P2156" s="8">
        <f t="shared" si="268"/>
        <v>1.159488422146095</v>
      </c>
      <c r="Q2156" s="8">
        <f t="shared" si="269"/>
        <v>1.1385994204952086</v>
      </c>
      <c r="R2156" s="8">
        <f t="shared" si="270"/>
        <v>0.98198429475283322</v>
      </c>
      <c r="S2156" s="22">
        <f t="shared" si="271"/>
        <v>-2.6228143731702059E-2</v>
      </c>
      <c r="T2156" s="25"/>
      <c r="U2156" s="1" t="s">
        <v>6101</v>
      </c>
    </row>
    <row r="2157" spans="1:21">
      <c r="A2157" s="6" t="s">
        <v>6102</v>
      </c>
      <c r="B2157" s="13" t="s">
        <v>6103</v>
      </c>
      <c r="C2157" s="14">
        <v>0.98086442305160626</v>
      </c>
      <c r="D2157" s="14">
        <v>1.1062448087731229</v>
      </c>
      <c r="E2157" s="14">
        <v>1.132067491150238</v>
      </c>
      <c r="F2157" s="8">
        <v>1.0793103455373227</v>
      </c>
      <c r="G2157" s="8">
        <f t="shared" si="264"/>
        <v>1.0435546159123645</v>
      </c>
      <c r="H2157" s="8">
        <f t="shared" si="265"/>
        <v>1.1056889183437804</v>
      </c>
      <c r="I2157" s="8">
        <f t="shared" si="266"/>
        <v>1.0595410163339585</v>
      </c>
      <c r="J2157" s="22">
        <f t="shared" si="267"/>
        <v>8.3439437560225829E-2</v>
      </c>
      <c r="K2157" s="8"/>
      <c r="L2157" s="8">
        <v>1.0369456711634981</v>
      </c>
      <c r="M2157" s="8">
        <v>1.0495431915330171</v>
      </c>
      <c r="N2157" s="8">
        <v>1.2230042557861405</v>
      </c>
      <c r="O2157" s="8">
        <v>1.0285439990303975</v>
      </c>
      <c r="P2157" s="8">
        <f t="shared" si="268"/>
        <v>1.0432444313482576</v>
      </c>
      <c r="Q2157" s="8">
        <f t="shared" si="269"/>
        <v>1.1257741274082691</v>
      </c>
      <c r="R2157" s="8">
        <f t="shared" si="270"/>
        <v>1.0791086859225816</v>
      </c>
      <c r="S2157" s="22">
        <f t="shared" si="271"/>
        <v>0.10984017784253397</v>
      </c>
      <c r="T2157" s="25"/>
      <c r="U2157" s="1" t="s">
        <v>6104</v>
      </c>
    </row>
    <row r="2158" spans="1:21">
      <c r="A2158" s="6" t="s">
        <v>6105</v>
      </c>
      <c r="B2158" s="13" t="s">
        <v>80</v>
      </c>
      <c r="C2158" s="14">
        <v>1.2227636106836288</v>
      </c>
      <c r="D2158" s="14">
        <v>1.1408891841416713</v>
      </c>
      <c r="E2158" s="14">
        <v>1.0400684148665891</v>
      </c>
      <c r="F2158" s="8">
        <v>1.0113830734387474</v>
      </c>
      <c r="G2158" s="8">
        <f t="shared" si="264"/>
        <v>1.1818263974126499</v>
      </c>
      <c r="H2158" s="8">
        <f t="shared" si="265"/>
        <v>1.0257257441526684</v>
      </c>
      <c r="I2158" s="8">
        <f t="shared" si="266"/>
        <v>0.86791575006132049</v>
      </c>
      <c r="J2158" s="22">
        <f t="shared" si="267"/>
        <v>-0.20437309008386853</v>
      </c>
      <c r="K2158" s="8"/>
      <c r="L2158" s="8">
        <v>1.0793506001614179</v>
      </c>
      <c r="M2158" s="8">
        <v>0.87927639527116042</v>
      </c>
      <c r="N2158" s="8">
        <v>0.98069172307712282</v>
      </c>
      <c r="O2158" s="8">
        <v>0.88162372251298182</v>
      </c>
      <c r="P2158" s="8">
        <f t="shared" si="268"/>
        <v>0.97931349771628917</v>
      </c>
      <c r="Q2158" s="8">
        <f t="shared" si="269"/>
        <v>0.93115772279505227</v>
      </c>
      <c r="R2158" s="8">
        <f t="shared" si="270"/>
        <v>0.95082700786465846</v>
      </c>
      <c r="S2158" s="22">
        <f t="shared" si="271"/>
        <v>-7.2745211843633945E-2</v>
      </c>
      <c r="T2158" s="25"/>
      <c r="U2158" s="1">
        <v>0</v>
      </c>
    </row>
    <row r="2159" spans="1:21">
      <c r="A2159" s="6" t="s">
        <v>6106</v>
      </c>
      <c r="B2159" s="13" t="s">
        <v>6107</v>
      </c>
      <c r="C2159" s="14">
        <v>1.0560580441653877</v>
      </c>
      <c r="D2159" s="14">
        <v>1.2243571771521831</v>
      </c>
      <c r="E2159" s="14">
        <v>1.3570181574533802</v>
      </c>
      <c r="F2159" s="8">
        <v>1.1705269680696953</v>
      </c>
      <c r="G2159" s="8">
        <f t="shared" si="264"/>
        <v>1.1402076106587855</v>
      </c>
      <c r="H2159" s="8">
        <f t="shared" si="265"/>
        <v>1.2637725627615377</v>
      </c>
      <c r="I2159" s="8">
        <f t="shared" si="266"/>
        <v>1.1083705729971047</v>
      </c>
      <c r="J2159" s="22">
        <f t="shared" si="267"/>
        <v>0.14844031319404344</v>
      </c>
      <c r="K2159" s="8"/>
      <c r="L2159" s="8">
        <v>0.66900795389871914</v>
      </c>
      <c r="M2159" s="8">
        <v>0.61566607590794076</v>
      </c>
      <c r="N2159" s="8">
        <v>0.84764073211557944</v>
      </c>
      <c r="O2159" s="8">
        <v>0.61824909691159846</v>
      </c>
      <c r="P2159" s="8">
        <f t="shared" si="268"/>
        <v>0.64233701490332995</v>
      </c>
      <c r="Q2159" s="8">
        <f t="shared" si="269"/>
        <v>0.7329449145135889</v>
      </c>
      <c r="R2159" s="8">
        <f t="shared" si="270"/>
        <v>1.1410597513579304</v>
      </c>
      <c r="S2159" s="22">
        <f t="shared" si="271"/>
        <v>0.19037434003214443</v>
      </c>
      <c r="T2159" s="25"/>
      <c r="U2159" s="1" t="s">
        <v>6108</v>
      </c>
    </row>
    <row r="2160" spans="1:21">
      <c r="A2160" s="6" t="s">
        <v>6109</v>
      </c>
      <c r="B2160" s="11" t="s">
        <v>6110</v>
      </c>
      <c r="C2160" s="12">
        <v>1.0238854598179392</v>
      </c>
      <c r="D2160" s="12">
        <v>1.0454412109136881</v>
      </c>
      <c r="E2160" s="12">
        <v>1.0559934507336528</v>
      </c>
      <c r="F2160" s="8">
        <v>0.89295163303520697</v>
      </c>
      <c r="G2160" s="8">
        <f t="shared" si="264"/>
        <v>1.0346633353658137</v>
      </c>
      <c r="H2160" s="8">
        <f t="shared" si="265"/>
        <v>0.97447254188442989</v>
      </c>
      <c r="I2160" s="8">
        <f t="shared" si="266"/>
        <v>0.94182572105920537</v>
      </c>
      <c r="J2160" s="22">
        <f t="shared" si="267"/>
        <v>-8.6467972018602415E-2</v>
      </c>
      <c r="K2160" s="8"/>
      <c r="L2160" s="8">
        <v>1.2039002064325246</v>
      </c>
      <c r="M2160" s="8">
        <v>0.94742976221323516</v>
      </c>
      <c r="N2160" s="8">
        <v>1.0421478002134679</v>
      </c>
      <c r="O2160" s="8">
        <v>0.88550213203549777</v>
      </c>
      <c r="P2160" s="8">
        <f t="shared" si="268"/>
        <v>1.0756649843228798</v>
      </c>
      <c r="Q2160" s="8">
        <f t="shared" si="269"/>
        <v>0.96382496612448287</v>
      </c>
      <c r="R2160" s="8">
        <f t="shared" si="270"/>
        <v>0.89602709037814487</v>
      </c>
      <c r="S2160" s="22">
        <f t="shared" si="271"/>
        <v>-0.15838574367213729</v>
      </c>
      <c r="T2160" s="25"/>
      <c r="U2160" s="1" t="s">
        <v>6111</v>
      </c>
    </row>
    <row r="2161" spans="1:21">
      <c r="A2161" s="6" t="s">
        <v>6112</v>
      </c>
      <c r="B2161" s="13" t="s">
        <v>6113</v>
      </c>
      <c r="C2161" s="14">
        <v>1.0498350188647936</v>
      </c>
      <c r="D2161" s="14">
        <v>1.0895224198313791</v>
      </c>
      <c r="E2161" s="14">
        <v>0.99823447285497313</v>
      </c>
      <c r="F2161" s="8">
        <v>1.0441919019533277</v>
      </c>
      <c r="G2161" s="8">
        <f t="shared" si="264"/>
        <v>1.0696787193480863</v>
      </c>
      <c r="H2161" s="8">
        <f t="shared" si="265"/>
        <v>1.0212131874041503</v>
      </c>
      <c r="I2161" s="8">
        <f t="shared" si="266"/>
        <v>0.954691505900507</v>
      </c>
      <c r="J2161" s="22">
        <f t="shared" si="267"/>
        <v>-6.6893471484951533E-2</v>
      </c>
      <c r="K2161" s="8"/>
      <c r="L2161" s="8">
        <v>1.2446393974787866</v>
      </c>
      <c r="M2161" s="8">
        <v>1.2528837298632727</v>
      </c>
      <c r="N2161" s="8">
        <v>1.4154155866913609</v>
      </c>
      <c r="O2161" s="8">
        <v>1.18286387266314</v>
      </c>
      <c r="P2161" s="8">
        <f t="shared" si="268"/>
        <v>1.2487615636710296</v>
      </c>
      <c r="Q2161" s="8">
        <f t="shared" si="269"/>
        <v>1.2991397296772504</v>
      </c>
      <c r="R2161" s="8">
        <f t="shared" si="270"/>
        <v>1.0403425021011394</v>
      </c>
      <c r="S2161" s="22">
        <f t="shared" si="271"/>
        <v>5.7058571381422292E-2</v>
      </c>
      <c r="T2161" s="25"/>
      <c r="U2161" s="1" t="s">
        <v>6114</v>
      </c>
    </row>
    <row r="2162" spans="1:21">
      <c r="A2162" s="6" t="s">
        <v>6115</v>
      </c>
      <c r="B2162" s="13" t="s">
        <v>5851</v>
      </c>
      <c r="C2162" s="14">
        <v>1.0632548435961484</v>
      </c>
      <c r="D2162" s="14">
        <v>1.0877550128700566</v>
      </c>
      <c r="E2162" s="14">
        <v>1.0763934301546332</v>
      </c>
      <c r="F2162" s="8">
        <v>1.0427341220996285</v>
      </c>
      <c r="G2162" s="8">
        <f t="shared" si="264"/>
        <v>1.0755049282331024</v>
      </c>
      <c r="H2162" s="8">
        <f t="shared" si="265"/>
        <v>1.0595637761271308</v>
      </c>
      <c r="I2162" s="8">
        <f t="shared" si="266"/>
        <v>0.98517798320816574</v>
      </c>
      <c r="J2162" s="22">
        <f t="shared" si="267"/>
        <v>-2.1543708089180057E-2</v>
      </c>
      <c r="K2162" s="8"/>
      <c r="L2162" s="8">
        <v>1.1854343114255741</v>
      </c>
      <c r="M2162" s="8">
        <v>1.0419394962478985</v>
      </c>
      <c r="N2162" s="8">
        <v>0.94761306036041726</v>
      </c>
      <c r="O2162" s="8">
        <v>1.1569907986116186</v>
      </c>
      <c r="P2162" s="8">
        <f t="shared" si="268"/>
        <v>1.1136869038367363</v>
      </c>
      <c r="Q2162" s="8">
        <f t="shared" si="269"/>
        <v>1.0523019294860179</v>
      </c>
      <c r="R2162" s="8">
        <f t="shared" si="270"/>
        <v>0.94488129999621751</v>
      </c>
      <c r="S2162" s="22">
        <f t="shared" si="271"/>
        <v>-8.1794991651858356E-2</v>
      </c>
      <c r="T2162" s="25"/>
      <c r="U2162" s="1">
        <v>0</v>
      </c>
    </row>
    <row r="2163" spans="1:21">
      <c r="A2163" s="6" t="s">
        <v>6116</v>
      </c>
      <c r="B2163" s="13" t="s">
        <v>80</v>
      </c>
      <c r="C2163" s="14">
        <v>0.86732083795213355</v>
      </c>
      <c r="D2163" s="14">
        <v>1.0567094299566899</v>
      </c>
      <c r="E2163" s="14">
        <v>1.0614769516415774</v>
      </c>
      <c r="F2163" s="8">
        <v>0.97422725078211247</v>
      </c>
      <c r="G2163" s="8">
        <f t="shared" si="264"/>
        <v>0.96201513395441174</v>
      </c>
      <c r="H2163" s="8">
        <f t="shared" si="265"/>
        <v>1.0178521012118449</v>
      </c>
      <c r="I2163" s="8">
        <f t="shared" si="266"/>
        <v>1.058041672408949</v>
      </c>
      <c r="J2163" s="22">
        <f t="shared" si="267"/>
        <v>8.1396451075522555E-2</v>
      </c>
      <c r="K2163" s="8"/>
      <c r="L2163" s="8">
        <v>1.0380402989603019</v>
      </c>
      <c r="M2163" s="8">
        <v>1.0679693242791632</v>
      </c>
      <c r="N2163" s="8">
        <v>0.92625919761350295</v>
      </c>
      <c r="O2163" s="8">
        <v>1.1977140985980368</v>
      </c>
      <c r="P2163" s="8">
        <f t="shared" si="268"/>
        <v>1.0530048116197326</v>
      </c>
      <c r="Q2163" s="8">
        <f t="shared" si="269"/>
        <v>1.0619866481057698</v>
      </c>
      <c r="R2163" s="8">
        <f t="shared" si="270"/>
        <v>1.008529720269959</v>
      </c>
      <c r="S2163" s="22">
        <f t="shared" si="271"/>
        <v>1.2253599225345571E-2</v>
      </c>
      <c r="T2163" s="25"/>
      <c r="U2163" s="1">
        <v>0</v>
      </c>
    </row>
    <row r="2164" spans="1:21">
      <c r="A2164" s="6" t="s">
        <v>6117</v>
      </c>
      <c r="B2164" s="13" t="s">
        <v>80</v>
      </c>
      <c r="C2164" s="14">
        <v>1.1319363502144424</v>
      </c>
      <c r="D2164" s="14">
        <v>1.1357709015387463</v>
      </c>
      <c r="E2164" s="14">
        <v>1.0959374071154895</v>
      </c>
      <c r="F2164" s="8">
        <v>0.99164157276937492</v>
      </c>
      <c r="G2164" s="8">
        <f t="shared" si="264"/>
        <v>1.1338536258765943</v>
      </c>
      <c r="H2164" s="8">
        <f t="shared" si="265"/>
        <v>1.0437894899424323</v>
      </c>
      <c r="I2164" s="8">
        <f t="shared" si="266"/>
        <v>0.92056811048733689</v>
      </c>
      <c r="J2164" s="22">
        <f t="shared" si="267"/>
        <v>-0.119403628035568</v>
      </c>
      <c r="K2164" s="8"/>
      <c r="L2164" s="8">
        <v>1.2457340252755904</v>
      </c>
      <c r="M2164" s="8">
        <v>1.2481722376927391</v>
      </c>
      <c r="N2164" s="8">
        <v>1.1766714713644535</v>
      </c>
      <c r="O2164" s="8">
        <v>1.5096709066393574</v>
      </c>
      <c r="P2164" s="8">
        <f t="shared" si="268"/>
        <v>1.2469531314841649</v>
      </c>
      <c r="Q2164" s="8">
        <f t="shared" si="269"/>
        <v>1.3431711890019056</v>
      </c>
      <c r="R2164" s="8">
        <f t="shared" si="270"/>
        <v>1.0771625292790425</v>
      </c>
      <c r="S2164" s="22">
        <f t="shared" si="271"/>
        <v>0.10723594950518223</v>
      </c>
      <c r="T2164" s="25"/>
      <c r="U2164" s="1">
        <v>0</v>
      </c>
    </row>
    <row r="2165" spans="1:21">
      <c r="A2165" s="6" t="s">
        <v>6118</v>
      </c>
      <c r="B2165" s="13" t="s">
        <v>6119</v>
      </c>
      <c r="C2165" s="14">
        <v>0.81634984832623958</v>
      </c>
      <c r="D2165" s="14">
        <v>0.90937486684155522</v>
      </c>
      <c r="E2165" s="14">
        <v>1.1526454512807491</v>
      </c>
      <c r="F2165" s="8">
        <v>1.0696854857803688</v>
      </c>
      <c r="G2165" s="8">
        <f t="shared" si="264"/>
        <v>0.8628623575838974</v>
      </c>
      <c r="H2165" s="8">
        <f t="shared" si="265"/>
        <v>1.111165468530559</v>
      </c>
      <c r="I2165" s="8">
        <f t="shared" si="266"/>
        <v>1.28776676692901</v>
      </c>
      <c r="J2165" s="22">
        <f t="shared" si="267"/>
        <v>0.36487132430337538</v>
      </c>
      <c r="K2165" s="8"/>
      <c r="L2165" s="8">
        <v>1.0153862628177543</v>
      </c>
      <c r="M2165" s="8">
        <v>1.034242504088116</v>
      </c>
      <c r="N2165" s="8">
        <v>1.3849424350790533</v>
      </c>
      <c r="O2165" s="8">
        <v>1.1329038342086244</v>
      </c>
      <c r="P2165" s="8">
        <f t="shared" si="268"/>
        <v>1.0248143834529353</v>
      </c>
      <c r="Q2165" s="8">
        <f t="shared" si="269"/>
        <v>1.258923134643839</v>
      </c>
      <c r="R2165" s="8">
        <f t="shared" si="270"/>
        <v>1.2284401497197128</v>
      </c>
      <c r="S2165" s="22">
        <f t="shared" si="271"/>
        <v>0.29682757051575787</v>
      </c>
      <c r="T2165" s="25"/>
      <c r="U2165" s="1" t="s">
        <v>6120</v>
      </c>
    </row>
    <row r="2166" spans="1:21">
      <c r="A2166" s="6" t="s">
        <v>6121</v>
      </c>
      <c r="B2166" s="13" t="s">
        <v>6122</v>
      </c>
      <c r="C2166" s="14">
        <v>0.26115404953398336</v>
      </c>
      <c r="D2166" s="14">
        <v>0.27325231246365544</v>
      </c>
      <c r="E2166" s="14">
        <v>0.44739265212908869</v>
      </c>
      <c r="F2166" s="8">
        <v>0.43848437274130053</v>
      </c>
      <c r="G2166" s="8">
        <f t="shared" si="264"/>
        <v>0.2672031809988194</v>
      </c>
      <c r="H2166" s="8">
        <f t="shared" si="265"/>
        <v>0.44293851243519461</v>
      </c>
      <c r="I2166" s="8">
        <f t="shared" si="266"/>
        <v>1.6576842789800159</v>
      </c>
      <c r="J2166" s="22">
        <f t="shared" si="267"/>
        <v>0.72916925862913762</v>
      </c>
      <c r="K2166" s="8"/>
      <c r="L2166" s="8">
        <v>0.82396917591580876</v>
      </c>
      <c r="M2166" s="8">
        <v>0.96450309027675274</v>
      </c>
      <c r="N2166" s="8">
        <v>1.2823645957298175</v>
      </c>
      <c r="O2166" s="8">
        <v>0.98557530405725968</v>
      </c>
      <c r="P2166" s="8">
        <f t="shared" si="268"/>
        <v>0.89423613309628069</v>
      </c>
      <c r="Q2166" s="8">
        <f t="shared" si="269"/>
        <v>1.1339699498935385</v>
      </c>
      <c r="R2166" s="8">
        <f t="shared" si="270"/>
        <v>1.2680878214652127</v>
      </c>
      <c r="S2166" s="22">
        <f t="shared" si="271"/>
        <v>0.34265466283138363</v>
      </c>
      <c r="T2166" s="25"/>
      <c r="U2166" s="1" t="s">
        <v>6123</v>
      </c>
    </row>
    <row r="2167" spans="1:21">
      <c r="A2167" s="6" t="s">
        <v>6124</v>
      </c>
      <c r="B2167" s="9" t="s">
        <v>6125</v>
      </c>
      <c r="C2167" s="10">
        <v>1.0090125815017268</v>
      </c>
      <c r="D2167" s="10">
        <v>1.1795722043765899</v>
      </c>
      <c r="E2167" s="10">
        <v>0.94076365422029573</v>
      </c>
      <c r="F2167" s="8">
        <v>0.94480819951770045</v>
      </c>
      <c r="G2167" s="8">
        <f t="shared" si="264"/>
        <v>1.0942923929391584</v>
      </c>
      <c r="H2167" s="8">
        <f t="shared" si="265"/>
        <v>0.94278592686899809</v>
      </c>
      <c r="I2167" s="8">
        <f t="shared" si="266"/>
        <v>0.86154846086133408</v>
      </c>
      <c r="J2167" s="22">
        <f t="shared" si="267"/>
        <v>-0.21499614663447006</v>
      </c>
      <c r="K2167" s="8"/>
      <c r="L2167" s="8">
        <v>1.0967218673715646</v>
      </c>
      <c r="M2167" s="8">
        <v>0.98488845739084352</v>
      </c>
      <c r="N2167" s="8">
        <v>1.2089571524406901</v>
      </c>
      <c r="O2167" s="8">
        <v>1.2140952756602426</v>
      </c>
      <c r="P2167" s="8">
        <f t="shared" si="268"/>
        <v>1.040805162381204</v>
      </c>
      <c r="Q2167" s="8">
        <f t="shared" si="269"/>
        <v>1.2115262140504663</v>
      </c>
      <c r="R2167" s="8">
        <f t="shared" si="270"/>
        <v>1.1640278678851654</v>
      </c>
      <c r="S2167" s="22">
        <f t="shared" si="271"/>
        <v>0.21912559809022944</v>
      </c>
      <c r="T2167" s="25"/>
      <c r="U2167" s="1" t="s">
        <v>6126</v>
      </c>
    </row>
    <row r="2168" spans="1:21">
      <c r="A2168" s="6" t="s">
        <v>6127</v>
      </c>
      <c r="B2168" s="13" t="s">
        <v>6128</v>
      </c>
      <c r="C2168" s="14">
        <v>1.010100469787772</v>
      </c>
      <c r="D2168" s="14">
        <v>0.97561663996659798</v>
      </c>
      <c r="E2168" s="14">
        <v>0.69084483695154975</v>
      </c>
      <c r="F2168" s="8">
        <v>0.8779786532125734</v>
      </c>
      <c r="G2168" s="8">
        <f t="shared" si="264"/>
        <v>0.992858554877185</v>
      </c>
      <c r="H2168" s="8">
        <f t="shared" si="265"/>
        <v>0.78441174508206157</v>
      </c>
      <c r="I2168" s="8">
        <f t="shared" si="266"/>
        <v>0.79005387144908279</v>
      </c>
      <c r="J2168" s="22">
        <f t="shared" si="267"/>
        <v>-0.33997706511328574</v>
      </c>
      <c r="K2168" s="8"/>
      <c r="L2168" s="8">
        <v>1.0675952494740035</v>
      </c>
      <c r="M2168" s="8">
        <v>1.042965761869203</v>
      </c>
      <c r="N2168" s="8">
        <v>1.2851400314714589</v>
      </c>
      <c r="O2168" s="8">
        <v>1.0894248221930503</v>
      </c>
      <c r="P2168" s="8">
        <f t="shared" si="268"/>
        <v>1.0552805056716033</v>
      </c>
      <c r="Q2168" s="8">
        <f t="shared" si="269"/>
        <v>1.1872824268322546</v>
      </c>
      <c r="R2168" s="8">
        <f t="shared" si="270"/>
        <v>1.1250870460045526</v>
      </c>
      <c r="S2168" s="22">
        <f t="shared" si="271"/>
        <v>0.1700366245365236</v>
      </c>
      <c r="T2168" s="25"/>
      <c r="U2168" s="1" t="s">
        <v>6129</v>
      </c>
    </row>
    <row r="2169" spans="1:21">
      <c r="A2169" s="6" t="s">
        <v>6130</v>
      </c>
      <c r="B2169" s="13" t="s">
        <v>6131</v>
      </c>
      <c r="C2169" s="14">
        <v>0.84164515287938846</v>
      </c>
      <c r="D2169" s="14">
        <v>0.87381080006779399</v>
      </c>
      <c r="E2169" s="14">
        <v>1.1687993194886381</v>
      </c>
      <c r="F2169" s="8">
        <v>1.9278699474854841</v>
      </c>
      <c r="G2169" s="8">
        <f t="shared" si="264"/>
        <v>0.85772797647359122</v>
      </c>
      <c r="H2169" s="8">
        <f t="shared" si="265"/>
        <v>1.5483346334870611</v>
      </c>
      <c r="I2169" s="8">
        <f t="shared" si="266"/>
        <v>1.8051581339957996</v>
      </c>
      <c r="J2169" s="22">
        <f t="shared" si="267"/>
        <v>0.85212522444685901</v>
      </c>
      <c r="K2169" s="8"/>
      <c r="L2169" s="8">
        <v>0.92929140697349288</v>
      </c>
      <c r="M2169" s="8">
        <v>0.93842661380815606</v>
      </c>
      <c r="N2169" s="8">
        <v>0.65579581666783693</v>
      </c>
      <c r="O2169" s="8">
        <v>1.0240021773527144</v>
      </c>
      <c r="P2169" s="8">
        <f t="shared" si="268"/>
        <v>0.93385901039082442</v>
      </c>
      <c r="Q2169" s="8">
        <f t="shared" si="269"/>
        <v>0.83989899701027571</v>
      </c>
      <c r="R2169" s="8">
        <f t="shared" si="270"/>
        <v>0.89938522589054848</v>
      </c>
      <c r="S2169" s="22">
        <f t="shared" si="271"/>
        <v>-0.15298890969020029</v>
      </c>
      <c r="T2169" s="25"/>
      <c r="U2169" s="1" t="s">
        <v>6132</v>
      </c>
    </row>
    <row r="2170" spans="1:21">
      <c r="A2170" s="6" t="s">
        <v>6133</v>
      </c>
      <c r="B2170" s="13" t="s">
        <v>6134</v>
      </c>
      <c r="C2170" s="14">
        <v>0.77035423589666419</v>
      </c>
      <c r="D2170" s="14">
        <v>0.757545811815727</v>
      </c>
      <c r="E2170" s="14">
        <v>0.20904258097984338</v>
      </c>
      <c r="F2170" s="8">
        <v>0.19145216018371539</v>
      </c>
      <c r="G2170" s="8">
        <f t="shared" si="264"/>
        <v>0.76395002385619559</v>
      </c>
      <c r="H2170" s="8">
        <f t="shared" si="265"/>
        <v>0.20024737058177938</v>
      </c>
      <c r="I2170" s="8">
        <f t="shared" si="266"/>
        <v>0.26212103452918217</v>
      </c>
      <c r="J2170" s="22">
        <f t="shared" si="267"/>
        <v>-1.9316949640623298</v>
      </c>
      <c r="K2170" s="8"/>
      <c r="L2170" s="8">
        <v>1.0038212821819581</v>
      </c>
      <c r="M2170" s="8">
        <v>0.99085945736934156</v>
      </c>
      <c r="N2170" s="8">
        <v>0.72733408894728746</v>
      </c>
      <c r="O2170" s="8">
        <v>1.0222670994084309</v>
      </c>
      <c r="P2170" s="8">
        <f t="shared" si="268"/>
        <v>0.99734036977564977</v>
      </c>
      <c r="Q2170" s="8">
        <f t="shared" si="269"/>
        <v>0.87480059417785916</v>
      </c>
      <c r="R2170" s="8">
        <f t="shared" si="270"/>
        <v>0.87713344479843347</v>
      </c>
      <c r="S2170" s="22">
        <f t="shared" si="271"/>
        <v>-0.18913174765243657</v>
      </c>
      <c r="T2170" s="25"/>
      <c r="U2170" s="1" t="s">
        <v>6135</v>
      </c>
    </row>
    <row r="2171" spans="1:21">
      <c r="A2171" s="6" t="s">
        <v>6136</v>
      </c>
      <c r="B2171" s="13" t="s">
        <v>6137</v>
      </c>
      <c r="C2171" s="14">
        <v>1.0018614277333178</v>
      </c>
      <c r="D2171" s="14">
        <v>1.0458730660083098</v>
      </c>
      <c r="E2171" s="14">
        <v>1.1407376942859517</v>
      </c>
      <c r="F2171" s="8">
        <v>1.1040223485994287</v>
      </c>
      <c r="G2171" s="8">
        <f t="shared" si="264"/>
        <v>1.0238672468708137</v>
      </c>
      <c r="H2171" s="8">
        <f t="shared" si="265"/>
        <v>1.1223800214426902</v>
      </c>
      <c r="I2171" s="8">
        <f t="shared" si="266"/>
        <v>1.0962163550723547</v>
      </c>
      <c r="J2171" s="22">
        <f t="shared" si="267"/>
        <v>0.13253256434376956</v>
      </c>
      <c r="K2171" s="8"/>
      <c r="L2171" s="8">
        <v>0.57767792163496146</v>
      </c>
      <c r="M2171" s="8">
        <v>0.58879657600469981</v>
      </c>
      <c r="N2171" s="8">
        <v>0.53758491069221281</v>
      </c>
      <c r="O2171" s="8">
        <v>0.48944507540067195</v>
      </c>
      <c r="P2171" s="8">
        <f t="shared" si="268"/>
        <v>0.58323724881983063</v>
      </c>
      <c r="Q2171" s="8">
        <f t="shared" si="269"/>
        <v>0.51351499304644244</v>
      </c>
      <c r="R2171" s="8">
        <f t="shared" si="270"/>
        <v>0.88045644218631469</v>
      </c>
      <c r="S2171" s="22">
        <f t="shared" si="271"/>
        <v>-0.1836764618657358</v>
      </c>
      <c r="T2171" s="25"/>
      <c r="U2171" s="1" t="s">
        <v>6138</v>
      </c>
    </row>
    <row r="2172" spans="1:21">
      <c r="A2172" s="6" t="s">
        <v>6139</v>
      </c>
      <c r="B2172" s="13" t="s">
        <v>6140</v>
      </c>
      <c r="C2172" s="14">
        <v>1.0653241136227518</v>
      </c>
      <c r="D2172" s="14">
        <v>1.1703033144753554</v>
      </c>
      <c r="E2172" s="14">
        <v>1.0871739759890691</v>
      </c>
      <c r="F2172" s="8">
        <v>1.1378147394249385</v>
      </c>
      <c r="G2172" s="8">
        <f t="shared" si="264"/>
        <v>1.1178137140490536</v>
      </c>
      <c r="H2172" s="8">
        <f t="shared" si="265"/>
        <v>1.1124943577070039</v>
      </c>
      <c r="I2172" s="8">
        <f t="shared" si="266"/>
        <v>0.99524128548863344</v>
      </c>
      <c r="J2172" s="22">
        <f t="shared" si="267"/>
        <v>-6.8817610122096605E-3</v>
      </c>
      <c r="K2172" s="8"/>
      <c r="L2172" s="8">
        <v>1.3893682292214062</v>
      </c>
      <c r="M2172" s="8">
        <v>1.322809737423964</v>
      </c>
      <c r="N2172" s="8">
        <v>1.4073724871951756</v>
      </c>
      <c r="O2172" s="8">
        <v>1.3114637673570919</v>
      </c>
      <c r="P2172" s="8">
        <f t="shared" si="268"/>
        <v>1.3560889833226852</v>
      </c>
      <c r="Q2172" s="8">
        <f t="shared" si="269"/>
        <v>1.3594181272761339</v>
      </c>
      <c r="R2172" s="8">
        <f t="shared" si="270"/>
        <v>1.0024549598104482</v>
      </c>
      <c r="S2172" s="22">
        <f t="shared" si="271"/>
        <v>3.5374180090328613E-3</v>
      </c>
      <c r="T2172" s="25"/>
      <c r="U2172" s="1" t="s">
        <v>6141</v>
      </c>
    </row>
    <row r="2173" spans="1:21">
      <c r="A2173" s="6" t="s">
        <v>6142</v>
      </c>
      <c r="B2173" s="6" t="s">
        <v>6143</v>
      </c>
      <c r="C2173" s="7">
        <v>1.0260840592212053</v>
      </c>
      <c r="D2173" s="7">
        <v>1.0582769040038358</v>
      </c>
      <c r="E2173" s="7">
        <v>0.94531487522115432</v>
      </c>
      <c r="F2173" s="8">
        <v>0.96663098829145089</v>
      </c>
      <c r="G2173" s="8">
        <f t="shared" si="264"/>
        <v>1.0421804816125206</v>
      </c>
      <c r="H2173" s="8">
        <f t="shared" si="265"/>
        <v>0.9559729317563026</v>
      </c>
      <c r="I2173" s="8">
        <f t="shared" si="266"/>
        <v>0.917281554032913</v>
      </c>
      <c r="J2173" s="22">
        <f t="shared" si="267"/>
        <v>-0.12456346656229002</v>
      </c>
      <c r="K2173" s="8"/>
      <c r="L2173" s="8">
        <v>1.1690148944735177</v>
      </c>
      <c r="M2173" s="8">
        <v>1.0240264963124046</v>
      </c>
      <c r="N2173" s="8">
        <v>0.77485634582967777</v>
      </c>
      <c r="O2173" s="8">
        <v>0.70903449876101932</v>
      </c>
      <c r="P2173" s="8">
        <f t="shared" si="268"/>
        <v>1.0965206953929612</v>
      </c>
      <c r="Q2173" s="8">
        <f t="shared" si="269"/>
        <v>0.74194542229534854</v>
      </c>
      <c r="R2173" s="8">
        <f t="shared" si="270"/>
        <v>0.67663604108215836</v>
      </c>
      <c r="S2173" s="22">
        <f t="shared" si="271"/>
        <v>-0.56354807042220678</v>
      </c>
      <c r="T2173" s="25"/>
      <c r="U2173" s="1" t="s">
        <v>6144</v>
      </c>
    </row>
    <row r="2174" spans="1:21">
      <c r="A2174" s="6" t="s">
        <v>6145</v>
      </c>
      <c r="B2174" s="13" t="s">
        <v>6146</v>
      </c>
      <c r="C2174" s="14">
        <v>0.93101935976371708</v>
      </c>
      <c r="D2174" s="14">
        <v>1.0644188431273458</v>
      </c>
      <c r="E2174" s="14">
        <v>1.1166594468680018</v>
      </c>
      <c r="F2174" s="8">
        <v>1.0856771551393223</v>
      </c>
      <c r="G2174" s="8">
        <f t="shared" si="264"/>
        <v>0.99771910144553144</v>
      </c>
      <c r="H2174" s="8">
        <f t="shared" si="265"/>
        <v>1.1011683010036619</v>
      </c>
      <c r="I2174" s="8">
        <f t="shared" si="266"/>
        <v>1.1036856961125125</v>
      </c>
      <c r="J2174" s="22">
        <f t="shared" si="267"/>
        <v>0.14232938478011992</v>
      </c>
      <c r="K2174" s="8"/>
      <c r="L2174" s="8">
        <v>0.96898356273585551</v>
      </c>
      <c r="M2174" s="8">
        <v>0.99403155110791863</v>
      </c>
      <c r="N2174" s="8">
        <v>1.2228343311488972</v>
      </c>
      <c r="O2174" s="8">
        <v>1.1518365964830117</v>
      </c>
      <c r="P2174" s="8">
        <f t="shared" si="268"/>
        <v>0.98150755692188707</v>
      </c>
      <c r="Q2174" s="8">
        <f t="shared" si="269"/>
        <v>1.1873354638159546</v>
      </c>
      <c r="R2174" s="8">
        <f t="shared" si="270"/>
        <v>1.2097058809608821</v>
      </c>
      <c r="S2174" s="22">
        <f t="shared" si="271"/>
        <v>0.27465632381514848</v>
      </c>
      <c r="T2174" s="25"/>
      <c r="U2174" s="1" t="s">
        <v>6147</v>
      </c>
    </row>
    <row r="2175" spans="1:21">
      <c r="A2175" s="6" t="s">
        <v>6148</v>
      </c>
      <c r="B2175" s="6" t="s">
        <v>6149</v>
      </c>
      <c r="C2175" s="7">
        <v>0.98473669674109587</v>
      </c>
      <c r="D2175" s="7">
        <v>1.0923534698961219</v>
      </c>
      <c r="E2175" s="7">
        <v>1.0172868840466491</v>
      </c>
      <c r="F2175" s="8">
        <v>0.99442540538155955</v>
      </c>
      <c r="G2175" s="8">
        <f t="shared" si="264"/>
        <v>1.038545083318609</v>
      </c>
      <c r="H2175" s="8">
        <f t="shared" si="265"/>
        <v>1.0058561447141043</v>
      </c>
      <c r="I2175" s="8">
        <f t="shared" si="266"/>
        <v>0.96852429506473703</v>
      </c>
      <c r="J2175" s="22">
        <f t="shared" si="267"/>
        <v>-4.6139856146806574E-2</v>
      </c>
      <c r="K2175" s="8"/>
      <c r="L2175" s="8">
        <v>1.0714978355321734</v>
      </c>
      <c r="M2175" s="8">
        <v>1.3037771749925016</v>
      </c>
      <c r="N2175" s="8">
        <v>0.82328486744403262</v>
      </c>
      <c r="O2175" s="8">
        <v>1.3018187752550454</v>
      </c>
      <c r="P2175" s="8">
        <f t="shared" si="268"/>
        <v>1.1876375052623374</v>
      </c>
      <c r="Q2175" s="8">
        <f t="shared" si="269"/>
        <v>1.0625518213495391</v>
      </c>
      <c r="R2175" s="8">
        <f t="shared" si="270"/>
        <v>0.89467688300634451</v>
      </c>
      <c r="S2175" s="22">
        <f t="shared" si="271"/>
        <v>-0.1605613549150611</v>
      </c>
      <c r="T2175" s="25"/>
      <c r="U2175" s="1" t="s">
        <v>6150</v>
      </c>
    </row>
    <row r="2176" spans="1:21">
      <c r="A2176" s="6" t="s">
        <v>6151</v>
      </c>
      <c r="B2176" s="13" t="s">
        <v>6152</v>
      </c>
      <c r="C2176" s="14">
        <v>1.0870058032397365</v>
      </c>
      <c r="D2176" s="14">
        <v>1.0932651639847679</v>
      </c>
      <c r="E2176" s="14">
        <v>1.1028956053309549</v>
      </c>
      <c r="F2176" s="8">
        <v>1.075297060036476</v>
      </c>
      <c r="G2176" s="8">
        <f t="shared" si="264"/>
        <v>1.0901354836122521</v>
      </c>
      <c r="H2176" s="8">
        <f t="shared" si="265"/>
        <v>1.0890963326837153</v>
      </c>
      <c r="I2176" s="8">
        <f t="shared" si="266"/>
        <v>0.99904676900792777</v>
      </c>
      <c r="J2176" s="22">
        <f t="shared" si="267"/>
        <v>-1.3758774938506864E-3</v>
      </c>
      <c r="K2176" s="8"/>
      <c r="L2176" s="8">
        <v>0.99444555713976923</v>
      </c>
      <c r="M2176" s="8">
        <v>0.59042927131132039</v>
      </c>
      <c r="N2176" s="8">
        <v>0.68049153061387047</v>
      </c>
      <c r="O2176" s="8">
        <v>0.52195227100386532</v>
      </c>
      <c r="P2176" s="8">
        <f t="shared" si="268"/>
        <v>0.79243741422554481</v>
      </c>
      <c r="Q2176" s="8">
        <f t="shared" si="269"/>
        <v>0.60122190080886795</v>
      </c>
      <c r="R2176" s="8">
        <f t="shared" si="270"/>
        <v>0.75869953893639253</v>
      </c>
      <c r="S2176" s="22">
        <f t="shared" si="271"/>
        <v>-0.39839943389417315</v>
      </c>
      <c r="T2176" s="25"/>
      <c r="U2176" s="1" t="s">
        <v>6153</v>
      </c>
    </row>
    <row r="2177" spans="1:21">
      <c r="A2177" s="6" t="s">
        <v>6154</v>
      </c>
      <c r="B2177" s="6" t="s">
        <v>6155</v>
      </c>
      <c r="C2177" s="7">
        <v>0.98051447297357774</v>
      </c>
      <c r="D2177" s="7">
        <v>0.99050764341448272</v>
      </c>
      <c r="E2177" s="7">
        <v>1.0881486322555471</v>
      </c>
      <c r="F2177" s="8">
        <v>0.86494645259275627</v>
      </c>
      <c r="G2177" s="8">
        <f t="shared" si="264"/>
        <v>0.98551105819403029</v>
      </c>
      <c r="H2177" s="8">
        <f t="shared" si="265"/>
        <v>0.97654754242415165</v>
      </c>
      <c r="I2177" s="8">
        <f t="shared" si="266"/>
        <v>0.99090470300119771</v>
      </c>
      <c r="J2177" s="22">
        <f t="shared" si="267"/>
        <v>-1.3181777252018424E-2</v>
      </c>
      <c r="K2177" s="8"/>
      <c r="L2177" s="8">
        <v>1.3038920760449035</v>
      </c>
      <c r="M2177" s="8">
        <v>1.2611871517083715</v>
      </c>
      <c r="N2177" s="8">
        <v>0.93186671064253346</v>
      </c>
      <c r="O2177" s="8">
        <v>0.86034350184338737</v>
      </c>
      <c r="P2177" s="8">
        <f t="shared" si="268"/>
        <v>1.2825396138766374</v>
      </c>
      <c r="Q2177" s="8">
        <f t="shared" si="269"/>
        <v>0.89610510624296036</v>
      </c>
      <c r="R2177" s="8">
        <f t="shared" si="270"/>
        <v>0.69869585044189775</v>
      </c>
      <c r="S2177" s="22">
        <f t="shared" si="271"/>
        <v>-0.51726352276494825</v>
      </c>
      <c r="T2177" s="25"/>
      <c r="U2177" s="1" t="s">
        <v>6156</v>
      </c>
    </row>
    <row r="2178" spans="1:21">
      <c r="A2178" s="6" t="s">
        <v>6157</v>
      </c>
      <c r="B2178" s="13" t="s">
        <v>6158</v>
      </c>
      <c r="C2178" s="14">
        <v>0.93254848945249391</v>
      </c>
      <c r="D2178" s="14">
        <v>0.89398802976651215</v>
      </c>
      <c r="E2178" s="14">
        <v>1.1859532697786526</v>
      </c>
      <c r="F2178" s="8">
        <v>1.2127059839571492</v>
      </c>
      <c r="G2178" s="8">
        <f t="shared" si="264"/>
        <v>0.91326825960950297</v>
      </c>
      <c r="H2178" s="8">
        <f t="shared" si="265"/>
        <v>1.1993296268679008</v>
      </c>
      <c r="I2178" s="8">
        <f t="shared" si="266"/>
        <v>1.3132281936314227</v>
      </c>
      <c r="J2178" s="22">
        <f t="shared" si="267"/>
        <v>0.3931176285048078</v>
      </c>
      <c r="K2178" s="8"/>
      <c r="L2178" s="8">
        <v>1.1039559293330503</v>
      </c>
      <c r="M2178" s="8">
        <v>1.0418461993732344</v>
      </c>
      <c r="N2178" s="8">
        <v>0.70966192667397898</v>
      </c>
      <c r="O2178" s="8">
        <v>1.0235428920145218</v>
      </c>
      <c r="P2178" s="8">
        <f t="shared" si="268"/>
        <v>1.0729010643531423</v>
      </c>
      <c r="Q2178" s="8">
        <f t="shared" si="269"/>
        <v>0.86660240934425037</v>
      </c>
      <c r="R2178" s="8">
        <f t="shared" si="270"/>
        <v>0.80771884578819908</v>
      </c>
      <c r="S2178" s="22">
        <f t="shared" si="271"/>
        <v>-0.30807489395711302</v>
      </c>
      <c r="T2178" s="25"/>
      <c r="U2178" s="1" t="s">
        <v>6159</v>
      </c>
    </row>
    <row r="2179" spans="1:21">
      <c r="A2179" s="6" t="s">
        <v>6160</v>
      </c>
      <c r="B2179" s="6" t="s">
        <v>6161</v>
      </c>
      <c r="C2179" s="7">
        <v>1.032451629119246</v>
      </c>
      <c r="D2179" s="7">
        <v>1.1149618838312296</v>
      </c>
      <c r="E2179" s="7">
        <v>0.9429587496378421</v>
      </c>
      <c r="F2179" s="8">
        <v>1.042549704166329</v>
      </c>
      <c r="G2179" s="8">
        <f t="shared" si="264"/>
        <v>1.0737067564752378</v>
      </c>
      <c r="H2179" s="8">
        <f t="shared" si="265"/>
        <v>0.99275422690208548</v>
      </c>
      <c r="I2179" s="8">
        <f t="shared" si="266"/>
        <v>0.9246046193851819</v>
      </c>
      <c r="J2179" s="22">
        <f t="shared" si="267"/>
        <v>-0.11309152449667245</v>
      </c>
      <c r="K2179" s="8"/>
      <c r="L2179" s="8">
        <v>1.3340181367134594</v>
      </c>
      <c r="M2179" s="8">
        <v>1.2219091674748144</v>
      </c>
      <c r="N2179" s="8">
        <v>0.89969431265779243</v>
      </c>
      <c r="O2179" s="8">
        <v>0.94913866722730655</v>
      </c>
      <c r="P2179" s="8">
        <f t="shared" si="268"/>
        <v>1.2779636520941369</v>
      </c>
      <c r="Q2179" s="8">
        <f t="shared" si="269"/>
        <v>0.92441648994254955</v>
      </c>
      <c r="R2179" s="8">
        <f t="shared" si="270"/>
        <v>0.72335115981409426</v>
      </c>
      <c r="S2179" s="22">
        <f t="shared" si="271"/>
        <v>-0.46723190340833542</v>
      </c>
      <c r="T2179" s="25"/>
      <c r="U2179" s="1" t="s">
        <v>6162</v>
      </c>
    </row>
    <row r="2180" spans="1:21">
      <c r="A2180" s="6" t="s">
        <v>6163</v>
      </c>
      <c r="B2180" s="13" t="s">
        <v>6164</v>
      </c>
      <c r="C2180" s="14">
        <v>1.0464572398507792</v>
      </c>
      <c r="D2180" s="14">
        <v>1.2516200293293256</v>
      </c>
      <c r="E2180" s="14">
        <v>1.1921317429809353</v>
      </c>
      <c r="F2180" s="8">
        <v>1.2487728626266836</v>
      </c>
      <c r="G2180" s="8">
        <f t="shared" si="264"/>
        <v>1.1490386345900525</v>
      </c>
      <c r="H2180" s="8">
        <f t="shared" si="265"/>
        <v>1.2204523028038095</v>
      </c>
      <c r="I2180" s="8">
        <f t="shared" si="266"/>
        <v>1.062150798122846</v>
      </c>
      <c r="J2180" s="22">
        <f t="shared" si="267"/>
        <v>8.6988606311194858E-2</v>
      </c>
      <c r="K2180" s="8"/>
      <c r="L2180" s="8">
        <v>1.0570773041221064</v>
      </c>
      <c r="M2180" s="8">
        <v>1.0633977774206256</v>
      </c>
      <c r="N2180" s="8">
        <v>1.3728777858347756</v>
      </c>
      <c r="O2180" s="8">
        <v>1.1704631685319373</v>
      </c>
      <c r="P2180" s="8">
        <f t="shared" si="268"/>
        <v>1.060237540771366</v>
      </c>
      <c r="Q2180" s="8">
        <f t="shared" si="269"/>
        <v>1.2716704771833565</v>
      </c>
      <c r="R2180" s="8">
        <f t="shared" si="270"/>
        <v>1.1994203452352425</v>
      </c>
      <c r="S2180" s="22">
        <f t="shared" si="271"/>
        <v>0.26233734991987495</v>
      </c>
      <c r="T2180" s="25"/>
      <c r="U2180" s="1" t="s">
        <v>6165</v>
      </c>
    </row>
    <row r="2181" spans="1:21">
      <c r="A2181" s="6" t="s">
        <v>6166</v>
      </c>
      <c r="B2181" s="9" t="s">
        <v>6167</v>
      </c>
      <c r="C2181" s="10">
        <v>1.0727491413652701</v>
      </c>
      <c r="D2181" s="10">
        <v>1.1165853390943448</v>
      </c>
      <c r="E2181" s="10">
        <v>0.98987785477890888</v>
      </c>
      <c r="F2181" s="8">
        <v>1.0130516166447887</v>
      </c>
      <c r="G2181" s="8">
        <f t="shared" si="264"/>
        <v>1.0946672402298074</v>
      </c>
      <c r="H2181" s="8">
        <f t="shared" si="265"/>
        <v>1.0014647357118487</v>
      </c>
      <c r="I2181" s="8">
        <f t="shared" si="266"/>
        <v>0.91485768360219455</v>
      </c>
      <c r="J2181" s="22">
        <f t="shared" si="267"/>
        <v>-0.12838076146923413</v>
      </c>
      <c r="K2181" s="8"/>
      <c r="L2181" s="8">
        <v>0.27284787648156483</v>
      </c>
      <c r="M2181" s="8">
        <v>0.26458993654719198</v>
      </c>
      <c r="N2181" s="8">
        <v>0.33412847836617465</v>
      </c>
      <c r="O2181" s="8">
        <v>0.35569097857811316</v>
      </c>
      <c r="P2181" s="8">
        <f t="shared" si="268"/>
        <v>0.26871890651437841</v>
      </c>
      <c r="Q2181" s="8">
        <f t="shared" si="269"/>
        <v>0.34490972847214391</v>
      </c>
      <c r="R2181" s="8">
        <f t="shared" si="270"/>
        <v>1.2835335367580052</v>
      </c>
      <c r="S2181" s="22">
        <f t="shared" si="271"/>
        <v>0.36012099180921381</v>
      </c>
      <c r="T2181" s="25"/>
      <c r="U2181" s="1" t="s">
        <v>6168</v>
      </c>
    </row>
    <row r="2182" spans="1:21">
      <c r="A2182" s="6" t="s">
        <v>6169</v>
      </c>
      <c r="B2182" s="13" t="s">
        <v>6170</v>
      </c>
      <c r="C2182" s="14">
        <v>1.0494318155140216</v>
      </c>
      <c r="D2182" s="14">
        <v>1.1006866737590091</v>
      </c>
      <c r="E2182" s="14">
        <v>0.97521563442232551</v>
      </c>
      <c r="F2182" s="8">
        <v>0.99059653781401213</v>
      </c>
      <c r="G2182" s="8">
        <f t="shared" ref="G2182:G2245" si="272">AVERAGE(C2182:D2182)</f>
        <v>1.0750592446365155</v>
      </c>
      <c r="H2182" s="8">
        <f t="shared" ref="H2182:H2245" si="273">AVERAGE(E2182:F2182)</f>
        <v>0.98290608611816888</v>
      </c>
      <c r="I2182" s="8">
        <f t="shared" ref="I2182:I2245" si="274">H2182/G2182</f>
        <v>0.91428085570344153</v>
      </c>
      <c r="J2182" s="22">
        <f t="shared" ref="J2182:J2245" si="275">LOG(I2182,2)</f>
        <v>-0.12929068355406423</v>
      </c>
      <c r="K2182" s="8"/>
      <c r="L2182" s="8">
        <v>0.98459390696853533</v>
      </c>
      <c r="M2182" s="8">
        <v>1.0770657695589063</v>
      </c>
      <c r="N2182" s="8">
        <v>0.85613696397774697</v>
      </c>
      <c r="O2182" s="8">
        <v>0.77527365086925326</v>
      </c>
      <c r="P2182" s="8">
        <f t="shared" ref="P2182:P2245" si="276">AVERAGE(L2182:M2182)</f>
        <v>1.0308298382637209</v>
      </c>
      <c r="Q2182" s="8">
        <f t="shared" ref="Q2182:Q2245" si="277">AVERAGE(N2182:O2182)</f>
        <v>0.81570530742350011</v>
      </c>
      <c r="R2182" s="8">
        <f t="shared" ref="R2182:R2245" si="278">Q2182/P2182</f>
        <v>0.79130936760371051</v>
      </c>
      <c r="S2182" s="22">
        <f t="shared" ref="S2182:S2245" si="279">LOG(R2182,2)</f>
        <v>-0.33768625878621689</v>
      </c>
      <c r="T2182" s="25"/>
      <c r="U2182" s="1" t="s">
        <v>6171</v>
      </c>
    </row>
    <row r="2183" spans="1:21">
      <c r="A2183" s="6" t="s">
        <v>6172</v>
      </c>
      <c r="B2183" s="6" t="s">
        <v>6173</v>
      </c>
      <c r="C2183" s="7">
        <v>0.90901815051027157</v>
      </c>
      <c r="D2183" s="7">
        <v>1.0220730519047088</v>
      </c>
      <c r="E2183" s="7">
        <v>0.98721661940782957</v>
      </c>
      <c r="F2183" s="8">
        <v>0.95645287473459906</v>
      </c>
      <c r="G2183" s="8">
        <f t="shared" si="272"/>
        <v>0.96554560120749011</v>
      </c>
      <c r="H2183" s="8">
        <f t="shared" si="273"/>
        <v>0.97183474707121431</v>
      </c>
      <c r="I2183" s="8">
        <f t="shared" si="274"/>
        <v>1.0065135668950893</v>
      </c>
      <c r="J2183" s="22">
        <f t="shared" si="275"/>
        <v>9.3666186182715903E-3</v>
      </c>
      <c r="K2183" s="8"/>
      <c r="L2183" s="8">
        <v>1.1884326397385585</v>
      </c>
      <c r="M2183" s="8">
        <v>1.1947597769475813</v>
      </c>
      <c r="N2183" s="8">
        <v>1.148803830856544</v>
      </c>
      <c r="O2183" s="8">
        <v>0.97200087072845365</v>
      </c>
      <c r="P2183" s="8">
        <f t="shared" si="276"/>
        <v>1.19159620834307</v>
      </c>
      <c r="Q2183" s="8">
        <f t="shared" si="277"/>
        <v>1.0604023507924989</v>
      </c>
      <c r="R2183" s="8">
        <f t="shared" si="278"/>
        <v>0.88990074269118569</v>
      </c>
      <c r="S2183" s="22">
        <f t="shared" si="279"/>
        <v>-0.16828366444077286</v>
      </c>
      <c r="T2183" s="25"/>
      <c r="U2183" s="1" t="s">
        <v>6174</v>
      </c>
    </row>
    <row r="2184" spans="1:21">
      <c r="A2184" s="6" t="s">
        <v>6175</v>
      </c>
      <c r="B2184" s="13" t="s">
        <v>6176</v>
      </c>
      <c r="C2184" s="14">
        <v>0.91569002482398931</v>
      </c>
      <c r="D2184" s="14">
        <v>0.9367736734003379</v>
      </c>
      <c r="E2184" s="14">
        <v>0.84452694199543787</v>
      </c>
      <c r="F2184" s="8">
        <v>0.71331978419534192</v>
      </c>
      <c r="G2184" s="8">
        <f t="shared" si="272"/>
        <v>0.92623184911216361</v>
      </c>
      <c r="H2184" s="8">
        <f t="shared" si="273"/>
        <v>0.7789233630953899</v>
      </c>
      <c r="I2184" s="8">
        <f t="shared" si="274"/>
        <v>0.84095938165160722</v>
      </c>
      <c r="J2184" s="22">
        <f t="shared" si="275"/>
        <v>-0.24989197491224635</v>
      </c>
      <c r="K2184" s="8"/>
      <c r="L2184" s="8">
        <v>1.1034800042040052</v>
      </c>
      <c r="M2184" s="8">
        <v>0.41414482663363372</v>
      </c>
      <c r="N2184" s="8">
        <v>0.30880970741691544</v>
      </c>
      <c r="O2184" s="8">
        <v>0.32491886091920325</v>
      </c>
      <c r="P2184" s="8">
        <f t="shared" si="276"/>
        <v>0.75881241541881939</v>
      </c>
      <c r="Q2184" s="8">
        <f t="shared" si="277"/>
        <v>0.31686428416805934</v>
      </c>
      <c r="R2184" s="8">
        <f t="shared" si="278"/>
        <v>0.41757920367337303</v>
      </c>
      <c r="S2184" s="22">
        <f t="shared" si="279"/>
        <v>-1.2598782304517426</v>
      </c>
      <c r="T2184" s="25"/>
      <c r="U2184" s="1" t="s">
        <v>6177</v>
      </c>
    </row>
    <row r="2185" spans="1:21">
      <c r="A2185" s="6" t="s">
        <v>6178</v>
      </c>
      <c r="B2185" s="6" t="s">
        <v>6179</v>
      </c>
      <c r="C2185" s="7">
        <v>0.46247424333548071</v>
      </c>
      <c r="D2185" s="7">
        <v>0.45253615526423574</v>
      </c>
      <c r="E2185" s="7">
        <v>0.4542152459944353</v>
      </c>
      <c r="F2185" s="8">
        <v>0.41435196889813508</v>
      </c>
      <c r="G2185" s="8">
        <f t="shared" si="272"/>
        <v>0.45750519929985822</v>
      </c>
      <c r="H2185" s="8">
        <f t="shared" si="273"/>
        <v>0.43428360744628519</v>
      </c>
      <c r="I2185" s="8">
        <f t="shared" si="274"/>
        <v>0.94924299901048093</v>
      </c>
      <c r="J2185" s="22">
        <f t="shared" si="275"/>
        <v>-7.5150641369684162E-2</v>
      </c>
      <c r="K2185" s="8"/>
      <c r="L2185" s="8">
        <v>0.19103634679870943</v>
      </c>
      <c r="M2185" s="8">
        <v>0.16182342910476183</v>
      </c>
      <c r="N2185" s="8">
        <v>0.17411611162868634</v>
      </c>
      <c r="O2185" s="8">
        <v>0.17835580633149289</v>
      </c>
      <c r="P2185" s="8">
        <f t="shared" si="276"/>
        <v>0.17642988795173564</v>
      </c>
      <c r="Q2185" s="8">
        <f t="shared" si="277"/>
        <v>0.17623595898008962</v>
      </c>
      <c r="R2185" s="8">
        <f t="shared" si="278"/>
        <v>0.99890081565035582</v>
      </c>
      <c r="S2185" s="22">
        <f t="shared" si="279"/>
        <v>-1.5866599860057274E-3</v>
      </c>
      <c r="T2185" s="25"/>
      <c r="U2185" s="1" t="s">
        <v>6180</v>
      </c>
    </row>
    <row r="2186" spans="1:21">
      <c r="A2186" s="6" t="s">
        <v>6181</v>
      </c>
      <c r="B2186" s="13" t="s">
        <v>6182</v>
      </c>
      <c r="C2186" s="14">
        <v>1.009605975112297</v>
      </c>
      <c r="D2186" s="14">
        <v>1.0630273100446754</v>
      </c>
      <c r="E2186" s="14">
        <v>0.96968975715498884</v>
      </c>
      <c r="F2186" s="8">
        <v>1.0152119410062947</v>
      </c>
      <c r="G2186" s="8">
        <f t="shared" si="272"/>
        <v>1.0363166425784862</v>
      </c>
      <c r="H2186" s="8">
        <f t="shared" si="273"/>
        <v>0.99245084908064185</v>
      </c>
      <c r="I2186" s="8">
        <f t="shared" si="274"/>
        <v>0.95767143776761054</v>
      </c>
      <c r="J2186" s="22">
        <f t="shared" si="275"/>
        <v>-6.2397320353477739E-2</v>
      </c>
      <c r="K2186" s="8"/>
      <c r="L2186" s="8">
        <v>1.063264330799693</v>
      </c>
      <c r="M2186" s="8">
        <v>1.1705025895349332</v>
      </c>
      <c r="N2186" s="8">
        <v>0.88037954555779829</v>
      </c>
      <c r="O2186" s="8">
        <v>0.89841315320913662</v>
      </c>
      <c r="P2186" s="8">
        <f t="shared" si="276"/>
        <v>1.1168834601673132</v>
      </c>
      <c r="Q2186" s="8">
        <f t="shared" si="277"/>
        <v>0.88939634938346745</v>
      </c>
      <c r="R2186" s="8">
        <f t="shared" si="278"/>
        <v>0.79631974248256188</v>
      </c>
      <c r="S2186" s="22">
        <f t="shared" si="279"/>
        <v>-0.32858026930488854</v>
      </c>
      <c r="T2186" s="25"/>
      <c r="U2186" s="1" t="s">
        <v>6183</v>
      </c>
    </row>
    <row r="2187" spans="1:21">
      <c r="A2187" s="6" t="s">
        <v>6184</v>
      </c>
      <c r="B2187" s="13" t="s">
        <v>80</v>
      </c>
      <c r="C2187" s="14">
        <v>1.0699191102994743</v>
      </c>
      <c r="D2187" s="14">
        <v>0.97264963552021488</v>
      </c>
      <c r="E2187" s="14">
        <v>1.0052943743330276</v>
      </c>
      <c r="F2187" s="8">
        <v>0.87707412715877209</v>
      </c>
      <c r="G2187" s="8">
        <f t="shared" si="272"/>
        <v>1.0212843729098446</v>
      </c>
      <c r="H2187" s="8">
        <f t="shared" si="273"/>
        <v>0.94118425074589984</v>
      </c>
      <c r="I2187" s="8">
        <f t="shared" si="274"/>
        <v>0.92156922764251892</v>
      </c>
      <c r="J2187" s="22">
        <f t="shared" si="275"/>
        <v>-0.11783555070775636</v>
      </c>
      <c r="K2187" s="8"/>
      <c r="L2187" s="8">
        <v>1.04941490954448</v>
      </c>
      <c r="M2187" s="8">
        <v>0.99253880111329407</v>
      </c>
      <c r="N2187" s="8">
        <v>0.80153451387688379</v>
      </c>
      <c r="O2187" s="8">
        <v>1.1009579873521109</v>
      </c>
      <c r="P2187" s="8">
        <f t="shared" si="276"/>
        <v>1.0209768553288869</v>
      </c>
      <c r="Q2187" s="8">
        <f t="shared" si="277"/>
        <v>0.95124625061449741</v>
      </c>
      <c r="R2187" s="8">
        <f t="shared" si="278"/>
        <v>0.93170207106024239</v>
      </c>
      <c r="S2187" s="22">
        <f t="shared" si="279"/>
        <v>-0.102059394641003</v>
      </c>
      <c r="T2187" s="25"/>
      <c r="U2187" s="1">
        <v>0</v>
      </c>
    </row>
    <row r="2188" spans="1:21">
      <c r="A2188" s="6" t="s">
        <v>6185</v>
      </c>
      <c r="B2188" s="13" t="s">
        <v>80</v>
      </c>
      <c r="C2188" s="14">
        <v>1.1352228379037539</v>
      </c>
      <c r="D2188" s="14">
        <v>1.1293810456016571</v>
      </c>
      <c r="E2188" s="14">
        <v>0.96613861823625569</v>
      </c>
      <c r="F2188" s="8">
        <v>0.98956028466499713</v>
      </c>
      <c r="G2188" s="8">
        <f t="shared" si="272"/>
        <v>1.1323019417527056</v>
      </c>
      <c r="H2188" s="8">
        <f t="shared" si="273"/>
        <v>0.97784945145062641</v>
      </c>
      <c r="I2188" s="8">
        <f t="shared" si="274"/>
        <v>0.86359425467115236</v>
      </c>
      <c r="J2188" s="22">
        <f t="shared" si="275"/>
        <v>-0.21157444947160423</v>
      </c>
      <c r="K2188" s="8"/>
      <c r="L2188" s="8">
        <v>1.3017504129642004</v>
      </c>
      <c r="M2188" s="8">
        <v>1.2635662220123043</v>
      </c>
      <c r="N2188" s="8">
        <v>1.3806943191479697</v>
      </c>
      <c r="O2188" s="8">
        <v>1.4587922975084566</v>
      </c>
      <c r="P2188" s="8">
        <f t="shared" si="276"/>
        <v>1.2826583174882522</v>
      </c>
      <c r="Q2188" s="8">
        <f t="shared" si="277"/>
        <v>1.4197433083282132</v>
      </c>
      <c r="R2188" s="8">
        <f t="shared" si="278"/>
        <v>1.106875688537541</v>
      </c>
      <c r="S2188" s="22">
        <f t="shared" si="279"/>
        <v>0.14649320441311225</v>
      </c>
      <c r="T2188" s="25"/>
      <c r="U2188" s="1">
        <v>0</v>
      </c>
    </row>
    <row r="2189" spans="1:21">
      <c r="A2189" s="6" t="s">
        <v>6186</v>
      </c>
      <c r="B2189" s="13" t="s">
        <v>6187</v>
      </c>
      <c r="C2189" s="14">
        <v>0.81895165108027768</v>
      </c>
      <c r="D2189" s="14">
        <v>0.88510301106049716</v>
      </c>
      <c r="E2189" s="14">
        <v>1.0160325438080513</v>
      </c>
      <c r="F2189" s="8">
        <v>1.0124105447814149</v>
      </c>
      <c r="G2189" s="8">
        <f t="shared" si="272"/>
        <v>0.85202733107038742</v>
      </c>
      <c r="H2189" s="8">
        <f t="shared" si="273"/>
        <v>1.0142215442947331</v>
      </c>
      <c r="I2189" s="8">
        <f t="shared" si="274"/>
        <v>1.1903626882726683</v>
      </c>
      <c r="J2189" s="22">
        <f t="shared" si="275"/>
        <v>0.25140121122288206</v>
      </c>
      <c r="K2189" s="8"/>
      <c r="L2189" s="8">
        <v>1.2450201375820227</v>
      </c>
      <c r="M2189" s="8">
        <v>1.157394378644637</v>
      </c>
      <c r="N2189" s="8">
        <v>1.1382118618017085</v>
      </c>
      <c r="O2189" s="8">
        <v>1.3270794688556431</v>
      </c>
      <c r="P2189" s="8">
        <f t="shared" si="276"/>
        <v>1.20120725811333</v>
      </c>
      <c r="Q2189" s="8">
        <f t="shared" si="277"/>
        <v>1.2326456653286759</v>
      </c>
      <c r="R2189" s="8">
        <f t="shared" si="278"/>
        <v>1.0261723420358986</v>
      </c>
      <c r="S2189" s="22">
        <f t="shared" si="279"/>
        <v>3.7273046851890715E-2</v>
      </c>
      <c r="T2189" s="25"/>
      <c r="U2189" s="1" t="s">
        <v>6188</v>
      </c>
    </row>
    <row r="2190" spans="1:21">
      <c r="A2190" s="6" t="s">
        <v>6189</v>
      </c>
      <c r="B2190" s="13" t="s">
        <v>6190</v>
      </c>
      <c r="C2190" s="14">
        <v>1.1062150194793459</v>
      </c>
      <c r="D2190" s="14">
        <v>1.0320856922466808</v>
      </c>
      <c r="E2190" s="14">
        <v>1.0354663422344361</v>
      </c>
      <c r="F2190" s="8">
        <v>0.95218491684967244</v>
      </c>
      <c r="G2190" s="8">
        <f t="shared" si="272"/>
        <v>1.0691503558630133</v>
      </c>
      <c r="H2190" s="8">
        <f t="shared" si="273"/>
        <v>0.99382562954205422</v>
      </c>
      <c r="I2190" s="8">
        <f t="shared" si="274"/>
        <v>0.92954711569996407</v>
      </c>
      <c r="J2190" s="22">
        <f t="shared" si="275"/>
        <v>-0.10540010240104788</v>
      </c>
      <c r="K2190" s="8"/>
      <c r="L2190" s="8">
        <v>1.1216603441335287</v>
      </c>
      <c r="M2190" s="8">
        <v>1.0881680976439259</v>
      </c>
      <c r="N2190" s="8">
        <v>0.86859810404225934</v>
      </c>
      <c r="O2190" s="8">
        <v>0.98955577698826291</v>
      </c>
      <c r="P2190" s="8">
        <f t="shared" si="276"/>
        <v>1.1049142208887273</v>
      </c>
      <c r="Q2190" s="8">
        <f t="shared" si="277"/>
        <v>0.92907694051526113</v>
      </c>
      <c r="R2190" s="8">
        <f t="shared" si="278"/>
        <v>0.84085888564993483</v>
      </c>
      <c r="S2190" s="22">
        <f t="shared" si="279"/>
        <v>-0.25006438959727306</v>
      </c>
      <c r="T2190" s="25"/>
      <c r="U2190" s="1" t="s">
        <v>6191</v>
      </c>
    </row>
    <row r="2191" spans="1:21">
      <c r="A2191" s="6" t="s">
        <v>6192</v>
      </c>
      <c r="B2191" s="13" t="s">
        <v>6193</v>
      </c>
      <c r="C2191" s="14">
        <v>1.056636222555174</v>
      </c>
      <c r="D2191" s="14">
        <v>1.0731519128185865</v>
      </c>
      <c r="E2191" s="14">
        <v>1.0207447949746757</v>
      </c>
      <c r="F2191" s="8">
        <v>0.95280842510035102</v>
      </c>
      <c r="G2191" s="8">
        <f t="shared" si="272"/>
        <v>1.0648940676868803</v>
      </c>
      <c r="H2191" s="8">
        <f t="shared" si="273"/>
        <v>0.98677661003751338</v>
      </c>
      <c r="I2191" s="8">
        <f t="shared" si="274"/>
        <v>0.92664297790760486</v>
      </c>
      <c r="J2191" s="22">
        <f t="shared" si="275"/>
        <v>-0.10991449844725171</v>
      </c>
      <c r="K2191" s="8"/>
      <c r="L2191" s="8">
        <v>1.1193759035141122</v>
      </c>
      <c r="M2191" s="8">
        <v>1.1134049022405463</v>
      </c>
      <c r="N2191" s="8">
        <v>0.7994387766842157</v>
      </c>
      <c r="O2191" s="8">
        <v>1.1205541617816657</v>
      </c>
      <c r="P2191" s="8">
        <f t="shared" si="276"/>
        <v>1.1163904028773293</v>
      </c>
      <c r="Q2191" s="8">
        <f t="shared" si="277"/>
        <v>0.95999646923294069</v>
      </c>
      <c r="R2191" s="8">
        <f t="shared" si="278"/>
        <v>0.85991107300698155</v>
      </c>
      <c r="S2191" s="22">
        <f t="shared" si="279"/>
        <v>-0.21774062247418108</v>
      </c>
      <c r="T2191" s="25"/>
      <c r="U2191" s="1" t="s">
        <v>6194</v>
      </c>
    </row>
    <row r="2192" spans="1:21">
      <c r="A2192" s="6" t="s">
        <v>6195</v>
      </c>
      <c r="B2192" s="6" t="s">
        <v>6196</v>
      </c>
      <c r="C2192" s="7">
        <v>9.3725760028509519E-2</v>
      </c>
      <c r="D2192" s="7">
        <v>8.9170079722833001E-2</v>
      </c>
      <c r="E2192" s="7">
        <v>0.22826449760916773</v>
      </c>
      <c r="F2192" s="8">
        <v>0.22945981805606622</v>
      </c>
      <c r="G2192" s="8">
        <f t="shared" si="272"/>
        <v>9.144791987567126E-2</v>
      </c>
      <c r="H2192" s="8">
        <f t="shared" si="273"/>
        <v>0.22886215783261699</v>
      </c>
      <c r="I2192" s="8">
        <f t="shared" si="274"/>
        <v>2.5026502313422583</v>
      </c>
      <c r="J2192" s="22">
        <f t="shared" si="275"/>
        <v>1.3234566750580958</v>
      </c>
      <c r="K2192" s="8"/>
      <c r="L2192" s="8">
        <v>0.75886261826243695</v>
      </c>
      <c r="M2192" s="8">
        <v>0.38144427206389087</v>
      </c>
      <c r="N2192" s="8">
        <v>0.38776802218932555</v>
      </c>
      <c r="O2192" s="8">
        <v>0.33002203134356639</v>
      </c>
      <c r="P2192" s="8">
        <f t="shared" si="276"/>
        <v>0.57015344516316391</v>
      </c>
      <c r="Q2192" s="8">
        <f t="shared" si="277"/>
        <v>0.35889502676644597</v>
      </c>
      <c r="R2192" s="8">
        <f t="shared" si="278"/>
        <v>0.62947094297349904</v>
      </c>
      <c r="S2192" s="22">
        <f t="shared" si="279"/>
        <v>-0.66778831169377129</v>
      </c>
      <c r="T2192" s="25"/>
      <c r="U2192" s="1" t="s">
        <v>6197</v>
      </c>
    </row>
    <row r="2193" spans="1:21">
      <c r="A2193" s="6" t="s">
        <v>6198</v>
      </c>
      <c r="B2193" s="13" t="s">
        <v>6199</v>
      </c>
      <c r="C2193" s="14">
        <v>0.95622337299216287</v>
      </c>
      <c r="D2193" s="14">
        <v>1.0550139988444711</v>
      </c>
      <c r="E2193" s="14">
        <v>0.97571567546338822</v>
      </c>
      <c r="F2193" s="8">
        <v>0.99669111141923661</v>
      </c>
      <c r="G2193" s="8">
        <f t="shared" si="272"/>
        <v>1.0056186859183169</v>
      </c>
      <c r="H2193" s="8">
        <f t="shared" si="273"/>
        <v>0.98620339344131236</v>
      </c>
      <c r="I2193" s="8">
        <f t="shared" si="274"/>
        <v>0.98069318644444758</v>
      </c>
      <c r="J2193" s="22">
        <f t="shared" si="275"/>
        <v>-2.8126240428982447E-2</v>
      </c>
      <c r="K2193" s="8"/>
      <c r="L2193" s="8">
        <v>1.1675395265734778</v>
      </c>
      <c r="M2193" s="8">
        <v>0.70327184121746589</v>
      </c>
      <c r="N2193" s="8">
        <v>0.85562719006601695</v>
      </c>
      <c r="O2193" s="8">
        <v>1.1639311103887526</v>
      </c>
      <c r="P2193" s="8">
        <f t="shared" si="276"/>
        <v>0.93540568389547185</v>
      </c>
      <c r="Q2193" s="8">
        <f t="shared" si="277"/>
        <v>1.0097791502273847</v>
      </c>
      <c r="R2193" s="8">
        <f t="shared" si="278"/>
        <v>1.0795093162382621</v>
      </c>
      <c r="S2193" s="22">
        <f t="shared" si="279"/>
        <v>0.11037569396972262</v>
      </c>
      <c r="T2193" s="25"/>
      <c r="U2193" s="1" t="s">
        <v>6200</v>
      </c>
    </row>
    <row r="2194" spans="1:21">
      <c r="A2194" s="6" t="s">
        <v>6201</v>
      </c>
      <c r="B2194" s="6" t="s">
        <v>6202</v>
      </c>
      <c r="C2194" s="7">
        <v>1.028023999871146</v>
      </c>
      <c r="D2194" s="7">
        <v>1.0979036075936688</v>
      </c>
      <c r="E2194" s="7">
        <v>0.87265636937318358</v>
      </c>
      <c r="F2194" s="8">
        <v>0.9976658919238186</v>
      </c>
      <c r="G2194" s="8">
        <f t="shared" si="272"/>
        <v>1.0629638037324074</v>
      </c>
      <c r="H2194" s="8">
        <f t="shared" si="273"/>
        <v>0.93516113064850104</v>
      </c>
      <c r="I2194" s="8">
        <f t="shared" si="274"/>
        <v>0.87976761519522106</v>
      </c>
      <c r="J2194" s="22">
        <f t="shared" si="275"/>
        <v>-0.18480559918281983</v>
      </c>
      <c r="K2194" s="8"/>
      <c r="L2194" s="8">
        <v>1.2738136078892521</v>
      </c>
      <c r="M2194" s="8">
        <v>0.814948200190311</v>
      </c>
      <c r="N2194" s="8">
        <v>0.87856701609386922</v>
      </c>
      <c r="O2194" s="8">
        <v>1.2921737831529991</v>
      </c>
      <c r="P2194" s="8">
        <f t="shared" si="276"/>
        <v>1.0443809040397816</v>
      </c>
      <c r="Q2194" s="8">
        <f t="shared" si="277"/>
        <v>1.0853703996234341</v>
      </c>
      <c r="R2194" s="8">
        <f t="shared" si="278"/>
        <v>1.0392476494209157</v>
      </c>
      <c r="S2194" s="22">
        <f t="shared" si="279"/>
        <v>5.5539484866184208E-2</v>
      </c>
      <c r="T2194" s="25"/>
      <c r="U2194" s="1" t="s">
        <v>6203</v>
      </c>
    </row>
    <row r="2195" spans="1:21">
      <c r="A2195" s="6" t="s">
        <v>6204</v>
      </c>
      <c r="B2195" s="13" t="s">
        <v>6205</v>
      </c>
      <c r="C2195" s="14">
        <v>1.0177385106212642</v>
      </c>
      <c r="D2195" s="14">
        <v>1.040410898793001</v>
      </c>
      <c r="E2195" s="14">
        <v>1.0550018439234099</v>
      </c>
      <c r="F2195" s="8">
        <v>1.0404157252238657</v>
      </c>
      <c r="G2195" s="8">
        <f t="shared" si="272"/>
        <v>1.0290747047071327</v>
      </c>
      <c r="H2195" s="8">
        <f t="shared" si="273"/>
        <v>1.0477087845736377</v>
      </c>
      <c r="I2195" s="8">
        <f t="shared" si="274"/>
        <v>1.018107606553023</v>
      </c>
      <c r="J2195" s="22">
        <f t="shared" si="275"/>
        <v>2.5890051822325705E-2</v>
      </c>
      <c r="K2195" s="8"/>
      <c r="L2195" s="8">
        <v>1.0274271685825958</v>
      </c>
      <c r="M2195" s="8">
        <v>1.0480504415383927</v>
      </c>
      <c r="N2195" s="8">
        <v>1.2910307522292284</v>
      </c>
      <c r="O2195" s="8">
        <v>0.99333212310229169</v>
      </c>
      <c r="P2195" s="8">
        <f t="shared" si="276"/>
        <v>1.0377388050604943</v>
      </c>
      <c r="Q2195" s="8">
        <f t="shared" si="277"/>
        <v>1.14218143766576</v>
      </c>
      <c r="R2195" s="8">
        <f t="shared" si="278"/>
        <v>1.1006444320053901</v>
      </c>
      <c r="S2195" s="22">
        <f t="shared" si="279"/>
        <v>0.13834847522998375</v>
      </c>
      <c r="T2195" s="25"/>
      <c r="U2195" s="1" t="s">
        <v>6206</v>
      </c>
    </row>
    <row r="2196" spans="1:21">
      <c r="A2196" s="6" t="s">
        <v>6207</v>
      </c>
      <c r="B2196" s="6" t="s">
        <v>6208</v>
      </c>
      <c r="C2196" s="7">
        <v>1.0251407155326067</v>
      </c>
      <c r="D2196" s="7">
        <v>1.0902341810058485</v>
      </c>
      <c r="E2196" s="7">
        <v>0.87773305723075212</v>
      </c>
      <c r="F2196" s="8">
        <v>0.93625472013515199</v>
      </c>
      <c r="G2196" s="8">
        <f t="shared" si="272"/>
        <v>1.0576874482692276</v>
      </c>
      <c r="H2196" s="8">
        <f t="shared" si="273"/>
        <v>0.90699388868295205</v>
      </c>
      <c r="I2196" s="8">
        <f t="shared" si="274"/>
        <v>0.8575254345384673</v>
      </c>
      <c r="J2196" s="22">
        <f t="shared" si="275"/>
        <v>-0.22174863207033763</v>
      </c>
      <c r="K2196" s="8"/>
      <c r="L2196" s="8">
        <v>1.2073268673616495</v>
      </c>
      <c r="M2196" s="8">
        <v>1.1169968319151116</v>
      </c>
      <c r="N2196" s="8">
        <v>0.77916110330650923</v>
      </c>
      <c r="O2196" s="8">
        <v>1.3193226498106112</v>
      </c>
      <c r="P2196" s="8">
        <f t="shared" si="276"/>
        <v>1.1621618496383805</v>
      </c>
      <c r="Q2196" s="8">
        <f t="shared" si="277"/>
        <v>1.0492418765585603</v>
      </c>
      <c r="R2196" s="8">
        <f t="shared" si="278"/>
        <v>0.90283627610478134</v>
      </c>
      <c r="S2196" s="22">
        <f t="shared" si="279"/>
        <v>-0.14746370747742363</v>
      </c>
      <c r="T2196" s="25"/>
      <c r="U2196" s="1" t="s">
        <v>6209</v>
      </c>
    </row>
    <row r="2197" spans="1:21">
      <c r="A2197" s="6" t="s">
        <v>6210</v>
      </c>
      <c r="B2197" s="13" t="s">
        <v>6211</v>
      </c>
      <c r="C2197" s="14">
        <v>0.90925398643242117</v>
      </c>
      <c r="D2197" s="14">
        <v>1.1019662444097404</v>
      </c>
      <c r="E2197" s="14">
        <v>1.0897419833694417</v>
      </c>
      <c r="F2197" s="8">
        <v>1.1146922433117454</v>
      </c>
      <c r="G2197" s="8">
        <f t="shared" si="272"/>
        <v>1.0056101154210808</v>
      </c>
      <c r="H2197" s="8">
        <f t="shared" si="273"/>
        <v>1.1022171133405936</v>
      </c>
      <c r="I2197" s="8">
        <f t="shared" si="274"/>
        <v>1.0960680450982341</v>
      </c>
      <c r="J2197" s="22">
        <f t="shared" si="275"/>
        <v>0.13233736515840114</v>
      </c>
      <c r="K2197" s="8"/>
      <c r="L2197" s="8">
        <v>1.1649695308766341</v>
      </c>
      <c r="M2197" s="8">
        <v>1.1289854803094395</v>
      </c>
      <c r="N2197" s="8">
        <v>1.1070590116404277</v>
      </c>
      <c r="O2197" s="8">
        <v>1.2909490222511519</v>
      </c>
      <c r="P2197" s="8">
        <f t="shared" si="276"/>
        <v>1.1469775055930369</v>
      </c>
      <c r="Q2197" s="8">
        <f t="shared" si="277"/>
        <v>1.1990040169457898</v>
      </c>
      <c r="R2197" s="8">
        <f t="shared" si="278"/>
        <v>1.0453596614572254</v>
      </c>
      <c r="S2197" s="22">
        <f t="shared" si="279"/>
        <v>6.3999394486541683E-2</v>
      </c>
      <c r="T2197" s="25"/>
      <c r="U2197" s="1" t="s">
        <v>6212</v>
      </c>
    </row>
    <row r="2198" spans="1:21">
      <c r="A2198" s="6" t="s">
        <v>6213</v>
      </c>
      <c r="B2198" s="6" t="s">
        <v>6214</v>
      </c>
      <c r="C2198" s="7">
        <v>0.96969645099626112</v>
      </c>
      <c r="D2198" s="7">
        <v>1.0119884357136333</v>
      </c>
      <c r="E2198" s="7">
        <v>1.0176428454657107</v>
      </c>
      <c r="F2198" s="8">
        <v>0.99528602240362296</v>
      </c>
      <c r="G2198" s="8">
        <f t="shared" si="272"/>
        <v>0.9908424433549472</v>
      </c>
      <c r="H2198" s="8">
        <f t="shared" si="273"/>
        <v>1.0064644339346669</v>
      </c>
      <c r="I2198" s="8">
        <f t="shared" si="274"/>
        <v>1.0157663720246222</v>
      </c>
      <c r="J2198" s="22">
        <f t="shared" si="275"/>
        <v>2.2568617976216818E-2</v>
      </c>
      <c r="K2198" s="8"/>
      <c r="L2198" s="8">
        <v>1.3292588854230081</v>
      </c>
      <c r="M2198" s="8">
        <v>0.85264013755457957</v>
      </c>
      <c r="N2198" s="8">
        <v>1.0091824205882578</v>
      </c>
      <c r="O2198" s="8">
        <v>1.0739111841029862</v>
      </c>
      <c r="P2198" s="8">
        <f t="shared" si="276"/>
        <v>1.0909495114887937</v>
      </c>
      <c r="Q2198" s="8">
        <f t="shared" si="277"/>
        <v>1.041546802345622</v>
      </c>
      <c r="R2198" s="8">
        <f t="shared" si="278"/>
        <v>0.95471586116230722</v>
      </c>
      <c r="S2198" s="22">
        <f t="shared" si="279"/>
        <v>-6.6856667169616052E-2</v>
      </c>
      <c r="T2198" s="25"/>
      <c r="U2198" s="1" t="s">
        <v>6215</v>
      </c>
    </row>
    <row r="2199" spans="1:21">
      <c r="A2199" s="6" t="s">
        <v>6216</v>
      </c>
      <c r="B2199" s="13" t="s">
        <v>6217</v>
      </c>
      <c r="C2199" s="14">
        <v>0.15140666202008088</v>
      </c>
      <c r="D2199" s="14">
        <v>0.16711192698549943</v>
      </c>
      <c r="E2199" s="14">
        <v>0.38273480293812073</v>
      </c>
      <c r="F2199" s="8">
        <v>0.3595183700638101</v>
      </c>
      <c r="G2199" s="8">
        <f t="shared" si="272"/>
        <v>0.15925929450279014</v>
      </c>
      <c r="H2199" s="8">
        <f t="shared" si="273"/>
        <v>0.37112658650096542</v>
      </c>
      <c r="I2199" s="8">
        <f t="shared" si="274"/>
        <v>2.3303292134982017</v>
      </c>
      <c r="J2199" s="22">
        <f t="shared" si="275"/>
        <v>1.2205337836909038</v>
      </c>
      <c r="K2199" s="8"/>
      <c r="L2199" s="8">
        <v>1.099910565736167</v>
      </c>
      <c r="M2199" s="8">
        <v>1.1406475896424433</v>
      </c>
      <c r="N2199" s="8">
        <v>0.84078710508009769</v>
      </c>
      <c r="O2199" s="8">
        <v>1.080034988612222</v>
      </c>
      <c r="P2199" s="8">
        <f t="shared" si="276"/>
        <v>1.1202790776893052</v>
      </c>
      <c r="Q2199" s="8">
        <f t="shared" si="277"/>
        <v>0.96041104684615985</v>
      </c>
      <c r="R2199" s="8">
        <f t="shared" si="278"/>
        <v>0.85729624517054248</v>
      </c>
      <c r="S2199" s="22">
        <f t="shared" si="279"/>
        <v>-0.22213427026282248</v>
      </c>
      <c r="T2199" s="25"/>
      <c r="U2199" s="1" t="s">
        <v>6218</v>
      </c>
    </row>
    <row r="2200" spans="1:21">
      <c r="A2200" s="6" t="s">
        <v>6219</v>
      </c>
      <c r="B2200" s="6" t="s">
        <v>6220</v>
      </c>
      <c r="C2200" s="7">
        <v>0.8284383412390075</v>
      </c>
      <c r="D2200" s="7">
        <v>0.82739437471251842</v>
      </c>
      <c r="E2200" s="7">
        <v>1.2115740166792026</v>
      </c>
      <c r="F2200" s="8">
        <v>1.1317728566577996</v>
      </c>
      <c r="G2200" s="8">
        <f t="shared" si="272"/>
        <v>0.82791635797576291</v>
      </c>
      <c r="H2200" s="8">
        <f t="shared" si="273"/>
        <v>1.1716734366685011</v>
      </c>
      <c r="I2200" s="8">
        <f t="shared" si="274"/>
        <v>1.4152074969665012</v>
      </c>
      <c r="J2200" s="22">
        <f t="shared" si="275"/>
        <v>0.50101359574116788</v>
      </c>
      <c r="K2200" s="8"/>
      <c r="L2200" s="8">
        <v>0.4928204711262173</v>
      </c>
      <c r="M2200" s="8">
        <v>0.55791531049090559</v>
      </c>
      <c r="N2200" s="8">
        <v>0.58187859946697951</v>
      </c>
      <c r="O2200" s="8">
        <v>0.44846661689303569</v>
      </c>
      <c r="P2200" s="8">
        <f t="shared" si="276"/>
        <v>0.5253678908085615</v>
      </c>
      <c r="Q2200" s="8">
        <f t="shared" si="277"/>
        <v>0.51517260818000765</v>
      </c>
      <c r="R2200" s="8">
        <f t="shared" si="278"/>
        <v>0.98059401267773916</v>
      </c>
      <c r="S2200" s="22">
        <f t="shared" si="279"/>
        <v>-2.8272142060933654E-2</v>
      </c>
      <c r="T2200" s="25"/>
      <c r="U2200" s="1" t="s">
        <v>6221</v>
      </c>
    </row>
    <row r="2201" spans="1:21">
      <c r="A2201" s="6" t="s">
        <v>6222</v>
      </c>
      <c r="B2201" s="13" t="s">
        <v>6223</v>
      </c>
      <c r="C2201" s="14">
        <v>1.002964531240147</v>
      </c>
      <c r="D2201" s="14">
        <v>1.0866273912340998</v>
      </c>
      <c r="E2201" s="14">
        <v>1.0858603088472942</v>
      </c>
      <c r="F2201" s="8">
        <v>1.1911115221484361</v>
      </c>
      <c r="G2201" s="8">
        <f t="shared" si="272"/>
        <v>1.0447959612371234</v>
      </c>
      <c r="H2201" s="8">
        <f t="shared" si="273"/>
        <v>1.1384859154978653</v>
      </c>
      <c r="I2201" s="8">
        <f t="shared" si="274"/>
        <v>1.0896729674852546</v>
      </c>
      <c r="J2201" s="22">
        <f t="shared" si="275"/>
        <v>0.12389521850710251</v>
      </c>
      <c r="K2201" s="8"/>
      <c r="L2201" s="8">
        <v>1.1039083368201459</v>
      </c>
      <c r="M2201" s="8">
        <v>1.0044808010702901</v>
      </c>
      <c r="N2201" s="8">
        <v>1.433427598239156</v>
      </c>
      <c r="O2201" s="8">
        <v>1.083352049388058</v>
      </c>
      <c r="P2201" s="8">
        <f t="shared" si="276"/>
        <v>1.0541945689452179</v>
      </c>
      <c r="Q2201" s="8">
        <f t="shared" si="277"/>
        <v>1.2583898238136069</v>
      </c>
      <c r="R2201" s="8">
        <f t="shared" si="278"/>
        <v>1.1936978816659034</v>
      </c>
      <c r="S2201" s="22">
        <f t="shared" si="279"/>
        <v>0.25543774466371205</v>
      </c>
      <c r="T2201" s="25"/>
      <c r="U2201" s="1" t="s">
        <v>6224</v>
      </c>
    </row>
    <row r="2202" spans="1:21">
      <c r="A2202" s="6" t="s">
        <v>6225</v>
      </c>
      <c r="B2202" s="6" t="s">
        <v>6226</v>
      </c>
      <c r="C2202" s="7">
        <v>0.90332005032672014</v>
      </c>
      <c r="D2202" s="7">
        <v>1.0775024530310726</v>
      </c>
      <c r="E2202" s="7">
        <v>0.85745173161612553</v>
      </c>
      <c r="F2202" s="8">
        <v>0.75363705713710782</v>
      </c>
      <c r="G2202" s="8">
        <f t="shared" si="272"/>
        <v>0.99041125167889632</v>
      </c>
      <c r="H2202" s="8">
        <f t="shared" si="273"/>
        <v>0.80554439437661673</v>
      </c>
      <c r="I2202" s="8">
        <f t="shared" si="274"/>
        <v>0.81334333895247812</v>
      </c>
      <c r="J2202" s="22">
        <f t="shared" si="275"/>
        <v>-0.29806360502111101</v>
      </c>
      <c r="K2202" s="8"/>
      <c r="L2202" s="8">
        <v>1.1004340833781165</v>
      </c>
      <c r="M2202" s="8">
        <v>1.0398869650052898</v>
      </c>
      <c r="N2202" s="8">
        <v>1.0422044417592156</v>
      </c>
      <c r="O2202" s="8">
        <v>0.9920052987919572</v>
      </c>
      <c r="P2202" s="8">
        <f t="shared" si="276"/>
        <v>1.0701605241917032</v>
      </c>
      <c r="Q2202" s="8">
        <f t="shared" si="277"/>
        <v>1.0171048702755865</v>
      </c>
      <c r="R2202" s="8">
        <f t="shared" si="278"/>
        <v>0.9504227144276417</v>
      </c>
      <c r="S2202" s="22">
        <f t="shared" si="279"/>
        <v>-7.3358778950154108E-2</v>
      </c>
      <c r="T2202" s="25"/>
      <c r="U2202" s="1" t="s">
        <v>6227</v>
      </c>
    </row>
    <row r="2203" spans="1:21">
      <c r="A2203" s="6" t="s">
        <v>6228</v>
      </c>
      <c r="B2203" s="13" t="s">
        <v>6229</v>
      </c>
      <c r="C2203" s="14">
        <v>1.0419078888364082</v>
      </c>
      <c r="D2203" s="14">
        <v>1.0311500062083336</v>
      </c>
      <c r="E2203" s="14">
        <v>1.0212448360157385</v>
      </c>
      <c r="F2203" s="8">
        <v>1.0023905037388197</v>
      </c>
      <c r="G2203" s="8">
        <f t="shared" si="272"/>
        <v>1.0365289475223709</v>
      </c>
      <c r="H2203" s="8">
        <f t="shared" si="273"/>
        <v>1.0118176698772792</v>
      </c>
      <c r="I2203" s="8">
        <f t="shared" si="274"/>
        <v>0.97615958753090359</v>
      </c>
      <c r="J2203" s="22">
        <f t="shared" si="275"/>
        <v>-3.4811068699293499E-2</v>
      </c>
      <c r="K2203" s="8"/>
      <c r="L2203" s="8">
        <v>1.2631052924857371</v>
      </c>
      <c r="M2203" s="8">
        <v>1.2353439174264349</v>
      </c>
      <c r="N2203" s="8">
        <v>0.8622542509185076</v>
      </c>
      <c r="O2203" s="8">
        <v>1.2678826919330304</v>
      </c>
      <c r="P2203" s="8">
        <f t="shared" si="276"/>
        <v>1.249224604956086</v>
      </c>
      <c r="Q2203" s="8">
        <f t="shared" si="277"/>
        <v>1.065068471425769</v>
      </c>
      <c r="R2203" s="8">
        <f t="shared" si="278"/>
        <v>0.85258364844903878</v>
      </c>
      <c r="S2203" s="22">
        <f t="shared" si="279"/>
        <v>-0.23008670851314397</v>
      </c>
      <c r="T2203" s="25"/>
      <c r="U2203" s="1" t="s">
        <v>6230</v>
      </c>
    </row>
    <row r="2204" spans="1:21">
      <c r="A2204" s="6" t="s">
        <v>6231</v>
      </c>
      <c r="B2204" s="6" t="s">
        <v>6232</v>
      </c>
      <c r="C2204" s="7">
        <v>0.95691566553782803</v>
      </c>
      <c r="D2204" s="7">
        <v>1.0395471886037573</v>
      </c>
      <c r="E2204" s="7">
        <v>1.0083200463950508</v>
      </c>
      <c r="F2204" s="8">
        <v>0.92718311417809596</v>
      </c>
      <c r="G2204" s="8">
        <f t="shared" si="272"/>
        <v>0.9982314270707926</v>
      </c>
      <c r="H2204" s="8">
        <f t="shared" si="273"/>
        <v>0.96775158028657338</v>
      </c>
      <c r="I2204" s="8">
        <f t="shared" si="274"/>
        <v>0.96946615187856866</v>
      </c>
      <c r="J2204" s="22">
        <f t="shared" si="275"/>
        <v>-4.473756619881835E-2</v>
      </c>
      <c r="K2204" s="8"/>
      <c r="L2204" s="8">
        <v>0.85152524088752102</v>
      </c>
      <c r="M2204" s="8">
        <v>1.2445336595808418</v>
      </c>
      <c r="N2204" s="8">
        <v>0.80572598826221975</v>
      </c>
      <c r="O2204" s="8">
        <v>0.74271542356181619</v>
      </c>
      <c r="P2204" s="8">
        <f t="shared" si="276"/>
        <v>1.0480294502341814</v>
      </c>
      <c r="Q2204" s="8">
        <f t="shared" si="277"/>
        <v>0.77422070591201797</v>
      </c>
      <c r="R2204" s="8">
        <f t="shared" si="278"/>
        <v>0.7387394559752295</v>
      </c>
      <c r="S2204" s="22">
        <f t="shared" si="279"/>
        <v>-0.43686246102975534</v>
      </c>
      <c r="T2204" s="25"/>
      <c r="U2204" s="1" t="s">
        <v>6233</v>
      </c>
    </row>
    <row r="2205" spans="1:21">
      <c r="A2205" s="6" t="s">
        <v>6234</v>
      </c>
      <c r="B2205" s="13" t="s">
        <v>6235</v>
      </c>
      <c r="C2205" s="14">
        <v>0.16436242251752825</v>
      </c>
      <c r="D2205" s="14">
        <v>0.17481334283958805</v>
      </c>
      <c r="E2205" s="14">
        <v>0.37079314485579357</v>
      </c>
      <c r="F2205" s="8">
        <v>0.3432017738699959</v>
      </c>
      <c r="G2205" s="8">
        <f t="shared" si="272"/>
        <v>0.16958788267855815</v>
      </c>
      <c r="H2205" s="8">
        <f t="shared" si="273"/>
        <v>0.35699745936289473</v>
      </c>
      <c r="I2205" s="8">
        <f t="shared" si="274"/>
        <v>2.1050882511432625</v>
      </c>
      <c r="J2205" s="22">
        <f t="shared" si="275"/>
        <v>1.0738807163405584</v>
      </c>
      <c r="K2205" s="8"/>
      <c r="L2205" s="8">
        <v>1.3076042920514555</v>
      </c>
      <c r="M2205" s="8">
        <v>1.2909022062888653</v>
      </c>
      <c r="N2205" s="8">
        <v>1.0701853653586206</v>
      </c>
      <c r="O2205" s="8">
        <v>1.27181213315979</v>
      </c>
      <c r="P2205" s="8">
        <f t="shared" si="276"/>
        <v>1.2992532491701603</v>
      </c>
      <c r="Q2205" s="8">
        <f t="shared" si="277"/>
        <v>1.1709987492592053</v>
      </c>
      <c r="R2205" s="8">
        <f t="shared" si="278"/>
        <v>0.90128598870707333</v>
      </c>
      <c r="S2205" s="22">
        <f t="shared" si="279"/>
        <v>-0.14994313199842235</v>
      </c>
      <c r="T2205" s="25"/>
      <c r="U2205" s="1" t="s">
        <v>6236</v>
      </c>
    </row>
    <row r="2206" spans="1:21">
      <c r="A2206" s="6" t="s">
        <v>6237</v>
      </c>
      <c r="B2206" s="13" t="s">
        <v>80</v>
      </c>
      <c r="C2206" s="14">
        <v>1.018560132543592</v>
      </c>
      <c r="D2206" s="14">
        <v>1.0955763884726513</v>
      </c>
      <c r="E2206" s="14">
        <v>1.0713506433845945</v>
      </c>
      <c r="F2206" s="8">
        <v>1.0130691802574838</v>
      </c>
      <c r="G2206" s="8">
        <f t="shared" si="272"/>
        <v>1.0570682605081216</v>
      </c>
      <c r="H2206" s="8">
        <f t="shared" si="273"/>
        <v>1.0422099118210393</v>
      </c>
      <c r="I2206" s="8">
        <f t="shared" si="274"/>
        <v>0.98594381342985349</v>
      </c>
      <c r="J2206" s="22">
        <f t="shared" si="275"/>
        <v>-2.0422661667320423E-2</v>
      </c>
      <c r="K2206" s="8"/>
      <c r="L2206" s="8">
        <v>0.83838970732587581</v>
      </c>
      <c r="M2206" s="8">
        <v>1.0057869573155864</v>
      </c>
      <c r="N2206" s="8">
        <v>0.84543171183141597</v>
      </c>
      <c r="O2206" s="8">
        <v>0.75113565476201549</v>
      </c>
      <c r="P2206" s="8">
        <f t="shared" si="276"/>
        <v>0.92208833232073117</v>
      </c>
      <c r="Q2206" s="8">
        <f t="shared" si="277"/>
        <v>0.79828368329671573</v>
      </c>
      <c r="R2206" s="8">
        <f t="shared" si="278"/>
        <v>0.86573450212473535</v>
      </c>
      <c r="S2206" s="22">
        <f t="shared" si="279"/>
        <v>-0.20800343852077979</v>
      </c>
      <c r="T2206" s="25"/>
      <c r="U2206" s="1">
        <v>0</v>
      </c>
    </row>
    <row r="2207" spans="1:21">
      <c r="A2207" s="6" t="s">
        <v>6238</v>
      </c>
      <c r="B2207" s="13" t="s">
        <v>6239</v>
      </c>
      <c r="C2207" s="14">
        <v>0.98197513416882731</v>
      </c>
      <c r="D2207" s="14">
        <v>1.1297889087465778</v>
      </c>
      <c r="E2207" s="14">
        <v>1.043653454872852</v>
      </c>
      <c r="F2207" s="8">
        <v>1.0279631238229892</v>
      </c>
      <c r="G2207" s="8">
        <f t="shared" si="272"/>
        <v>1.0558820214577025</v>
      </c>
      <c r="H2207" s="8">
        <f t="shared" si="273"/>
        <v>1.0358082893479206</v>
      </c>
      <c r="I2207" s="8">
        <f t="shared" si="274"/>
        <v>0.98098866000003582</v>
      </c>
      <c r="J2207" s="22">
        <f t="shared" si="275"/>
        <v>-2.7691635564429842E-2</v>
      </c>
      <c r="K2207" s="8"/>
      <c r="L2207" s="8">
        <v>1.2310755313010007</v>
      </c>
      <c r="M2207" s="8">
        <v>1.1854767379185103</v>
      </c>
      <c r="N2207" s="8">
        <v>0.81864026069271434</v>
      </c>
      <c r="O2207" s="8">
        <v>1.1929171183991354</v>
      </c>
      <c r="P2207" s="8">
        <f t="shared" si="276"/>
        <v>1.2082761346097555</v>
      </c>
      <c r="Q2207" s="8">
        <f t="shared" si="277"/>
        <v>1.0057786895459249</v>
      </c>
      <c r="R2207" s="8">
        <f t="shared" si="278"/>
        <v>0.83240797425066049</v>
      </c>
      <c r="S2207" s="22">
        <f t="shared" si="279"/>
        <v>-0.26463730910678901</v>
      </c>
      <c r="T2207" s="25"/>
      <c r="U2207" s="1" t="s">
        <v>6240</v>
      </c>
    </row>
    <row r="2208" spans="1:21">
      <c r="A2208" s="6" t="s">
        <v>6241</v>
      </c>
      <c r="B2208" s="6" t="s">
        <v>6242</v>
      </c>
      <c r="C2208" s="7">
        <v>1.0061901580463228</v>
      </c>
      <c r="D2208" s="7">
        <v>1.0946806890171394</v>
      </c>
      <c r="E2208" s="7">
        <v>1.0741220572901451</v>
      </c>
      <c r="F2208" s="8">
        <v>1.0068955703951312</v>
      </c>
      <c r="G2208" s="8">
        <f t="shared" si="272"/>
        <v>1.0504354235317312</v>
      </c>
      <c r="H2208" s="8">
        <f t="shared" si="273"/>
        <v>1.0405088138426382</v>
      </c>
      <c r="I2208" s="8">
        <f t="shared" si="274"/>
        <v>0.99055000482017419</v>
      </c>
      <c r="J2208" s="22">
        <f t="shared" si="275"/>
        <v>-1.3698287985492124E-2</v>
      </c>
      <c r="K2208" s="8"/>
      <c r="L2208" s="8">
        <v>1.2353112649495024</v>
      </c>
      <c r="M2208" s="8">
        <v>0.7639148097490861</v>
      </c>
      <c r="N2208" s="8">
        <v>0.90190333294195602</v>
      </c>
      <c r="O2208" s="8">
        <v>0.89861728002611119</v>
      </c>
      <c r="P2208" s="8">
        <f t="shared" si="276"/>
        <v>0.99961303734929419</v>
      </c>
      <c r="Q2208" s="8">
        <f t="shared" si="277"/>
        <v>0.90026030648403355</v>
      </c>
      <c r="R2208" s="8">
        <f t="shared" si="278"/>
        <v>0.9006088084558026</v>
      </c>
      <c r="S2208" s="22">
        <f t="shared" si="279"/>
        <v>-0.15102750677749283</v>
      </c>
      <c r="T2208" s="25"/>
      <c r="U2208" s="1" t="s">
        <v>6243</v>
      </c>
    </row>
    <row r="2209" spans="1:21">
      <c r="A2209" s="6" t="s">
        <v>6244</v>
      </c>
      <c r="B2209" s="13" t="s">
        <v>6245</v>
      </c>
      <c r="C2209" s="14">
        <v>1.0394202002382489</v>
      </c>
      <c r="D2209" s="14">
        <v>1.0955124099401148</v>
      </c>
      <c r="E2209" s="14">
        <v>1.1425853035563189</v>
      </c>
      <c r="F2209" s="8">
        <v>1.1487393065213352</v>
      </c>
      <c r="G2209" s="8">
        <f t="shared" si="272"/>
        <v>1.0674663050891819</v>
      </c>
      <c r="H2209" s="8">
        <f t="shared" si="273"/>
        <v>1.145662305038827</v>
      </c>
      <c r="I2209" s="8">
        <f t="shared" si="274"/>
        <v>1.0732538344084894</v>
      </c>
      <c r="J2209" s="22">
        <f t="shared" si="275"/>
        <v>0.1019913271041441</v>
      </c>
      <c r="K2209" s="8"/>
      <c r="L2209" s="8">
        <v>0.88945647367241676</v>
      </c>
      <c r="M2209" s="8">
        <v>0.99673716047317551</v>
      </c>
      <c r="N2209" s="8">
        <v>0.62526602350978167</v>
      </c>
      <c r="O2209" s="8">
        <v>0.6294250401409538</v>
      </c>
      <c r="P2209" s="8">
        <f t="shared" si="276"/>
        <v>0.94309681707279613</v>
      </c>
      <c r="Q2209" s="8">
        <f t="shared" si="277"/>
        <v>0.62734553182536779</v>
      </c>
      <c r="R2209" s="8">
        <f t="shared" si="278"/>
        <v>0.66519738002354423</v>
      </c>
      <c r="S2209" s="22">
        <f t="shared" si="279"/>
        <v>-0.58814560851486186</v>
      </c>
      <c r="T2209" s="25"/>
      <c r="U2209" s="1" t="s">
        <v>6246</v>
      </c>
    </row>
    <row r="2210" spans="1:21">
      <c r="A2210" s="6" t="s">
        <v>6247</v>
      </c>
      <c r="B2210" s="13" t="s">
        <v>5851</v>
      </c>
      <c r="C2210" s="14">
        <v>1.078393988276078</v>
      </c>
      <c r="D2210" s="14">
        <v>1.1895528554522936</v>
      </c>
      <c r="E2210" s="14">
        <v>1.0129899212022631</v>
      </c>
      <c r="F2210" s="8">
        <v>0.94870732153602855</v>
      </c>
      <c r="G2210" s="8">
        <f t="shared" si="272"/>
        <v>1.1339734218641859</v>
      </c>
      <c r="H2210" s="8">
        <f t="shared" si="273"/>
        <v>0.98084862136914586</v>
      </c>
      <c r="I2210" s="8">
        <f t="shared" si="274"/>
        <v>0.86496614687554862</v>
      </c>
      <c r="J2210" s="22">
        <f t="shared" si="275"/>
        <v>-0.20928442536401065</v>
      </c>
      <c r="K2210" s="8"/>
      <c r="L2210" s="8">
        <v>1.0789698600581819</v>
      </c>
      <c r="M2210" s="8">
        <v>0.99188572299064592</v>
      </c>
      <c r="N2210" s="8">
        <v>0.79649341630533099</v>
      </c>
      <c r="O2210" s="8">
        <v>0.79634974472187314</v>
      </c>
      <c r="P2210" s="8">
        <f t="shared" si="276"/>
        <v>1.0354277915244139</v>
      </c>
      <c r="Q2210" s="8">
        <f t="shared" si="277"/>
        <v>0.79642158051360212</v>
      </c>
      <c r="R2210" s="8">
        <f t="shared" si="278"/>
        <v>0.76917153183716114</v>
      </c>
      <c r="S2210" s="22">
        <f t="shared" si="279"/>
        <v>-0.3786227274739673</v>
      </c>
      <c r="T2210" s="25"/>
      <c r="U2210" s="1">
        <v>0</v>
      </c>
    </row>
    <row r="2211" spans="1:21">
      <c r="A2211" s="6" t="s">
        <v>6248</v>
      </c>
      <c r="B2211" s="13" t="s">
        <v>80</v>
      </c>
      <c r="C2211" s="14">
        <v>0.93990504870148495</v>
      </c>
      <c r="D2211" s="14">
        <v>1.0870912355949898</v>
      </c>
      <c r="E2211" s="14">
        <v>1.0406023569951814</v>
      </c>
      <c r="F2211" s="8">
        <v>0.97724819216568193</v>
      </c>
      <c r="G2211" s="8">
        <f t="shared" si="272"/>
        <v>1.0134981421482374</v>
      </c>
      <c r="H2211" s="8">
        <f t="shared" si="273"/>
        <v>1.0089252745804318</v>
      </c>
      <c r="I2211" s="8">
        <f t="shared" si="274"/>
        <v>0.99548803556944576</v>
      </c>
      <c r="J2211" s="22">
        <f t="shared" si="275"/>
        <v>-6.5241180961343251E-3</v>
      </c>
      <c r="K2211" s="8"/>
      <c r="L2211" s="8">
        <v>1.1629706453346447</v>
      </c>
      <c r="M2211" s="8">
        <v>0.84391687977349272</v>
      </c>
      <c r="N2211" s="8">
        <v>0.95373034730117789</v>
      </c>
      <c r="O2211" s="8">
        <v>1.0618166701972453</v>
      </c>
      <c r="P2211" s="8">
        <f t="shared" si="276"/>
        <v>1.0034437625540686</v>
      </c>
      <c r="Q2211" s="8">
        <f t="shared" si="277"/>
        <v>1.0077735087492117</v>
      </c>
      <c r="R2211" s="8">
        <f t="shared" si="278"/>
        <v>1.0043148867497294</v>
      </c>
      <c r="S2211" s="22">
        <f t="shared" si="279"/>
        <v>6.2116739977234334E-3</v>
      </c>
      <c r="T2211" s="25"/>
      <c r="U2211" s="1">
        <v>0</v>
      </c>
    </row>
    <row r="2212" spans="1:21">
      <c r="A2212" s="6" t="s">
        <v>6249</v>
      </c>
      <c r="B2212" s="13" t="s">
        <v>80</v>
      </c>
      <c r="C2212" s="14">
        <v>0.98693529614436204</v>
      </c>
      <c r="D2212" s="14">
        <v>1.0978636210108335</v>
      </c>
      <c r="E2212" s="14">
        <v>1.0939541934950037</v>
      </c>
      <c r="F2212" s="8">
        <v>1.0380007284782797</v>
      </c>
      <c r="G2212" s="8">
        <f t="shared" si="272"/>
        <v>1.0423994585775977</v>
      </c>
      <c r="H2212" s="8">
        <f t="shared" si="273"/>
        <v>1.0659774609866417</v>
      </c>
      <c r="I2212" s="8">
        <f t="shared" si="274"/>
        <v>1.0226189703141415</v>
      </c>
      <c r="J2212" s="22">
        <f t="shared" si="275"/>
        <v>3.2268694411778071E-2</v>
      </c>
      <c r="K2212" s="8"/>
      <c r="L2212" s="8">
        <v>1.2401181087528579</v>
      </c>
      <c r="M2212" s="8">
        <v>1.2735489876013555</v>
      </c>
      <c r="N2212" s="8">
        <v>1.1194068686134446</v>
      </c>
      <c r="O2212" s="8">
        <v>1.3830612484109073</v>
      </c>
      <c r="P2212" s="8">
        <f t="shared" si="276"/>
        <v>1.2568335481771067</v>
      </c>
      <c r="Q2212" s="8">
        <f t="shared" si="277"/>
        <v>1.251234058512176</v>
      </c>
      <c r="R2212" s="8">
        <f t="shared" si="278"/>
        <v>0.99554476432217121</v>
      </c>
      <c r="S2212" s="22">
        <f t="shared" si="279"/>
        <v>-6.4419072051239762E-3</v>
      </c>
      <c r="T2212" s="25"/>
      <c r="U2212" s="1">
        <v>0</v>
      </c>
    </row>
    <row r="2213" spans="1:21">
      <c r="A2213" s="6" t="s">
        <v>6250</v>
      </c>
      <c r="B2213" s="13" t="s">
        <v>6251</v>
      </c>
      <c r="C2213" s="14">
        <v>1.0685421328185358</v>
      </c>
      <c r="D2213" s="14">
        <v>1.0733038618333608</v>
      </c>
      <c r="E2213" s="14">
        <v>1.0544679017948175</v>
      </c>
      <c r="F2213" s="8">
        <v>0.97359496072508633</v>
      </c>
      <c r="G2213" s="8">
        <f t="shared" si="272"/>
        <v>1.0709229973259484</v>
      </c>
      <c r="H2213" s="8">
        <f t="shared" si="273"/>
        <v>1.0140314312599519</v>
      </c>
      <c r="I2213" s="8">
        <f t="shared" si="274"/>
        <v>0.9468761374925625</v>
      </c>
      <c r="J2213" s="22">
        <f t="shared" si="275"/>
        <v>-7.8752378288187527E-2</v>
      </c>
      <c r="K2213" s="8"/>
      <c r="L2213" s="8">
        <v>1.2420218092690385</v>
      </c>
      <c r="M2213" s="8">
        <v>1.166350878612384</v>
      </c>
      <c r="N2213" s="8">
        <v>1.3502211675356621</v>
      </c>
      <c r="O2213" s="8">
        <v>1.2778338742605386</v>
      </c>
      <c r="P2213" s="8">
        <f t="shared" si="276"/>
        <v>1.2041863439407112</v>
      </c>
      <c r="Q2213" s="8">
        <f t="shared" si="277"/>
        <v>1.3140275208981005</v>
      </c>
      <c r="R2213" s="8">
        <f t="shared" si="278"/>
        <v>1.0912160958393973</v>
      </c>
      <c r="S2213" s="22">
        <f t="shared" si="279"/>
        <v>0.12593682991498567</v>
      </c>
      <c r="T2213" s="25"/>
      <c r="U2213" s="1" t="s">
        <v>6252</v>
      </c>
    </row>
    <row r="2214" spans="1:21">
      <c r="A2214" s="6" t="s">
        <v>6253</v>
      </c>
      <c r="B2214" s="6" t="s">
        <v>6254</v>
      </c>
      <c r="C2214" s="7">
        <v>1.0595423297248892</v>
      </c>
      <c r="D2214" s="7">
        <v>1.0678736838843201</v>
      </c>
      <c r="E2214" s="7">
        <v>1.0427974524127277</v>
      </c>
      <c r="F2214" s="8">
        <v>0.97547426728346964</v>
      </c>
      <c r="G2214" s="8">
        <f t="shared" si="272"/>
        <v>1.0637080068046045</v>
      </c>
      <c r="H2214" s="8">
        <f t="shared" si="273"/>
        <v>1.0091358598480986</v>
      </c>
      <c r="I2214" s="8">
        <f t="shared" si="274"/>
        <v>0.94869630894248747</v>
      </c>
      <c r="J2214" s="22">
        <f t="shared" si="275"/>
        <v>-7.5981760751115734E-2</v>
      </c>
      <c r="K2214" s="8"/>
      <c r="L2214" s="8">
        <v>1.0944374267521482</v>
      </c>
      <c r="M2214" s="8">
        <v>1.0700685039591038</v>
      </c>
      <c r="N2214" s="8">
        <v>0.91940557057802108</v>
      </c>
      <c r="O2214" s="8">
        <v>1.2370085108656332</v>
      </c>
      <c r="P2214" s="8">
        <f t="shared" si="276"/>
        <v>1.0822529653556261</v>
      </c>
      <c r="Q2214" s="8">
        <f t="shared" si="277"/>
        <v>1.0782070407218272</v>
      </c>
      <c r="R2214" s="8">
        <f t="shared" si="278"/>
        <v>0.99626157214319166</v>
      </c>
      <c r="S2214" s="22">
        <f t="shared" si="279"/>
        <v>-5.4035179658003998E-3</v>
      </c>
      <c r="T2214" s="25"/>
      <c r="U2214" s="1" t="s">
        <v>6255</v>
      </c>
    </row>
    <row r="2215" spans="1:21">
      <c r="A2215" s="6" t="s">
        <v>6256</v>
      </c>
      <c r="B2215" s="13" t="s">
        <v>6257</v>
      </c>
      <c r="C2215" s="14">
        <v>1.0784015958864699</v>
      </c>
      <c r="D2215" s="14">
        <v>1.0887946640237758</v>
      </c>
      <c r="E2215" s="14">
        <v>0.91870252151036136</v>
      </c>
      <c r="F2215" s="8">
        <v>0.94033826008677934</v>
      </c>
      <c r="G2215" s="8">
        <f t="shared" si="272"/>
        <v>1.0835981299551229</v>
      </c>
      <c r="H2215" s="8">
        <f t="shared" si="273"/>
        <v>0.9295203907985703</v>
      </c>
      <c r="I2215" s="8">
        <f t="shared" si="274"/>
        <v>0.85780915000016311</v>
      </c>
      <c r="J2215" s="22">
        <f t="shared" si="275"/>
        <v>-0.22127139002434379</v>
      </c>
      <c r="K2215" s="8"/>
      <c r="L2215" s="8">
        <v>0.75681614020754295</v>
      </c>
      <c r="M2215" s="8">
        <v>0.93394836382428259</v>
      </c>
      <c r="N2215" s="8">
        <v>0.8672387069443126</v>
      </c>
      <c r="O2215" s="8">
        <v>1.0877918076572539</v>
      </c>
      <c r="P2215" s="8">
        <f t="shared" si="276"/>
        <v>0.84538225201591277</v>
      </c>
      <c r="Q2215" s="8">
        <f t="shared" si="277"/>
        <v>0.97751525730078326</v>
      </c>
      <c r="R2215" s="8">
        <f t="shared" si="278"/>
        <v>1.1562997152705583</v>
      </c>
      <c r="S2215" s="22">
        <f t="shared" si="279"/>
        <v>0.20951539584073584</v>
      </c>
      <c r="T2215" s="25"/>
      <c r="U2215" s="1" t="s">
        <v>6258</v>
      </c>
    </row>
    <row r="2216" spans="1:21">
      <c r="A2216" s="6" t="s">
        <v>6259</v>
      </c>
      <c r="B2216" s="13" t="s">
        <v>6260</v>
      </c>
      <c r="C2216" s="14">
        <v>0.9915607232626521</v>
      </c>
      <c r="D2216" s="14">
        <v>1.0249680805019883</v>
      </c>
      <c r="E2216" s="14">
        <v>0.82177083699114517</v>
      </c>
      <c r="F2216" s="8">
        <v>0.83269965968442172</v>
      </c>
      <c r="G2216" s="8">
        <f t="shared" si="272"/>
        <v>1.0082644018823201</v>
      </c>
      <c r="H2216" s="8">
        <f t="shared" si="273"/>
        <v>0.82723524833778339</v>
      </c>
      <c r="I2216" s="8">
        <f t="shared" si="274"/>
        <v>0.82045468112672137</v>
      </c>
      <c r="J2216" s="22">
        <f t="shared" si="275"/>
        <v>-0.28550444807026965</v>
      </c>
      <c r="K2216" s="8"/>
      <c r="L2216" s="8">
        <v>0.75843428564629634</v>
      </c>
      <c r="M2216" s="8">
        <v>0.72277088802224843</v>
      </c>
      <c r="N2216" s="8">
        <v>0.96845714919560155</v>
      </c>
      <c r="O2216" s="8">
        <v>0.87218285722790989</v>
      </c>
      <c r="P2216" s="8">
        <f t="shared" si="276"/>
        <v>0.74060258683427238</v>
      </c>
      <c r="Q2216" s="8">
        <f t="shared" si="277"/>
        <v>0.92032000321175578</v>
      </c>
      <c r="R2216" s="8">
        <f t="shared" si="278"/>
        <v>1.242663770789258</v>
      </c>
      <c r="S2216" s="22">
        <f t="shared" si="279"/>
        <v>0.31343599724889826</v>
      </c>
      <c r="T2216" s="25"/>
      <c r="U2216" s="1" t="s">
        <v>6261</v>
      </c>
    </row>
    <row r="2217" spans="1:21">
      <c r="A2217" s="6" t="s">
        <v>6262</v>
      </c>
      <c r="B2217" s="6" t="s">
        <v>6263</v>
      </c>
      <c r="C2217" s="7">
        <v>1.2019644038721073</v>
      </c>
      <c r="D2217" s="7">
        <v>1.1511577386137894</v>
      </c>
      <c r="E2217" s="7">
        <v>1.2917246628712309</v>
      </c>
      <c r="F2217" s="8">
        <v>1.182338497607198</v>
      </c>
      <c r="G2217" s="8">
        <f t="shared" si="272"/>
        <v>1.1765610712429484</v>
      </c>
      <c r="H2217" s="8">
        <f t="shared" si="273"/>
        <v>1.2370315802392144</v>
      </c>
      <c r="I2217" s="8">
        <f t="shared" si="274"/>
        <v>1.0513959797534211</v>
      </c>
      <c r="J2217" s="22">
        <f t="shared" si="275"/>
        <v>7.2306123567327352E-2</v>
      </c>
      <c r="K2217" s="8"/>
      <c r="L2217" s="8">
        <v>1.2346449697688391</v>
      </c>
      <c r="M2217" s="8">
        <v>1.2075414487765537</v>
      </c>
      <c r="N2217" s="8">
        <v>1.0410149692985122</v>
      </c>
      <c r="O2217" s="8">
        <v>1.3199860619657784</v>
      </c>
      <c r="P2217" s="8">
        <f t="shared" si="276"/>
        <v>1.2210932092726963</v>
      </c>
      <c r="Q2217" s="8">
        <f t="shared" si="277"/>
        <v>1.1805005156321453</v>
      </c>
      <c r="R2217" s="8">
        <f t="shared" si="278"/>
        <v>0.96675708837597363</v>
      </c>
      <c r="S2217" s="22">
        <f t="shared" si="279"/>
        <v>-4.8774657531827546E-2</v>
      </c>
      <c r="T2217" s="25"/>
      <c r="U2217" s="1" t="s">
        <v>6264</v>
      </c>
    </row>
    <row r="2218" spans="1:21">
      <c r="A2218" s="6" t="s">
        <v>6265</v>
      </c>
      <c r="B2218" s="6" t="s">
        <v>6266</v>
      </c>
      <c r="C2218" s="7">
        <v>1.0832856817580854</v>
      </c>
      <c r="D2218" s="7">
        <v>1.1760613824036461</v>
      </c>
      <c r="E2218" s="7">
        <v>0.94707773177269727</v>
      </c>
      <c r="F2218" s="8">
        <v>0.91716307313550072</v>
      </c>
      <c r="G2218" s="8">
        <f t="shared" si="272"/>
        <v>1.1296735320808657</v>
      </c>
      <c r="H2218" s="8">
        <f t="shared" si="273"/>
        <v>0.932120402454099</v>
      </c>
      <c r="I2218" s="8">
        <f t="shared" si="274"/>
        <v>0.82512369811579755</v>
      </c>
      <c r="J2218" s="22">
        <f t="shared" si="275"/>
        <v>-0.27731767821887515</v>
      </c>
      <c r="K2218" s="8"/>
      <c r="L2218" s="8">
        <v>0.80593161352499887</v>
      </c>
      <c r="M2218" s="8">
        <v>1.157674269268629</v>
      </c>
      <c r="N2218" s="8">
        <v>1.0365402871844374</v>
      </c>
      <c r="O2218" s="8">
        <v>1.2649228530868997</v>
      </c>
      <c r="P2218" s="8">
        <f t="shared" si="276"/>
        <v>0.9818029413968139</v>
      </c>
      <c r="Q2218" s="8">
        <f t="shared" si="277"/>
        <v>1.1507315701356684</v>
      </c>
      <c r="R2218" s="8">
        <f t="shared" si="278"/>
        <v>1.1720596074997689</v>
      </c>
      <c r="S2218" s="22">
        <f t="shared" si="279"/>
        <v>0.2290459428468006</v>
      </c>
      <c r="T2218" s="25"/>
      <c r="U2218" s="1" t="s">
        <v>6267</v>
      </c>
    </row>
    <row r="2219" spans="1:21">
      <c r="A2219" s="6" t="s">
        <v>6268</v>
      </c>
      <c r="B2219" s="13" t="s">
        <v>6269</v>
      </c>
      <c r="C2219" s="14">
        <v>1.1950871240778076</v>
      </c>
      <c r="D2219" s="14">
        <v>1.1145140341034736</v>
      </c>
      <c r="E2219" s="14">
        <v>1.0170919527933535</v>
      </c>
      <c r="F2219" s="8">
        <v>1.0206390973291029</v>
      </c>
      <c r="G2219" s="8">
        <f t="shared" si="272"/>
        <v>1.1548005790906406</v>
      </c>
      <c r="H2219" s="8">
        <f t="shared" si="273"/>
        <v>1.0188655250612282</v>
      </c>
      <c r="I2219" s="8">
        <f t="shared" si="274"/>
        <v>0.88228698834178287</v>
      </c>
      <c r="J2219" s="22">
        <f t="shared" si="275"/>
        <v>-0.18068008614343167</v>
      </c>
      <c r="K2219" s="8"/>
      <c r="L2219" s="8">
        <v>1.1601626870732786</v>
      </c>
      <c r="M2219" s="8">
        <v>1.0202479728885114</v>
      </c>
      <c r="N2219" s="8">
        <v>0.8177339959607498</v>
      </c>
      <c r="O2219" s="8">
        <v>0.79823791777888753</v>
      </c>
      <c r="P2219" s="8">
        <f t="shared" si="276"/>
        <v>1.0902053299808951</v>
      </c>
      <c r="Q2219" s="8">
        <f t="shared" si="277"/>
        <v>0.80798595686981867</v>
      </c>
      <c r="R2219" s="8">
        <f t="shared" si="278"/>
        <v>0.74113190850385757</v>
      </c>
      <c r="S2219" s="22">
        <f t="shared" si="279"/>
        <v>-0.43219775504452007</v>
      </c>
      <c r="T2219" s="25"/>
      <c r="U2219" s="1" t="s">
        <v>6270</v>
      </c>
    </row>
    <row r="2220" spans="1:21">
      <c r="A2220" s="6" t="s">
        <v>6271</v>
      </c>
      <c r="B2220" s="6" t="s">
        <v>6272</v>
      </c>
      <c r="C2220" s="7">
        <v>1.2080504921856468</v>
      </c>
      <c r="D2220" s="7">
        <v>1.0988073043657476</v>
      </c>
      <c r="E2220" s="7">
        <v>0.95734976129418803</v>
      </c>
      <c r="F2220" s="8">
        <v>0.97418334175037458</v>
      </c>
      <c r="G2220" s="8">
        <f t="shared" si="272"/>
        <v>1.1534288982756973</v>
      </c>
      <c r="H2220" s="8">
        <f t="shared" si="273"/>
        <v>0.9657665515222813</v>
      </c>
      <c r="I2220" s="8">
        <f t="shared" si="274"/>
        <v>0.8373004638309659</v>
      </c>
      <c r="J2220" s="22">
        <f t="shared" si="275"/>
        <v>-0.256182670566658</v>
      </c>
      <c r="K2220" s="8"/>
      <c r="L2220" s="8">
        <v>0.99339852185586996</v>
      </c>
      <c r="M2220" s="8">
        <v>1.034242504088116</v>
      </c>
      <c r="N2220" s="8">
        <v>0.84061718044285438</v>
      </c>
      <c r="O2220" s="8">
        <v>1.0887614100378831</v>
      </c>
      <c r="P2220" s="8">
        <f t="shared" si="276"/>
        <v>1.013820512971993</v>
      </c>
      <c r="Q2220" s="8">
        <f t="shared" si="277"/>
        <v>0.96468929524036873</v>
      </c>
      <c r="R2220" s="8">
        <f t="shared" si="278"/>
        <v>0.95153854444353547</v>
      </c>
      <c r="S2220" s="22">
        <f t="shared" si="279"/>
        <v>-7.1665997241182014E-2</v>
      </c>
      <c r="T2220" s="25"/>
      <c r="U2220" s="1" t="s">
        <v>6273</v>
      </c>
    </row>
    <row r="2221" spans="1:21">
      <c r="A2221" s="6" t="s">
        <v>6274</v>
      </c>
      <c r="B2221" s="13" t="s">
        <v>6275</v>
      </c>
      <c r="C2221" s="14">
        <v>9.6099334470789957E-2</v>
      </c>
      <c r="D2221" s="14">
        <v>0.13208368042173182</v>
      </c>
      <c r="E2221" s="14">
        <v>1.094530511983008</v>
      </c>
      <c r="F2221" s="8">
        <v>1.0337854614314386</v>
      </c>
      <c r="G2221" s="8">
        <f t="shared" si="272"/>
        <v>0.1140915074462609</v>
      </c>
      <c r="H2221" s="8">
        <f t="shared" si="273"/>
        <v>1.0641579867072233</v>
      </c>
      <c r="I2221" s="8">
        <f t="shared" si="274"/>
        <v>9.3272322412644115</v>
      </c>
      <c r="J2221" s="22">
        <f t="shared" si="275"/>
        <v>3.2214490398992357</v>
      </c>
      <c r="K2221" s="8"/>
      <c r="L2221" s="8">
        <v>0.30330708474045226</v>
      </c>
      <c r="M2221" s="8">
        <v>0.31632305354839718</v>
      </c>
      <c r="N2221" s="8">
        <v>0.47239049153651408</v>
      </c>
      <c r="O2221" s="8">
        <v>0.35313939336593159</v>
      </c>
      <c r="P2221" s="8">
        <f t="shared" si="276"/>
        <v>0.30981506914442469</v>
      </c>
      <c r="Q2221" s="8">
        <f t="shared" si="277"/>
        <v>0.41276494245122286</v>
      </c>
      <c r="R2221" s="8">
        <f t="shared" si="278"/>
        <v>1.3322945962283281</v>
      </c>
      <c r="S2221" s="22">
        <f t="shared" si="279"/>
        <v>0.41391312559607146</v>
      </c>
      <c r="T2221" s="25"/>
      <c r="U2221" s="1" t="s">
        <v>6276</v>
      </c>
    </row>
    <row r="2222" spans="1:21">
      <c r="A2222" s="6" t="s">
        <v>6277</v>
      </c>
      <c r="B2222" s="6" t="s">
        <v>6278</v>
      </c>
      <c r="C2222" s="7">
        <v>1.0119262962818338</v>
      </c>
      <c r="D2222" s="7">
        <v>1.0749273170964759</v>
      </c>
      <c r="E2222" s="7">
        <v>1.1683162289913405</v>
      </c>
      <c r="F2222" s="8">
        <v>0.96947629354806863</v>
      </c>
      <c r="G2222" s="8">
        <f t="shared" si="272"/>
        <v>1.0434268066891548</v>
      </c>
      <c r="H2222" s="8">
        <f t="shared" si="273"/>
        <v>1.0688962612697046</v>
      </c>
      <c r="I2222" s="8">
        <f t="shared" si="274"/>
        <v>1.0244094309416543</v>
      </c>
      <c r="J2222" s="22">
        <f t="shared" si="275"/>
        <v>3.4792439881409822E-2</v>
      </c>
      <c r="K2222" s="8"/>
      <c r="L2222" s="8">
        <v>0.47554438894187961</v>
      </c>
      <c r="M2222" s="8">
        <v>0.48164511545306021</v>
      </c>
      <c r="N2222" s="8">
        <v>0.50750824990013976</v>
      </c>
      <c r="O2222" s="8">
        <v>0.49572197502263865</v>
      </c>
      <c r="P2222" s="8">
        <f t="shared" si="276"/>
        <v>0.47859475219746994</v>
      </c>
      <c r="Q2222" s="8">
        <f t="shared" si="277"/>
        <v>0.50161511246138923</v>
      </c>
      <c r="R2222" s="8">
        <f t="shared" si="278"/>
        <v>1.0480999011339369</v>
      </c>
      <c r="S2222" s="22">
        <f t="shared" si="279"/>
        <v>6.7776235960728529E-2</v>
      </c>
      <c r="T2222" s="25"/>
      <c r="U2222" s="1" t="s">
        <v>6279</v>
      </c>
    </row>
    <row r="2223" spans="1:21">
      <c r="A2223" s="6" t="s">
        <v>6280</v>
      </c>
      <c r="B2223" s="6" t="s">
        <v>6281</v>
      </c>
      <c r="C2223" s="7">
        <v>0.97286121691930172</v>
      </c>
      <c r="D2223" s="7">
        <v>1.1036856674716604</v>
      </c>
      <c r="E2223" s="7">
        <v>1.0463062149720488</v>
      </c>
      <c r="F2223" s="8">
        <v>1.0489165137683287</v>
      </c>
      <c r="G2223" s="8">
        <f t="shared" si="272"/>
        <v>1.0382734421954811</v>
      </c>
      <c r="H2223" s="8">
        <f t="shared" si="273"/>
        <v>1.0476113643701888</v>
      </c>
      <c r="I2223" s="8">
        <f t="shared" si="274"/>
        <v>1.0089937022322002</v>
      </c>
      <c r="J2223" s="22">
        <f t="shared" si="275"/>
        <v>1.2917169700238113E-2</v>
      </c>
      <c r="K2223" s="8"/>
      <c r="L2223" s="8">
        <v>1.2099920480843021</v>
      </c>
      <c r="M2223" s="8">
        <v>1.1044484022727994</v>
      </c>
      <c r="N2223" s="8">
        <v>0.94353486906657691</v>
      </c>
      <c r="O2223" s="8">
        <v>1.14239573119794</v>
      </c>
      <c r="P2223" s="8">
        <f t="shared" si="276"/>
        <v>1.1572202251785506</v>
      </c>
      <c r="Q2223" s="8">
        <f t="shared" si="277"/>
        <v>1.0429653001322585</v>
      </c>
      <c r="R2223" s="8">
        <f t="shared" si="278"/>
        <v>0.90126777724727081</v>
      </c>
      <c r="S2223" s="22">
        <f t="shared" si="279"/>
        <v>-0.1499722835091751</v>
      </c>
      <c r="T2223" s="25"/>
      <c r="U2223" s="1" t="s">
        <v>6282</v>
      </c>
    </row>
    <row r="2224" spans="1:21">
      <c r="A2224" s="6" t="s">
        <v>6283</v>
      </c>
      <c r="B2224" s="13" t="s">
        <v>6284</v>
      </c>
      <c r="C2224" s="14">
        <v>1.1312212348376016</v>
      </c>
      <c r="D2224" s="14">
        <v>1.1670084200497226</v>
      </c>
      <c r="E2224" s="14">
        <v>1.1350762126684963</v>
      </c>
      <c r="F2224" s="8">
        <v>0.95560982132523087</v>
      </c>
      <c r="G2224" s="8">
        <f t="shared" si="272"/>
        <v>1.149114827443662</v>
      </c>
      <c r="H2224" s="8">
        <f t="shared" si="273"/>
        <v>1.0453430169968636</v>
      </c>
      <c r="I2224" s="8">
        <f t="shared" si="274"/>
        <v>0.90969413328548665</v>
      </c>
      <c r="J2224" s="22">
        <f t="shared" si="275"/>
        <v>-0.136546545805104</v>
      </c>
      <c r="K2224" s="8"/>
      <c r="L2224" s="8">
        <v>1.1443619727889807</v>
      </c>
      <c r="M2224" s="8">
        <v>1.0666631680338667</v>
      </c>
      <c r="N2224" s="8">
        <v>1.3947414224934198</v>
      </c>
      <c r="O2224" s="8">
        <v>1.1278516954885049</v>
      </c>
      <c r="P2224" s="8">
        <f t="shared" si="276"/>
        <v>1.1055125704114237</v>
      </c>
      <c r="Q2224" s="8">
        <f t="shared" si="277"/>
        <v>1.2612965589909624</v>
      </c>
      <c r="R2224" s="8">
        <f t="shared" si="278"/>
        <v>1.140915619368817</v>
      </c>
      <c r="S2224" s="22">
        <f t="shared" si="279"/>
        <v>0.19019209572848431</v>
      </c>
      <c r="T2224" s="25"/>
      <c r="U2224" s="1" t="s">
        <v>6285</v>
      </c>
    </row>
    <row r="2225" spans="1:21">
      <c r="A2225" s="6" t="s">
        <v>6286</v>
      </c>
      <c r="B2225" s="13" t="s">
        <v>6287</v>
      </c>
      <c r="C2225" s="14">
        <v>1.0669901802985833</v>
      </c>
      <c r="D2225" s="14">
        <v>1.0873951336245384</v>
      </c>
      <c r="E2225" s="14">
        <v>1.073935601308732</v>
      </c>
      <c r="F2225" s="8">
        <v>0.98831326816363996</v>
      </c>
      <c r="G2225" s="8">
        <f t="shared" si="272"/>
        <v>1.0771926569615609</v>
      </c>
      <c r="H2225" s="8">
        <f t="shared" si="273"/>
        <v>1.0311244347361859</v>
      </c>
      <c r="I2225" s="8">
        <f t="shared" si="274"/>
        <v>0.95723307067900021</v>
      </c>
      <c r="J2225" s="22">
        <f t="shared" si="275"/>
        <v>-6.3057854633996852E-2</v>
      </c>
      <c r="K2225" s="8"/>
      <c r="L2225" s="8">
        <v>0.58029550984470957</v>
      </c>
      <c r="M2225" s="8">
        <v>1.0786051679908628</v>
      </c>
      <c r="N2225" s="8">
        <v>0.69901331607339567</v>
      </c>
      <c r="O2225" s="8">
        <v>0.70025704563111468</v>
      </c>
      <c r="P2225" s="8">
        <f t="shared" si="276"/>
        <v>0.82945033891778619</v>
      </c>
      <c r="Q2225" s="8">
        <f t="shared" si="277"/>
        <v>0.69963518085225518</v>
      </c>
      <c r="R2225" s="8">
        <f t="shared" si="278"/>
        <v>0.8434925492526707</v>
      </c>
      <c r="S2225" s="22">
        <f t="shared" si="279"/>
        <v>-0.24555276994736963</v>
      </c>
      <c r="T2225" s="25"/>
      <c r="U2225" s="1" t="s">
        <v>6288</v>
      </c>
    </row>
    <row r="2226" spans="1:21">
      <c r="A2226" s="6" t="s">
        <v>6289</v>
      </c>
      <c r="B2226" s="13" t="s">
        <v>6290</v>
      </c>
      <c r="C2226" s="14">
        <v>1.2181001455133791</v>
      </c>
      <c r="D2226" s="14">
        <v>1.1220555036262208</v>
      </c>
      <c r="E2226" s="14">
        <v>1.0602819383061564</v>
      </c>
      <c r="F2226" s="8">
        <v>1.1625882151314777</v>
      </c>
      <c r="G2226" s="8">
        <f t="shared" si="272"/>
        <v>1.1700778245698</v>
      </c>
      <c r="H2226" s="8">
        <f t="shared" si="273"/>
        <v>1.111435076718817</v>
      </c>
      <c r="I2226" s="8">
        <f t="shared" si="274"/>
        <v>0.94988132701981254</v>
      </c>
      <c r="J2226" s="22">
        <f t="shared" si="275"/>
        <v>-7.4180812616947228E-2</v>
      </c>
      <c r="K2226" s="8"/>
      <c r="L2226" s="8">
        <v>0.61051675553907436</v>
      </c>
      <c r="M2226" s="8">
        <v>0.7252432552008452</v>
      </c>
      <c r="N2226" s="8">
        <v>0.55486058214528677</v>
      </c>
      <c r="O2226" s="8">
        <v>0.54343661849043434</v>
      </c>
      <c r="P2226" s="8">
        <f t="shared" si="276"/>
        <v>0.66788000536995984</v>
      </c>
      <c r="Q2226" s="8">
        <f t="shared" si="277"/>
        <v>0.5491486003178605</v>
      </c>
      <c r="R2226" s="8">
        <f t="shared" si="278"/>
        <v>0.82222644172985793</v>
      </c>
      <c r="S2226" s="22">
        <f t="shared" si="279"/>
        <v>-0.28239232704882083</v>
      </c>
      <c r="T2226" s="25"/>
      <c r="U2226" s="1" t="s">
        <v>6291</v>
      </c>
    </row>
    <row r="2227" spans="1:21">
      <c r="A2227" s="6" t="s">
        <v>6292</v>
      </c>
      <c r="B2227" s="6" t="s">
        <v>6293</v>
      </c>
      <c r="C2227" s="7">
        <v>1.1342718866047634</v>
      </c>
      <c r="D2227" s="7">
        <v>1.1079322425687748</v>
      </c>
      <c r="E2227" s="7">
        <v>1.0238975961149352</v>
      </c>
      <c r="F2227" s="8">
        <v>0.99965936196472061</v>
      </c>
      <c r="G2227" s="8">
        <f t="shared" si="272"/>
        <v>1.1211020645867691</v>
      </c>
      <c r="H2227" s="8">
        <f t="shared" si="273"/>
        <v>1.0117784790398279</v>
      </c>
      <c r="I2227" s="8">
        <f t="shared" si="274"/>
        <v>0.90248560858084126</v>
      </c>
      <c r="J2227" s="22">
        <f t="shared" si="275"/>
        <v>-0.14802416853253328</v>
      </c>
      <c r="K2227" s="8"/>
      <c r="L2227" s="8">
        <v>1.2217473987717165</v>
      </c>
      <c r="M2227" s="8">
        <v>1.3022844249978771</v>
      </c>
      <c r="N2227" s="8">
        <v>0.89737200928213334</v>
      </c>
      <c r="O2227" s="8">
        <v>1.215013846336628</v>
      </c>
      <c r="P2227" s="8">
        <f t="shared" si="276"/>
        <v>1.2620159118847969</v>
      </c>
      <c r="Q2227" s="8">
        <f t="shared" si="277"/>
        <v>1.0561929278093807</v>
      </c>
      <c r="R2227" s="8">
        <f t="shared" si="278"/>
        <v>0.83690935895727059</v>
      </c>
      <c r="S2227" s="22">
        <f t="shared" si="279"/>
        <v>-0.25685671400414301</v>
      </c>
      <c r="T2227" s="25"/>
      <c r="U2227" s="1" t="s">
        <v>6294</v>
      </c>
    </row>
    <row r="2228" spans="1:21">
      <c r="A2228" s="6" t="s">
        <v>6295</v>
      </c>
      <c r="B2228" s="13" t="s">
        <v>6296</v>
      </c>
      <c r="C2228" s="14">
        <v>1.1137693765985268</v>
      </c>
      <c r="D2228" s="14">
        <v>1.0536384603949351</v>
      </c>
      <c r="E2228" s="14">
        <v>1.0286861247285015</v>
      </c>
      <c r="F2228" s="8">
        <v>1.0021533949674348</v>
      </c>
      <c r="G2228" s="8">
        <f t="shared" si="272"/>
        <v>1.083703918496731</v>
      </c>
      <c r="H2228" s="8">
        <f t="shared" si="273"/>
        <v>1.0154197598479682</v>
      </c>
      <c r="I2228" s="8">
        <f t="shared" si="274"/>
        <v>0.9369900233049967</v>
      </c>
      <c r="J2228" s="22">
        <f t="shared" si="275"/>
        <v>-9.389440816088597E-2</v>
      </c>
      <c r="K2228" s="8"/>
      <c r="L2228" s="8">
        <v>1.0148627451758048</v>
      </c>
      <c r="M2228" s="8">
        <v>1.2199499331068697</v>
      </c>
      <c r="N2228" s="8">
        <v>1.0385793828313574</v>
      </c>
      <c r="O2228" s="8">
        <v>0.66575961356241953</v>
      </c>
      <c r="P2228" s="8">
        <f t="shared" si="276"/>
        <v>1.1174063391413371</v>
      </c>
      <c r="Q2228" s="8">
        <f t="shared" si="277"/>
        <v>0.85216949819688848</v>
      </c>
      <c r="R2228" s="8">
        <f t="shared" si="278"/>
        <v>0.76263170195699082</v>
      </c>
      <c r="S2228" s="22">
        <f t="shared" si="279"/>
        <v>-0.39094159096008346</v>
      </c>
      <c r="T2228" s="25"/>
      <c r="U2228" s="1" t="s">
        <v>6297</v>
      </c>
    </row>
    <row r="2229" spans="1:21">
      <c r="A2229" s="6" t="s">
        <v>6298</v>
      </c>
      <c r="B2229" s="6" t="s">
        <v>6299</v>
      </c>
      <c r="C2229" s="7">
        <v>1.0978162176066613</v>
      </c>
      <c r="D2229" s="7">
        <v>0.96866697186981388</v>
      </c>
      <c r="E2229" s="7">
        <v>1.105514464342622</v>
      </c>
      <c r="F2229" s="8">
        <v>0.97543035825173174</v>
      </c>
      <c r="G2229" s="8">
        <f t="shared" si="272"/>
        <v>1.0332415947382376</v>
      </c>
      <c r="H2229" s="8">
        <f t="shared" si="273"/>
        <v>1.0404724112971768</v>
      </c>
      <c r="I2229" s="8">
        <f t="shared" si="274"/>
        <v>1.0069981857058039</v>
      </c>
      <c r="J2229" s="22">
        <f t="shared" si="275"/>
        <v>1.006108406406471E-2</v>
      </c>
      <c r="K2229" s="8"/>
      <c r="L2229" s="8">
        <v>0.77818517850166868</v>
      </c>
      <c r="M2229" s="8">
        <v>0.73620563797386884</v>
      </c>
      <c r="N2229" s="8">
        <v>0.62390662641183481</v>
      </c>
      <c r="O2229" s="8">
        <v>1.0515592976442756</v>
      </c>
      <c r="P2229" s="8">
        <f t="shared" si="276"/>
        <v>0.75719540823776876</v>
      </c>
      <c r="Q2229" s="8">
        <f t="shared" si="277"/>
        <v>0.83773296202805514</v>
      </c>
      <c r="R2229" s="8">
        <f t="shared" si="278"/>
        <v>1.1063629717165382</v>
      </c>
      <c r="S2229" s="22">
        <f t="shared" si="279"/>
        <v>0.14582477760351698</v>
      </c>
      <c r="T2229" s="25"/>
      <c r="U2229" s="1" t="s">
        <v>6300</v>
      </c>
    </row>
    <row r="2230" spans="1:21">
      <c r="A2230" s="6" t="s">
        <v>6301</v>
      </c>
      <c r="B2230" s="13" t="s">
        <v>6302</v>
      </c>
      <c r="C2230" s="14">
        <v>0.97470986624453937</v>
      </c>
      <c r="D2230" s="14">
        <v>1.1094837219827864</v>
      </c>
      <c r="E2230" s="14">
        <v>0.99449687795482677</v>
      </c>
      <c r="F2230" s="8">
        <v>0.96020270604501812</v>
      </c>
      <c r="G2230" s="8">
        <f t="shared" si="272"/>
        <v>1.042096794113663</v>
      </c>
      <c r="H2230" s="8">
        <f t="shared" si="273"/>
        <v>0.97734979199992245</v>
      </c>
      <c r="I2230" s="8">
        <f t="shared" si="274"/>
        <v>0.93786853344193433</v>
      </c>
      <c r="J2230" s="22">
        <f t="shared" si="275"/>
        <v>-9.2542389038026016E-2</v>
      </c>
      <c r="K2230" s="8"/>
      <c r="L2230" s="8">
        <v>1.1809130226996456</v>
      </c>
      <c r="M2230" s="8">
        <v>0.86010388752770206</v>
      </c>
      <c r="N2230" s="8">
        <v>0.91068277253286245</v>
      </c>
      <c r="O2230" s="8">
        <v>0.86580389419745596</v>
      </c>
      <c r="P2230" s="8">
        <f t="shared" si="276"/>
        <v>1.0205084551136738</v>
      </c>
      <c r="Q2230" s="8">
        <f t="shared" si="277"/>
        <v>0.88824333336515915</v>
      </c>
      <c r="R2230" s="8">
        <f t="shared" si="278"/>
        <v>0.87039291924947182</v>
      </c>
      <c r="S2230" s="22">
        <f t="shared" si="279"/>
        <v>-0.20026127474812683</v>
      </c>
      <c r="T2230" s="25"/>
      <c r="U2230" s="1" t="s">
        <v>6303</v>
      </c>
    </row>
    <row r="2231" spans="1:21">
      <c r="A2231" s="6" t="s">
        <v>6304</v>
      </c>
      <c r="B2231" s="6" t="s">
        <v>6305</v>
      </c>
      <c r="C2231" s="7">
        <v>0.22571780032839914</v>
      </c>
      <c r="D2231" s="7">
        <v>0.65118150147369303</v>
      </c>
      <c r="E2231" s="7">
        <v>0.22061132709934414</v>
      </c>
      <c r="F2231" s="8">
        <v>0.22579780480912298</v>
      </c>
      <c r="G2231" s="8">
        <f t="shared" si="272"/>
        <v>0.4384496509010461</v>
      </c>
      <c r="H2231" s="8">
        <f t="shared" si="273"/>
        <v>0.22320456595423355</v>
      </c>
      <c r="I2231" s="8">
        <f t="shared" si="274"/>
        <v>0.50907684724011493</v>
      </c>
      <c r="J2231" s="22">
        <f t="shared" si="275"/>
        <v>-0.97404464140785674</v>
      </c>
      <c r="K2231" s="8"/>
      <c r="L2231" s="8">
        <v>1.0114360842466799</v>
      </c>
      <c r="M2231" s="8">
        <v>1.0767858789349141</v>
      </c>
      <c r="N2231" s="8">
        <v>1.2193791968582823</v>
      </c>
      <c r="O2231" s="8">
        <v>1.1348430389698825</v>
      </c>
      <c r="P2231" s="8">
        <f t="shared" si="276"/>
        <v>1.044110981590797</v>
      </c>
      <c r="Q2231" s="8">
        <f t="shared" si="277"/>
        <v>1.1771111179140825</v>
      </c>
      <c r="R2231" s="8">
        <f t="shared" si="278"/>
        <v>1.127381225433189</v>
      </c>
      <c r="S2231" s="22">
        <f t="shared" si="279"/>
        <v>0.17297544722368827</v>
      </c>
      <c r="T2231" s="25"/>
      <c r="U2231" s="1" t="s">
        <v>6306</v>
      </c>
    </row>
    <row r="2232" spans="1:21">
      <c r="A2232" s="6" t="s">
        <v>6307</v>
      </c>
      <c r="B2232" s="13" t="s">
        <v>6308</v>
      </c>
      <c r="C2232" s="14">
        <v>0.99663499939406575</v>
      </c>
      <c r="D2232" s="14">
        <v>1.0800376023828338</v>
      </c>
      <c r="E2232" s="14">
        <v>0.97485119773138151</v>
      </c>
      <c r="F2232" s="8">
        <v>0.97786291861001295</v>
      </c>
      <c r="G2232" s="8">
        <f t="shared" si="272"/>
        <v>1.0383363008884499</v>
      </c>
      <c r="H2232" s="8">
        <f t="shared" si="273"/>
        <v>0.97635705817069729</v>
      </c>
      <c r="I2232" s="8">
        <f t="shared" si="274"/>
        <v>0.94030908611716624</v>
      </c>
      <c r="J2232" s="22">
        <f t="shared" si="275"/>
        <v>-8.879303627537935E-2</v>
      </c>
      <c r="K2232" s="8"/>
      <c r="L2232" s="8">
        <v>0.57458440829616819</v>
      </c>
      <c r="M2232" s="8">
        <v>1.0032679416996577</v>
      </c>
      <c r="N2232" s="8">
        <v>0.98154134626333955</v>
      </c>
      <c r="O2232" s="8">
        <v>0.84232931024538538</v>
      </c>
      <c r="P2232" s="8">
        <f t="shared" si="276"/>
        <v>0.78892617499791295</v>
      </c>
      <c r="Q2232" s="8">
        <f t="shared" si="277"/>
        <v>0.91193532825436252</v>
      </c>
      <c r="R2232" s="8">
        <f t="shared" si="278"/>
        <v>1.1559197262744831</v>
      </c>
      <c r="S2232" s="22">
        <f t="shared" si="279"/>
        <v>0.20904121226169028</v>
      </c>
      <c r="T2232" s="25"/>
      <c r="U2232" s="1" t="s">
        <v>6309</v>
      </c>
    </row>
    <row r="2233" spans="1:21">
      <c r="A2233" s="6" t="s">
        <v>6310</v>
      </c>
      <c r="B2233" s="13" t="s">
        <v>6311</v>
      </c>
      <c r="C2233" s="14">
        <v>1.0254069818963241</v>
      </c>
      <c r="D2233" s="14">
        <v>1.0826367302671316</v>
      </c>
      <c r="E2233" s="14">
        <v>1.0136340418653269</v>
      </c>
      <c r="F2233" s="8">
        <v>1.0628708040546424</v>
      </c>
      <c r="G2233" s="8">
        <f t="shared" si="272"/>
        <v>1.0540218560817278</v>
      </c>
      <c r="H2233" s="8">
        <f t="shared" si="273"/>
        <v>1.0382524229599848</v>
      </c>
      <c r="I2233" s="8">
        <f t="shared" si="274"/>
        <v>0.98503879873955824</v>
      </c>
      <c r="J2233" s="22">
        <f t="shared" si="275"/>
        <v>-2.1747544281017116E-2</v>
      </c>
      <c r="K2233" s="8"/>
      <c r="L2233" s="8">
        <v>1.0120547869144385</v>
      </c>
      <c r="M2233" s="8">
        <v>0.87983617651914459</v>
      </c>
      <c r="N2233" s="8">
        <v>0.8071986684516621</v>
      </c>
      <c r="O2233" s="8">
        <v>0.80237148582262174</v>
      </c>
      <c r="P2233" s="8">
        <f t="shared" si="276"/>
        <v>0.9459454817167916</v>
      </c>
      <c r="Q2233" s="8">
        <f t="shared" si="277"/>
        <v>0.80478507713714187</v>
      </c>
      <c r="R2233" s="8">
        <f t="shared" si="278"/>
        <v>0.85077321335320677</v>
      </c>
      <c r="S2233" s="22">
        <f t="shared" si="279"/>
        <v>-0.23315348421554455</v>
      </c>
      <c r="T2233" s="25"/>
      <c r="U2233" s="1" t="s">
        <v>6312</v>
      </c>
    </row>
    <row r="2234" spans="1:21">
      <c r="A2234" s="6" t="s">
        <v>6313</v>
      </c>
      <c r="B2234" s="13" t="s">
        <v>6314</v>
      </c>
      <c r="C2234" s="14">
        <v>1.0278794552736996</v>
      </c>
      <c r="D2234" s="14">
        <v>1.0308541054953519</v>
      </c>
      <c r="E2234" s="14">
        <v>1.0109050043191883</v>
      </c>
      <c r="F2234" s="8">
        <v>1.0680257243806752</v>
      </c>
      <c r="G2234" s="8">
        <f t="shared" si="272"/>
        <v>1.0293667803845259</v>
      </c>
      <c r="H2234" s="8">
        <f t="shared" si="273"/>
        <v>1.0394653643499319</v>
      </c>
      <c r="I2234" s="8">
        <f t="shared" si="274"/>
        <v>1.0098104817037457</v>
      </c>
      <c r="J2234" s="22">
        <f t="shared" si="275"/>
        <v>1.408455756952267E-2</v>
      </c>
      <c r="K2234" s="8"/>
      <c r="L2234" s="8">
        <v>0.74686930501050008</v>
      </c>
      <c r="M2234" s="8">
        <v>0.96725534807934166</v>
      </c>
      <c r="N2234" s="8">
        <v>0.73758620872763625</v>
      </c>
      <c r="O2234" s="8">
        <v>0.91918305683629475</v>
      </c>
      <c r="P2234" s="8">
        <f t="shared" si="276"/>
        <v>0.85706232654492087</v>
      </c>
      <c r="Q2234" s="8">
        <f t="shared" si="277"/>
        <v>0.8283846327819655</v>
      </c>
      <c r="R2234" s="8">
        <f t="shared" si="278"/>
        <v>0.96653954692120947</v>
      </c>
      <c r="S2234" s="22">
        <f t="shared" si="279"/>
        <v>-4.9099331949162751E-2</v>
      </c>
      <c r="T2234" s="25"/>
      <c r="U2234" s="1" t="s">
        <v>6315</v>
      </c>
    </row>
    <row r="2235" spans="1:21">
      <c r="A2235" s="6" t="s">
        <v>6316</v>
      </c>
      <c r="B2235" s="13" t="s">
        <v>80</v>
      </c>
      <c r="C2235" s="14">
        <v>0.99666542983563344</v>
      </c>
      <c r="D2235" s="14">
        <v>1.1338755375123506</v>
      </c>
      <c r="E2235" s="14">
        <v>1.0317117967905247</v>
      </c>
      <c r="F2235" s="8">
        <v>0.90298923769049744</v>
      </c>
      <c r="G2235" s="8">
        <f t="shared" si="272"/>
        <v>1.0652704836739919</v>
      </c>
      <c r="H2235" s="8">
        <f t="shared" si="273"/>
        <v>0.96735051724051102</v>
      </c>
      <c r="I2235" s="8">
        <f t="shared" si="274"/>
        <v>0.90807971502620954</v>
      </c>
      <c r="J2235" s="22">
        <f t="shared" si="275"/>
        <v>-0.13910914602198388</v>
      </c>
      <c r="K2235" s="8"/>
      <c r="L2235" s="8">
        <v>1.1702998923219394</v>
      </c>
      <c r="M2235" s="8">
        <v>0.93152264508301785</v>
      </c>
      <c r="N2235" s="8">
        <v>0.89431336581175302</v>
      </c>
      <c r="O2235" s="8">
        <v>1.0948852145471188</v>
      </c>
      <c r="P2235" s="8">
        <f t="shared" si="276"/>
        <v>1.0509112687024786</v>
      </c>
      <c r="Q2235" s="8">
        <f t="shared" si="277"/>
        <v>0.99459929017943594</v>
      </c>
      <c r="R2235" s="8">
        <f t="shared" si="278"/>
        <v>0.94641604843330962</v>
      </c>
      <c r="S2235" s="22">
        <f t="shared" si="279"/>
        <v>-7.9453557136493852E-2</v>
      </c>
      <c r="T2235" s="25"/>
      <c r="U2235" s="1">
        <v>0</v>
      </c>
    </row>
    <row r="2236" spans="1:21">
      <c r="A2236" s="6" t="s">
        <v>6317</v>
      </c>
      <c r="B2236" s="13" t="s">
        <v>80</v>
      </c>
      <c r="C2236" s="14">
        <v>1.0282826586244715</v>
      </c>
      <c r="D2236" s="14">
        <v>1.3202290081582211</v>
      </c>
      <c r="E2236" s="14">
        <v>1.1169221802963567</v>
      </c>
      <c r="F2236" s="8">
        <v>1.1237638492688014</v>
      </c>
      <c r="G2236" s="8">
        <f t="shared" si="272"/>
        <v>1.1742558333913462</v>
      </c>
      <c r="H2236" s="8">
        <f t="shared" si="273"/>
        <v>1.120343014782579</v>
      </c>
      <c r="I2236" s="8">
        <f t="shared" si="274"/>
        <v>0.95408767231493108</v>
      </c>
      <c r="J2236" s="22">
        <f t="shared" si="275"/>
        <v>-6.7806251505222834E-2</v>
      </c>
      <c r="K2236" s="8"/>
      <c r="L2236" s="8">
        <v>1.2688639865471829</v>
      </c>
      <c r="M2236" s="8">
        <v>1.2262941205840239</v>
      </c>
      <c r="N2236" s="8">
        <v>1.1164615082345597</v>
      </c>
      <c r="O2236" s="8">
        <v>1.174953958505377</v>
      </c>
      <c r="P2236" s="8">
        <f t="shared" si="276"/>
        <v>1.2475790535656035</v>
      </c>
      <c r="Q2236" s="8">
        <f t="shared" si="277"/>
        <v>1.1457077333699683</v>
      </c>
      <c r="R2236" s="8">
        <f t="shared" si="278"/>
        <v>0.91834479754650811</v>
      </c>
      <c r="S2236" s="22">
        <f t="shared" si="279"/>
        <v>-0.12289217184095619</v>
      </c>
      <c r="T2236" s="25"/>
      <c r="U2236" s="1">
        <v>0</v>
      </c>
    </row>
    <row r="2237" spans="1:21">
      <c r="A2237" s="6" t="s">
        <v>6318</v>
      </c>
      <c r="B2237" s="9" t="s">
        <v>6319</v>
      </c>
      <c r="C2237" s="10">
        <v>1.0583935805557085</v>
      </c>
      <c r="D2237" s="10">
        <v>1.0713925031738309</v>
      </c>
      <c r="E2237" s="10">
        <v>1.0092523263021167</v>
      </c>
      <c r="F2237" s="8">
        <v>1.0072556244553823</v>
      </c>
      <c r="G2237" s="8">
        <f t="shared" si="272"/>
        <v>1.0648930418647697</v>
      </c>
      <c r="H2237" s="8">
        <f t="shared" si="273"/>
        <v>1.0082539753787496</v>
      </c>
      <c r="I2237" s="8">
        <f t="shared" si="274"/>
        <v>0.94681243631112699</v>
      </c>
      <c r="J2237" s="22">
        <f t="shared" si="275"/>
        <v>-7.8849438998023089E-2</v>
      </c>
      <c r="K2237" s="8"/>
      <c r="L2237" s="8">
        <v>1.2121337111650052</v>
      </c>
      <c r="M2237" s="8">
        <v>1.1423735818237279</v>
      </c>
      <c r="N2237" s="8">
        <v>0.80532949744198523</v>
      </c>
      <c r="O2237" s="8">
        <v>1.1721982464762208</v>
      </c>
      <c r="P2237" s="8">
        <f t="shared" si="276"/>
        <v>1.1772536464943666</v>
      </c>
      <c r="Q2237" s="8">
        <f t="shared" si="277"/>
        <v>0.98876387195910298</v>
      </c>
      <c r="R2237" s="8">
        <f t="shared" si="278"/>
        <v>0.83989026061074468</v>
      </c>
      <c r="S2237" s="22">
        <f t="shared" si="279"/>
        <v>-0.2517272560617162</v>
      </c>
      <c r="T2237" s="25"/>
      <c r="U2237" s="1" t="s">
        <v>6320</v>
      </c>
    </row>
    <row r="2238" spans="1:21">
      <c r="A2238" s="6" t="s">
        <v>6321</v>
      </c>
      <c r="B2238" s="13" t="s">
        <v>6322</v>
      </c>
      <c r="C2238" s="14">
        <v>1.0848148114468623</v>
      </c>
      <c r="D2238" s="14">
        <v>1.0171227129496925</v>
      </c>
      <c r="E2238" s="14">
        <v>0.94749302009493575</v>
      </c>
      <c r="F2238" s="8">
        <v>0.98588070780535864</v>
      </c>
      <c r="G2238" s="8">
        <f t="shared" si="272"/>
        <v>1.0509687621982775</v>
      </c>
      <c r="H2238" s="8">
        <f t="shared" si="273"/>
        <v>0.96668686395014713</v>
      </c>
      <c r="I2238" s="8">
        <f t="shared" si="274"/>
        <v>0.91980551536865796</v>
      </c>
      <c r="J2238" s="22">
        <f t="shared" si="275"/>
        <v>-0.12059924640722448</v>
      </c>
      <c r="K2238" s="8"/>
      <c r="L2238" s="8">
        <v>1.1813413553157861</v>
      </c>
      <c r="M2238" s="8">
        <v>1.1456856208743011</v>
      </c>
      <c r="N2238" s="8">
        <v>0.90518854259532744</v>
      </c>
      <c r="O2238" s="8">
        <v>1.0702879331016883</v>
      </c>
      <c r="P2238" s="8">
        <f t="shared" si="276"/>
        <v>1.1635134880950435</v>
      </c>
      <c r="Q2238" s="8">
        <f t="shared" si="277"/>
        <v>0.98773823784850789</v>
      </c>
      <c r="R2238" s="8">
        <f t="shared" si="278"/>
        <v>0.84892719160967978</v>
      </c>
      <c r="S2238" s="22">
        <f t="shared" si="279"/>
        <v>-0.23628726879800194</v>
      </c>
      <c r="T2238" s="25"/>
      <c r="U2238" s="1" t="s">
        <v>6323</v>
      </c>
    </row>
    <row r="2239" spans="1:21">
      <c r="A2239" s="6" t="s">
        <v>6324</v>
      </c>
      <c r="B2239" s="13" t="s">
        <v>6325</v>
      </c>
      <c r="C2239" s="14">
        <v>1.1860112448802416</v>
      </c>
      <c r="D2239" s="14">
        <v>1.1683039853335879</v>
      </c>
      <c r="E2239" s="14">
        <v>1.0251519363535331</v>
      </c>
      <c r="F2239" s="8">
        <v>1.1433736228429603</v>
      </c>
      <c r="G2239" s="8">
        <f t="shared" si="272"/>
        <v>1.1771576151069147</v>
      </c>
      <c r="H2239" s="8">
        <f t="shared" si="273"/>
        <v>1.0842627795982467</v>
      </c>
      <c r="I2239" s="8">
        <f t="shared" si="274"/>
        <v>0.92108547375770833</v>
      </c>
      <c r="J2239" s="22">
        <f t="shared" si="275"/>
        <v>-0.11859305491744965</v>
      </c>
      <c r="K2239" s="8"/>
      <c r="L2239" s="8">
        <v>0.73216321852300603</v>
      </c>
      <c r="M2239" s="8">
        <v>0.71847923178770301</v>
      </c>
      <c r="N2239" s="8">
        <v>0.68774164846958674</v>
      </c>
      <c r="O2239" s="8">
        <v>1.1575521473582986</v>
      </c>
      <c r="P2239" s="8">
        <f t="shared" si="276"/>
        <v>0.72532122515535447</v>
      </c>
      <c r="Q2239" s="8">
        <f t="shared" si="277"/>
        <v>0.92264689791394261</v>
      </c>
      <c r="R2239" s="8">
        <f t="shared" si="278"/>
        <v>1.2720528035234644</v>
      </c>
      <c r="S2239" s="22">
        <f t="shared" si="279"/>
        <v>0.34715855883005153</v>
      </c>
      <c r="T2239" s="25"/>
      <c r="U2239" s="1" t="s">
        <v>6326</v>
      </c>
    </row>
    <row r="2240" spans="1:21">
      <c r="A2240" s="6" t="s">
        <v>6327</v>
      </c>
      <c r="B2240" s="6" t="s">
        <v>6328</v>
      </c>
      <c r="C2240" s="7">
        <v>1.2055704111978796</v>
      </c>
      <c r="D2240" s="7">
        <v>1.1453996706854987</v>
      </c>
      <c r="E2240" s="7">
        <v>1.2344996271211437</v>
      </c>
      <c r="F2240" s="8">
        <v>1.2183878126640371</v>
      </c>
      <c r="G2240" s="8">
        <f t="shared" si="272"/>
        <v>1.1754850409416893</v>
      </c>
      <c r="H2240" s="8">
        <f t="shared" si="273"/>
        <v>1.2264437198925904</v>
      </c>
      <c r="I2240" s="8">
        <f t="shared" si="274"/>
        <v>1.0433511930616128</v>
      </c>
      <c r="J2240" s="22">
        <f t="shared" si="275"/>
        <v>6.1224852207559709E-2</v>
      </c>
      <c r="K2240" s="8"/>
      <c r="L2240" s="8">
        <v>0.70841455458365477</v>
      </c>
      <c r="M2240" s="8">
        <v>0.52610107623047098</v>
      </c>
      <c r="N2240" s="8">
        <v>0.56528262656287898</v>
      </c>
      <c r="O2240" s="8">
        <v>0.97889015080134389</v>
      </c>
      <c r="P2240" s="8">
        <f t="shared" si="276"/>
        <v>0.61725781540706293</v>
      </c>
      <c r="Q2240" s="8">
        <f t="shared" si="277"/>
        <v>0.77208638868211144</v>
      </c>
      <c r="R2240" s="8">
        <f t="shared" si="278"/>
        <v>1.2508329087302745</v>
      </c>
      <c r="S2240" s="22">
        <f t="shared" si="279"/>
        <v>0.32288908139303041</v>
      </c>
      <c r="T2240" s="25"/>
      <c r="U2240" s="1" t="s">
        <v>6329</v>
      </c>
    </row>
    <row r="2241" spans="1:21">
      <c r="A2241" s="6" t="s">
        <v>6330</v>
      </c>
      <c r="B2241" s="13" t="s">
        <v>6331</v>
      </c>
      <c r="C2241" s="14">
        <v>1.3192357180636229</v>
      </c>
      <c r="D2241" s="14">
        <v>1.0526467931406183</v>
      </c>
      <c r="E2241" s="14">
        <v>1.0370935944358604</v>
      </c>
      <c r="F2241" s="8">
        <v>1.0117870365307364</v>
      </c>
      <c r="G2241" s="8">
        <f t="shared" si="272"/>
        <v>1.1859412556021205</v>
      </c>
      <c r="H2241" s="8">
        <f t="shared" si="273"/>
        <v>1.0244403154832984</v>
      </c>
      <c r="I2241" s="8">
        <f t="shared" si="274"/>
        <v>0.86382045539277108</v>
      </c>
      <c r="J2241" s="22">
        <f t="shared" si="275"/>
        <v>-0.21119661471161424</v>
      </c>
      <c r="K2241" s="8"/>
      <c r="L2241" s="8">
        <v>0.73854061525221049</v>
      </c>
      <c r="M2241" s="8">
        <v>0.94108557473608101</v>
      </c>
      <c r="N2241" s="8">
        <v>0.70139226099480256</v>
      </c>
      <c r="O2241" s="8">
        <v>1.2330280379346299</v>
      </c>
      <c r="P2241" s="8">
        <f t="shared" si="276"/>
        <v>0.8398130949941458</v>
      </c>
      <c r="Q2241" s="8">
        <f t="shared" si="277"/>
        <v>0.96721014946471628</v>
      </c>
      <c r="R2241" s="8">
        <f t="shared" si="278"/>
        <v>1.1516969135512927</v>
      </c>
      <c r="S2241" s="22">
        <f t="shared" si="279"/>
        <v>0.2037610997251679</v>
      </c>
      <c r="T2241" s="25"/>
      <c r="U2241" s="1" t="s">
        <v>6332</v>
      </c>
    </row>
    <row r="2242" spans="1:21">
      <c r="A2242" s="6" t="s">
        <v>6333</v>
      </c>
      <c r="B2242" s="6" t="s">
        <v>6334</v>
      </c>
      <c r="C2242" s="7">
        <v>1.5985947792654815</v>
      </c>
      <c r="D2242" s="7">
        <v>1.0551739451758124</v>
      </c>
      <c r="E2242" s="7">
        <v>0.93884824277486933</v>
      </c>
      <c r="F2242" s="8">
        <v>1.0046737733891919</v>
      </c>
      <c r="G2242" s="8">
        <f t="shared" si="272"/>
        <v>1.326884362220647</v>
      </c>
      <c r="H2242" s="8">
        <f t="shared" si="273"/>
        <v>0.9717610080820307</v>
      </c>
      <c r="I2242" s="8">
        <f t="shared" si="274"/>
        <v>0.7323629969198755</v>
      </c>
      <c r="J2242" s="22">
        <f t="shared" si="275"/>
        <v>-0.44936919494381616</v>
      </c>
      <c r="K2242" s="8"/>
      <c r="L2242" s="8">
        <v>1.2229848041072338</v>
      </c>
      <c r="M2242" s="8">
        <v>1.1432132536957043</v>
      </c>
      <c r="N2242" s="8">
        <v>1.0686560436234305</v>
      </c>
      <c r="O2242" s="8">
        <v>1.0925377561519118</v>
      </c>
      <c r="P2242" s="8">
        <f t="shared" si="276"/>
        <v>1.1830990289014691</v>
      </c>
      <c r="Q2242" s="8">
        <f t="shared" si="277"/>
        <v>1.0805968998876712</v>
      </c>
      <c r="R2242" s="8">
        <f t="shared" si="278"/>
        <v>0.91336132774196155</v>
      </c>
      <c r="S2242" s="22">
        <f t="shared" si="279"/>
        <v>-0.13074238843802574</v>
      </c>
      <c r="T2242" s="25"/>
      <c r="U2242" s="1" t="s">
        <v>6335</v>
      </c>
    </row>
    <row r="2243" spans="1:21">
      <c r="A2243" s="6" t="s">
        <v>6336</v>
      </c>
      <c r="B2243" s="13" t="s">
        <v>6337</v>
      </c>
      <c r="C2243" s="14">
        <v>1.6380858848099615</v>
      </c>
      <c r="D2243" s="14">
        <v>1.0666261024998571</v>
      </c>
      <c r="E2243" s="14">
        <v>0.97790229560905206</v>
      </c>
      <c r="F2243" s="8">
        <v>0.95517073100785155</v>
      </c>
      <c r="G2243" s="8">
        <f t="shared" si="272"/>
        <v>1.3523559936549092</v>
      </c>
      <c r="H2243" s="8">
        <f t="shared" si="273"/>
        <v>0.96653651330845181</v>
      </c>
      <c r="I2243" s="8">
        <f t="shared" si="274"/>
        <v>0.71470568241152788</v>
      </c>
      <c r="J2243" s="22">
        <f t="shared" si="275"/>
        <v>-0.48457883613084579</v>
      </c>
      <c r="K2243" s="8"/>
      <c r="L2243" s="8">
        <v>1.2112294534198194</v>
      </c>
      <c r="M2243" s="8">
        <v>1.0938592069984319</v>
      </c>
      <c r="N2243" s="8">
        <v>0.93747422367156408</v>
      </c>
      <c r="O2243" s="8">
        <v>1.2422647764027273</v>
      </c>
      <c r="P2243" s="8">
        <f t="shared" si="276"/>
        <v>1.1525443302091256</v>
      </c>
      <c r="Q2243" s="8">
        <f t="shared" si="277"/>
        <v>1.0898695000371457</v>
      </c>
      <c r="R2243" s="8">
        <f t="shared" si="278"/>
        <v>0.94562046029014102</v>
      </c>
      <c r="S2243" s="22">
        <f t="shared" si="279"/>
        <v>-8.066684359380695E-2</v>
      </c>
      <c r="T2243" s="25"/>
      <c r="U2243" s="1" t="s">
        <v>6338</v>
      </c>
    </row>
    <row r="2244" spans="1:21">
      <c r="A2244" s="6" t="s">
        <v>6339</v>
      </c>
      <c r="B2244" s="6" t="s">
        <v>6340</v>
      </c>
      <c r="C2244" s="7">
        <v>1.7906260807784393</v>
      </c>
      <c r="D2244" s="7">
        <v>1.0448174202214566</v>
      </c>
      <c r="E2244" s="7">
        <v>0.99922607966521615</v>
      </c>
      <c r="F2244" s="8">
        <v>1.0497068763396113</v>
      </c>
      <c r="G2244" s="8">
        <f t="shared" si="272"/>
        <v>1.417721750499948</v>
      </c>
      <c r="H2244" s="8">
        <f t="shared" si="273"/>
        <v>1.0244664780024137</v>
      </c>
      <c r="I2244" s="8">
        <f t="shared" si="274"/>
        <v>0.72261462987440517</v>
      </c>
      <c r="J2244" s="22">
        <f t="shared" si="275"/>
        <v>-0.46870163137967724</v>
      </c>
      <c r="K2244" s="8"/>
      <c r="L2244" s="8">
        <v>1.1529762176246974</v>
      </c>
      <c r="M2244" s="8">
        <v>1.2123462378217513</v>
      </c>
      <c r="N2244" s="8">
        <v>0.96783409219237593</v>
      </c>
      <c r="O2244" s="8">
        <v>1.1380580363372312</v>
      </c>
      <c r="P2244" s="8">
        <f t="shared" si="276"/>
        <v>1.1826612277232242</v>
      </c>
      <c r="Q2244" s="8">
        <f t="shared" si="277"/>
        <v>1.0529460642648036</v>
      </c>
      <c r="R2244" s="8">
        <f t="shared" si="278"/>
        <v>0.89031925591393657</v>
      </c>
      <c r="S2244" s="22">
        <f t="shared" si="279"/>
        <v>-0.16760533596158991</v>
      </c>
      <c r="T2244" s="25"/>
      <c r="U2244" s="1" t="s">
        <v>6341</v>
      </c>
    </row>
    <row r="2245" spans="1:21">
      <c r="A2245" s="6" t="s">
        <v>6342</v>
      </c>
      <c r="B2245" s="13" t="s">
        <v>6343</v>
      </c>
      <c r="C2245" s="14">
        <v>1.533176937505323</v>
      </c>
      <c r="D2245" s="14">
        <v>1.3096165690737187</v>
      </c>
      <c r="E2245" s="14">
        <v>1.1156169884264644</v>
      </c>
      <c r="F2245" s="8">
        <v>1.0700894488723578</v>
      </c>
      <c r="G2245" s="8">
        <f t="shared" si="272"/>
        <v>1.4213967532895209</v>
      </c>
      <c r="H2245" s="8">
        <f t="shared" si="273"/>
        <v>1.0928532186494111</v>
      </c>
      <c r="I2245" s="8">
        <f t="shared" si="274"/>
        <v>0.76885867096588933</v>
      </c>
      <c r="J2245" s="22">
        <f t="shared" si="275"/>
        <v>-0.37920966371601894</v>
      </c>
      <c r="K2245" s="8"/>
      <c r="L2245" s="8">
        <v>1.2376908905947279</v>
      </c>
      <c r="M2245" s="8">
        <v>1.1879491050971072</v>
      </c>
      <c r="N2245" s="8">
        <v>1.309212688414267</v>
      </c>
      <c r="O2245" s="8">
        <v>1.135047165786857</v>
      </c>
      <c r="P2245" s="8">
        <f t="shared" si="276"/>
        <v>1.2128199978459175</v>
      </c>
      <c r="Q2245" s="8">
        <f t="shared" si="277"/>
        <v>1.2221299271005619</v>
      </c>
      <c r="R2245" s="8">
        <f t="shared" si="278"/>
        <v>1.0076762662812122</v>
      </c>
      <c r="S2245" s="22">
        <f t="shared" si="279"/>
        <v>1.1032222125044296E-2</v>
      </c>
      <c r="T2245" s="25"/>
      <c r="U2245" s="1" t="s">
        <v>6344</v>
      </c>
    </row>
    <row r="2246" spans="1:21">
      <c r="A2246" s="6" t="s">
        <v>6345</v>
      </c>
      <c r="B2246" s="6" t="s">
        <v>6346</v>
      </c>
      <c r="C2246" s="7">
        <v>1.6759109236786101</v>
      </c>
      <c r="D2246" s="7">
        <v>1.1866818188047152</v>
      </c>
      <c r="E2246" s="7">
        <v>1.0963865965252577</v>
      </c>
      <c r="F2246" s="8">
        <v>1.179159483709372</v>
      </c>
      <c r="G2246" s="8">
        <f t="shared" ref="G2246:G2308" si="280">AVERAGE(C2246:D2246)</f>
        <v>1.4312963712416626</v>
      </c>
      <c r="H2246" s="8">
        <f t="shared" ref="H2246:H2308" si="281">AVERAGE(E2246:F2246)</f>
        <v>1.1377730401173149</v>
      </c>
      <c r="I2246" s="8">
        <f t="shared" ref="I2246:I2308" si="282">H2246/G2246</f>
        <v>0.79492484084919912</v>
      </c>
      <c r="J2246" s="22">
        <f t="shared" ref="J2246:J2308" si="283">LOG(I2246,2)</f>
        <v>-0.33110963305643076</v>
      </c>
      <c r="K2246" s="8"/>
      <c r="L2246" s="8">
        <v>1.2462099504046356</v>
      </c>
      <c r="M2246" s="8">
        <v>1.2257809877733716</v>
      </c>
      <c r="N2246" s="8">
        <v>0.90473541022934523</v>
      </c>
      <c r="O2246" s="8">
        <v>1.1543881816951935</v>
      </c>
      <c r="P2246" s="8">
        <f t="shared" ref="P2246:P2308" si="284">AVERAGE(L2246:M2246)</f>
        <v>1.2359954690890036</v>
      </c>
      <c r="Q2246" s="8">
        <f t="shared" ref="Q2246:Q2308" si="285">AVERAGE(N2246:O2246)</f>
        <v>1.0295617959622694</v>
      </c>
      <c r="R2246" s="8">
        <f t="shared" ref="R2246:R2308" si="286">Q2246/P2246</f>
        <v>0.83298185285510218</v>
      </c>
      <c r="S2246" s="22">
        <f t="shared" ref="S2246:S2308" si="287">LOG(R2246,2)</f>
        <v>-0.26364302916584625</v>
      </c>
      <c r="T2246" s="25"/>
      <c r="U2246" s="1" t="s">
        <v>6347</v>
      </c>
    </row>
    <row r="2247" spans="1:21">
      <c r="A2247" s="6" t="s">
        <v>6348</v>
      </c>
      <c r="B2247" s="13" t="s">
        <v>6349</v>
      </c>
      <c r="C2247" s="14">
        <v>1.5227925493203462</v>
      </c>
      <c r="D2247" s="14">
        <v>1.1394016832601961</v>
      </c>
      <c r="E2247" s="14">
        <v>1.0146765003068643</v>
      </c>
      <c r="F2247" s="8">
        <v>0.97552695812155521</v>
      </c>
      <c r="G2247" s="8">
        <f t="shared" si="280"/>
        <v>1.3310971162902712</v>
      </c>
      <c r="H2247" s="8">
        <f t="shared" si="281"/>
        <v>0.9951017292142097</v>
      </c>
      <c r="I2247" s="8">
        <f t="shared" si="282"/>
        <v>0.747580110448687</v>
      </c>
      <c r="J2247" s="22">
        <f t="shared" si="283"/>
        <v>-0.41969990854740835</v>
      </c>
      <c r="K2247" s="8"/>
      <c r="L2247" s="8">
        <v>0.905114410418001</v>
      </c>
      <c r="M2247" s="8">
        <v>0.92657791072582418</v>
      </c>
      <c r="N2247" s="8">
        <v>0.68190756925756513</v>
      </c>
      <c r="O2247" s="8">
        <v>1.0155309144482714</v>
      </c>
      <c r="P2247" s="8">
        <f t="shared" si="284"/>
        <v>0.91584616057191259</v>
      </c>
      <c r="Q2247" s="8">
        <f t="shared" si="285"/>
        <v>0.84871924185291825</v>
      </c>
      <c r="R2247" s="8">
        <f t="shared" si="286"/>
        <v>0.9267050279742659</v>
      </c>
      <c r="S2247" s="22">
        <f t="shared" si="287"/>
        <v>-0.10981789562553872</v>
      </c>
      <c r="T2247" s="25"/>
      <c r="U2247" s="1" t="s">
        <v>6350</v>
      </c>
    </row>
    <row r="2248" spans="1:21">
      <c r="A2248" s="6" t="s">
        <v>6351</v>
      </c>
      <c r="B2248" s="6" t="s">
        <v>6352</v>
      </c>
      <c r="C2248" s="7">
        <v>1.524717274749503</v>
      </c>
      <c r="D2248" s="7">
        <v>1.1297809114300106</v>
      </c>
      <c r="E2248" s="7">
        <v>1.08941992303791</v>
      </c>
      <c r="F2248" s="8">
        <v>0.98088385999358241</v>
      </c>
      <c r="G2248" s="8">
        <f t="shared" si="280"/>
        <v>1.3272490930897569</v>
      </c>
      <c r="H2248" s="8">
        <f t="shared" si="281"/>
        <v>1.0351518915157463</v>
      </c>
      <c r="I2248" s="8">
        <f t="shared" si="282"/>
        <v>0.77992284711679427</v>
      </c>
      <c r="J2248" s="22">
        <f t="shared" si="283"/>
        <v>-0.35859668063980382</v>
      </c>
      <c r="K2248" s="8"/>
      <c r="L2248" s="8">
        <v>1.1422679022211821</v>
      </c>
      <c r="M2248" s="8">
        <v>0.73158744267799936</v>
      </c>
      <c r="N2248" s="8">
        <v>0.82498411381646608</v>
      </c>
      <c r="O2248" s="8">
        <v>1.0938645804622462</v>
      </c>
      <c r="P2248" s="8">
        <f t="shared" si="284"/>
        <v>0.93692767244959074</v>
      </c>
      <c r="Q2248" s="8">
        <f t="shared" si="285"/>
        <v>0.9594243471393562</v>
      </c>
      <c r="R2248" s="8">
        <f t="shared" si="286"/>
        <v>1.0240111113710069</v>
      </c>
      <c r="S2248" s="22">
        <f t="shared" si="287"/>
        <v>3.4231369862207511E-2</v>
      </c>
      <c r="T2248" s="25"/>
      <c r="U2248" s="1" t="s">
        <v>6353</v>
      </c>
    </row>
    <row r="2249" spans="1:21">
      <c r="A2249" s="6" t="s">
        <v>6354</v>
      </c>
      <c r="B2249" s="13" t="s">
        <v>6355</v>
      </c>
      <c r="C2249" s="14">
        <v>0.91696049575944072</v>
      </c>
      <c r="D2249" s="14">
        <v>0.93331883264336346</v>
      </c>
      <c r="E2249" s="14">
        <v>1.3062936552371076</v>
      </c>
      <c r="F2249" s="8">
        <v>1.220214428384335</v>
      </c>
      <c r="G2249" s="8">
        <f t="shared" si="280"/>
        <v>0.92513966420140203</v>
      </c>
      <c r="H2249" s="8">
        <f t="shared" si="281"/>
        <v>1.2632540418107214</v>
      </c>
      <c r="I2249" s="8">
        <f t="shared" si="282"/>
        <v>1.3654738745864778</v>
      </c>
      <c r="J2249" s="22">
        <f t="shared" si="283"/>
        <v>0.44940171149236408</v>
      </c>
      <c r="K2249" s="8"/>
      <c r="L2249" s="8">
        <v>0.79493774304405673</v>
      </c>
      <c r="M2249" s="8">
        <v>0.98530829332683167</v>
      </c>
      <c r="N2249" s="8">
        <v>0.73152556333262342</v>
      </c>
      <c r="O2249" s="8">
        <v>1.2462452493337306</v>
      </c>
      <c r="P2249" s="8">
        <f t="shared" si="284"/>
        <v>0.89012301818544426</v>
      </c>
      <c r="Q2249" s="8">
        <f t="shared" si="285"/>
        <v>0.98888540633317701</v>
      </c>
      <c r="R2249" s="8">
        <f t="shared" si="286"/>
        <v>1.110953639137503</v>
      </c>
      <c r="S2249" s="22">
        <f t="shared" si="287"/>
        <v>0.15179861332289485</v>
      </c>
      <c r="T2249" s="25"/>
      <c r="U2249" s="1" t="s">
        <v>6356</v>
      </c>
    </row>
    <row r="2250" spans="1:21">
      <c r="A2250" s="6" t="s">
        <v>6357</v>
      </c>
      <c r="B2250" s="6" t="s">
        <v>6358</v>
      </c>
      <c r="C2250" s="7">
        <v>0.1881209897715084</v>
      </c>
      <c r="D2250" s="7">
        <v>0.27765883389211116</v>
      </c>
      <c r="E2250" s="7">
        <v>0.71299919765219077</v>
      </c>
      <c r="F2250" s="8">
        <v>0.68282057075017688</v>
      </c>
      <c r="G2250" s="8">
        <f t="shared" si="280"/>
        <v>0.23288991183180979</v>
      </c>
      <c r="H2250" s="8">
        <f t="shared" si="281"/>
        <v>0.69790988420118383</v>
      </c>
      <c r="I2250" s="8">
        <f t="shared" si="282"/>
        <v>2.9967372940791255</v>
      </c>
      <c r="J2250" s="22">
        <f t="shared" si="283"/>
        <v>1.5833926170042083</v>
      </c>
      <c r="K2250" s="8"/>
      <c r="L2250" s="8">
        <v>0.18741931581796656</v>
      </c>
      <c r="M2250" s="8">
        <v>0.18449456964812136</v>
      </c>
      <c r="N2250" s="8">
        <v>0.21053662554451111</v>
      </c>
      <c r="O2250" s="8">
        <v>0.77093595600854459</v>
      </c>
      <c r="P2250" s="8">
        <f t="shared" si="284"/>
        <v>0.18595694273304397</v>
      </c>
      <c r="Q2250" s="8">
        <f t="shared" si="285"/>
        <v>0.49073629077652786</v>
      </c>
      <c r="R2250" s="8">
        <f t="shared" si="286"/>
        <v>2.6389780535433891</v>
      </c>
      <c r="S2250" s="22">
        <f t="shared" si="287"/>
        <v>1.3999793528711642</v>
      </c>
      <c r="T2250" s="25"/>
      <c r="U2250" s="1" t="s">
        <v>6359</v>
      </c>
    </row>
    <row r="2251" spans="1:21">
      <c r="A2251" s="6" t="s">
        <v>6360</v>
      </c>
      <c r="B2251" s="13" t="s">
        <v>6361</v>
      </c>
      <c r="C2251" s="14">
        <v>1.0645937830251271</v>
      </c>
      <c r="D2251" s="14">
        <v>1.2803303958051075</v>
      </c>
      <c r="E2251" s="14">
        <v>1.1813935735059116</v>
      </c>
      <c r="F2251" s="8">
        <v>1.1710538764505503</v>
      </c>
      <c r="G2251" s="8">
        <f t="shared" si="280"/>
        <v>1.1724620894151174</v>
      </c>
      <c r="H2251" s="8">
        <f t="shared" si="281"/>
        <v>1.176223724978231</v>
      </c>
      <c r="I2251" s="8">
        <f t="shared" si="282"/>
        <v>1.0032083216993311</v>
      </c>
      <c r="J2251" s="22">
        <f t="shared" si="283"/>
        <v>4.6212205816988788E-3</v>
      </c>
      <c r="K2251" s="8"/>
      <c r="L2251" s="8">
        <v>1.0437514005088433</v>
      </c>
      <c r="M2251" s="8">
        <v>1.2314254486905456</v>
      </c>
      <c r="N2251" s="8">
        <v>0.90462212713784962</v>
      </c>
      <c r="O2251" s="8">
        <v>0.93857510444887482</v>
      </c>
      <c r="P2251" s="8">
        <f t="shared" si="284"/>
        <v>1.1375884245996946</v>
      </c>
      <c r="Q2251" s="8">
        <f t="shared" si="285"/>
        <v>0.92159861579336222</v>
      </c>
      <c r="R2251" s="8">
        <f t="shared" si="286"/>
        <v>0.8101336088380674</v>
      </c>
      <c r="S2251" s="22">
        <f t="shared" si="287"/>
        <v>-0.30376823514651013</v>
      </c>
      <c r="T2251" s="25"/>
      <c r="U2251" s="1" t="s">
        <v>6362</v>
      </c>
    </row>
    <row r="2252" spans="1:21">
      <c r="A2252" s="6" t="s">
        <v>6363</v>
      </c>
      <c r="B2252" s="9" t="s">
        <v>6364</v>
      </c>
      <c r="C2252" s="10">
        <v>8.8666699117879749E-2</v>
      </c>
      <c r="D2252" s="10">
        <v>0.11293810456016572</v>
      </c>
      <c r="E2252" s="10">
        <v>0.18153184844951412</v>
      </c>
      <c r="F2252" s="8">
        <v>0.18367147975975448</v>
      </c>
      <c r="G2252" s="8">
        <f t="shared" si="280"/>
        <v>0.10080240183902273</v>
      </c>
      <c r="H2252" s="8">
        <f t="shared" si="281"/>
        <v>0.1826016641046343</v>
      </c>
      <c r="I2252" s="8">
        <f t="shared" si="282"/>
        <v>1.8114812819266113</v>
      </c>
      <c r="J2252" s="22">
        <f t="shared" si="283"/>
        <v>0.85716989847065328</v>
      </c>
      <c r="K2252" s="8"/>
      <c r="L2252" s="8">
        <v>1.0802548579066036</v>
      </c>
      <c r="M2252" s="8">
        <v>0.99305193392394631</v>
      </c>
      <c r="N2252" s="8">
        <v>1.1087582580128612</v>
      </c>
      <c r="O2252" s="8">
        <v>0.75001295726865558</v>
      </c>
      <c r="P2252" s="8">
        <f t="shared" si="284"/>
        <v>1.0366533959152751</v>
      </c>
      <c r="Q2252" s="8">
        <f t="shared" si="285"/>
        <v>0.92938560764075839</v>
      </c>
      <c r="R2252" s="8">
        <f t="shared" si="286"/>
        <v>0.89652492463036937</v>
      </c>
      <c r="S2252" s="22">
        <f t="shared" si="287"/>
        <v>-0.15758440232268567</v>
      </c>
      <c r="T2252" s="25"/>
      <c r="U2252" s="1" t="s">
        <v>6365</v>
      </c>
    </row>
    <row r="2253" spans="1:21">
      <c r="A2253" s="6" t="s">
        <v>6366</v>
      </c>
      <c r="B2253" s="13" t="s">
        <v>6367</v>
      </c>
      <c r="C2253" s="14">
        <v>1.0833769730827885</v>
      </c>
      <c r="D2253" s="14">
        <v>1.0875230906896116</v>
      </c>
      <c r="E2253" s="14">
        <v>1.1158797218548193</v>
      </c>
      <c r="F2253" s="8">
        <v>1.0626776043149955</v>
      </c>
      <c r="G2253" s="8">
        <f t="shared" si="280"/>
        <v>1.0854500318862002</v>
      </c>
      <c r="H2253" s="8">
        <f t="shared" si="281"/>
        <v>1.0892786630849074</v>
      </c>
      <c r="I2253" s="8">
        <f t="shared" si="282"/>
        <v>1.0035272293392024</v>
      </c>
      <c r="J2253" s="22">
        <f t="shared" si="283"/>
        <v>5.0797627888960412E-3</v>
      </c>
      <c r="K2253" s="8"/>
      <c r="L2253" s="8">
        <v>1.2908041349961628</v>
      </c>
      <c r="M2253" s="8">
        <v>1.2425277767755654</v>
      </c>
      <c r="N2253" s="8">
        <v>0.82917558820180204</v>
      </c>
      <c r="O2253" s="8">
        <v>1.1249939200508616</v>
      </c>
      <c r="P2253" s="8">
        <f t="shared" si="284"/>
        <v>1.2666659558858639</v>
      </c>
      <c r="Q2253" s="8">
        <f t="shared" si="285"/>
        <v>0.97708475412633189</v>
      </c>
      <c r="R2253" s="8">
        <f t="shared" si="286"/>
        <v>0.77138313348209586</v>
      </c>
      <c r="S2253" s="22">
        <f t="shared" si="287"/>
        <v>-0.3744804935249943</v>
      </c>
      <c r="T2253" s="25"/>
      <c r="U2253" s="1" t="s">
        <v>6368</v>
      </c>
    </row>
    <row r="2254" spans="1:21">
      <c r="A2254" s="6" t="s">
        <v>6369</v>
      </c>
      <c r="B2254" s="13" t="s">
        <v>80</v>
      </c>
      <c r="C2254" s="14">
        <v>1.0374270063155648</v>
      </c>
      <c r="D2254" s="14">
        <v>1.1281734508000296</v>
      </c>
      <c r="E2254" s="14">
        <v>1.0137018440403862</v>
      </c>
      <c r="F2254" s="8">
        <v>1.0637138574640106</v>
      </c>
      <c r="G2254" s="8">
        <f t="shared" si="280"/>
        <v>1.0828002285577973</v>
      </c>
      <c r="H2254" s="8">
        <f t="shared" si="281"/>
        <v>1.0387078507521985</v>
      </c>
      <c r="I2254" s="8">
        <f t="shared" si="282"/>
        <v>0.95927930504380632</v>
      </c>
      <c r="J2254" s="22">
        <f t="shared" si="283"/>
        <v>-5.9977161464728965E-2</v>
      </c>
      <c r="K2254" s="8"/>
      <c r="L2254" s="8">
        <v>1.0824917060131156</v>
      </c>
      <c r="M2254" s="8">
        <v>1.2020369331713758</v>
      </c>
      <c r="N2254" s="8">
        <v>0.80402674188978618</v>
      </c>
      <c r="O2254" s="8">
        <v>1.0027729883873635</v>
      </c>
      <c r="P2254" s="8">
        <f t="shared" si="284"/>
        <v>1.1422643195922457</v>
      </c>
      <c r="Q2254" s="8">
        <f t="shared" si="285"/>
        <v>0.90339986513857484</v>
      </c>
      <c r="R2254" s="8">
        <f t="shared" si="286"/>
        <v>0.79088513021317308</v>
      </c>
      <c r="S2254" s="22">
        <f t="shared" si="287"/>
        <v>-0.33845992497580374</v>
      </c>
      <c r="T2254" s="25"/>
      <c r="U2254" s="1">
        <v>0</v>
      </c>
    </row>
    <row r="2255" spans="1:21">
      <c r="A2255" s="6" t="s">
        <v>6370</v>
      </c>
      <c r="B2255" s="9" t="s">
        <v>6371</v>
      </c>
      <c r="C2255" s="10">
        <v>0.63149252341286677</v>
      </c>
      <c r="D2255" s="10">
        <v>0.6740298349058127</v>
      </c>
      <c r="E2255" s="10">
        <v>0.16297100302701839</v>
      </c>
      <c r="F2255" s="8">
        <v>0.28526819739497322</v>
      </c>
      <c r="G2255" s="8">
        <f t="shared" si="280"/>
        <v>0.65276117915933973</v>
      </c>
      <c r="H2255" s="8">
        <f t="shared" si="281"/>
        <v>0.22411960021099581</v>
      </c>
      <c r="I2255" s="8">
        <f t="shared" si="282"/>
        <v>0.34334088387368383</v>
      </c>
      <c r="J2255" s="22">
        <f t="shared" si="283"/>
        <v>-1.5422864361068138</v>
      </c>
      <c r="K2255" s="8"/>
      <c r="L2255" s="8">
        <v>0.66781814107610638</v>
      </c>
      <c r="M2255" s="8">
        <v>0.67584256006624077</v>
      </c>
      <c r="N2255" s="8">
        <v>0.49238495718548164</v>
      </c>
      <c r="O2255" s="8">
        <v>0.6635652502799434</v>
      </c>
      <c r="P2255" s="8">
        <f t="shared" si="284"/>
        <v>0.67183035057117357</v>
      </c>
      <c r="Q2255" s="8">
        <f t="shared" si="285"/>
        <v>0.57797510373271255</v>
      </c>
      <c r="R2255" s="8">
        <f t="shared" si="286"/>
        <v>0.86029918600928401</v>
      </c>
      <c r="S2255" s="22">
        <f t="shared" si="287"/>
        <v>-0.2170896221557114</v>
      </c>
      <c r="T2255" s="25"/>
      <c r="U2255" s="1" t="s">
        <v>6372</v>
      </c>
    </row>
    <row r="2256" spans="1:21">
      <c r="A2256" s="6" t="s">
        <v>6373</v>
      </c>
      <c r="B2256" s="6" t="s">
        <v>6374</v>
      </c>
      <c r="C2256" s="7">
        <v>0.96184539707179506</v>
      </c>
      <c r="D2256" s="7">
        <v>1.1167052988428507</v>
      </c>
      <c r="E2256" s="7">
        <v>1.036457949044679</v>
      </c>
      <c r="F2256" s="8">
        <v>1.012515926457586</v>
      </c>
      <c r="G2256" s="8">
        <f t="shared" si="280"/>
        <v>1.0392753479573229</v>
      </c>
      <c r="H2256" s="8">
        <f t="shared" si="281"/>
        <v>1.0244869377511325</v>
      </c>
      <c r="I2256" s="8">
        <f t="shared" si="282"/>
        <v>0.98577045993128121</v>
      </c>
      <c r="J2256" s="22">
        <f t="shared" si="283"/>
        <v>-2.0676345719552857E-2</v>
      </c>
      <c r="K2256" s="8"/>
      <c r="L2256" s="8">
        <v>1.2563471556532964</v>
      </c>
      <c r="M2256" s="8">
        <v>0.68647840377794034</v>
      </c>
      <c r="N2256" s="8">
        <v>0.90128027593873039</v>
      </c>
      <c r="O2256" s="8">
        <v>1.1167778156676369</v>
      </c>
      <c r="P2256" s="8">
        <f t="shared" si="284"/>
        <v>0.97141277971561835</v>
      </c>
      <c r="Q2256" s="8">
        <f t="shared" si="285"/>
        <v>1.0090290458031836</v>
      </c>
      <c r="R2256" s="8">
        <f t="shared" si="286"/>
        <v>1.0387232563468822</v>
      </c>
      <c r="S2256" s="22">
        <f t="shared" si="287"/>
        <v>5.4811332897025507E-2</v>
      </c>
      <c r="T2256" s="25"/>
      <c r="U2256" s="1" t="s">
        <v>6375</v>
      </c>
    </row>
    <row r="2257" spans="1:21">
      <c r="A2257" s="6" t="s">
        <v>6376</v>
      </c>
      <c r="B2257" s="13" t="s">
        <v>6377</v>
      </c>
      <c r="C2257" s="14">
        <v>0.87264616522648064</v>
      </c>
      <c r="D2257" s="14">
        <v>0.89583540989350541</v>
      </c>
      <c r="E2257" s="14">
        <v>0.60409195396311766</v>
      </c>
      <c r="F2257" s="8">
        <v>0.73586268108959441</v>
      </c>
      <c r="G2257" s="8">
        <f t="shared" si="280"/>
        <v>0.88424078755999302</v>
      </c>
      <c r="H2257" s="8">
        <f t="shared" si="281"/>
        <v>0.66997731752635603</v>
      </c>
      <c r="I2257" s="8">
        <f t="shared" si="282"/>
        <v>0.75768651135751885</v>
      </c>
      <c r="J2257" s="22">
        <f t="shared" si="283"/>
        <v>-0.40032703020971644</v>
      </c>
      <c r="K2257" s="8"/>
      <c r="L2257" s="8">
        <v>1.2828085928282049</v>
      </c>
      <c r="M2257" s="8">
        <v>0.89905533269993498</v>
      </c>
      <c r="N2257" s="8">
        <v>1.4228356291843205</v>
      </c>
      <c r="O2257" s="8">
        <v>1.1107560745668883</v>
      </c>
      <c r="P2257" s="8">
        <f t="shared" si="284"/>
        <v>1.0909319627640699</v>
      </c>
      <c r="Q2257" s="8">
        <f t="shared" si="285"/>
        <v>1.2667958518756044</v>
      </c>
      <c r="R2257" s="8">
        <f t="shared" si="286"/>
        <v>1.1612051852124234</v>
      </c>
      <c r="S2257" s="22">
        <f t="shared" si="287"/>
        <v>0.21562291926077001</v>
      </c>
      <c r="T2257" s="25"/>
      <c r="U2257" s="1" t="s">
        <v>6378</v>
      </c>
    </row>
    <row r="2258" spans="1:21">
      <c r="A2258" s="6" t="s">
        <v>6379</v>
      </c>
      <c r="B2258" s="13" t="s">
        <v>5851</v>
      </c>
      <c r="C2258" s="14">
        <v>1.1305061194607606</v>
      </c>
      <c r="D2258" s="14">
        <v>1.1470151286320469</v>
      </c>
      <c r="E2258" s="14">
        <v>1.0657230628546688</v>
      </c>
      <c r="F2258" s="8">
        <v>0.96723693292943425</v>
      </c>
      <c r="G2258" s="8">
        <f t="shared" si="280"/>
        <v>1.1387606240464039</v>
      </c>
      <c r="H2258" s="8">
        <f t="shared" si="281"/>
        <v>1.0164799978920516</v>
      </c>
      <c r="I2258" s="8">
        <f t="shared" si="282"/>
        <v>0.8926195518423814</v>
      </c>
      <c r="J2258" s="22">
        <f t="shared" si="283"/>
        <v>-0.16388268731494104</v>
      </c>
      <c r="K2258" s="8"/>
      <c r="L2258" s="8">
        <v>0.80754975896375236</v>
      </c>
      <c r="M2258" s="8">
        <v>1.0021483792036894</v>
      </c>
      <c r="N2258" s="8">
        <v>0.90892688461468119</v>
      </c>
      <c r="O2258" s="8">
        <v>1.1000394166757257</v>
      </c>
      <c r="P2258" s="8">
        <f t="shared" si="284"/>
        <v>0.90484906908372087</v>
      </c>
      <c r="Q2258" s="8">
        <f t="shared" si="285"/>
        <v>1.0044831506452034</v>
      </c>
      <c r="R2258" s="8">
        <f t="shared" si="286"/>
        <v>1.1101112715542441</v>
      </c>
      <c r="S2258" s="22">
        <f t="shared" si="287"/>
        <v>0.15070429177705261</v>
      </c>
      <c r="T2258" s="25"/>
      <c r="U2258" s="1">
        <v>0</v>
      </c>
    </row>
    <row r="2259" spans="1:21">
      <c r="A2259" s="6" t="s">
        <v>6380</v>
      </c>
      <c r="B2259" s="13" t="s">
        <v>80</v>
      </c>
      <c r="C2259" s="14">
        <v>0.94823538208064218</v>
      </c>
      <c r="D2259" s="14">
        <v>1.0761109199484025</v>
      </c>
      <c r="E2259" s="14">
        <v>1.0238636950274056</v>
      </c>
      <c r="F2259" s="8">
        <v>1.0502952573648996</v>
      </c>
      <c r="G2259" s="8">
        <f t="shared" si="280"/>
        <v>1.0121731510145224</v>
      </c>
      <c r="H2259" s="8">
        <f t="shared" si="281"/>
        <v>1.0370794761961526</v>
      </c>
      <c r="I2259" s="8">
        <f t="shared" si="282"/>
        <v>1.0246067830950327</v>
      </c>
      <c r="J2259" s="22">
        <f t="shared" si="283"/>
        <v>3.5070347856874171E-2</v>
      </c>
      <c r="K2259" s="8"/>
      <c r="L2259" s="8">
        <v>1.1470747460245379</v>
      </c>
      <c r="M2259" s="8">
        <v>0.95895192623424297</v>
      </c>
      <c r="N2259" s="8">
        <v>0.88162565956424954</v>
      </c>
      <c r="O2259" s="8">
        <v>1.1406606532536565</v>
      </c>
      <c r="P2259" s="8">
        <f t="shared" si="284"/>
        <v>1.0530133361293905</v>
      </c>
      <c r="Q2259" s="8">
        <f t="shared" si="285"/>
        <v>1.011143156408953</v>
      </c>
      <c r="R2259" s="8">
        <f t="shared" si="286"/>
        <v>0.96023774981393717</v>
      </c>
      <c r="S2259" s="22">
        <f t="shared" si="287"/>
        <v>-5.8536441124945771E-2</v>
      </c>
      <c r="T2259" s="25"/>
      <c r="U2259" s="1">
        <v>0</v>
      </c>
    </row>
    <row r="2260" spans="1:21">
      <c r="A2260" s="6" t="s">
        <v>6381</v>
      </c>
      <c r="B2260" s="13" t="s">
        <v>80</v>
      </c>
      <c r="C2260" s="14">
        <v>1.174995425032735</v>
      </c>
      <c r="D2260" s="14">
        <v>1.1818274476485038</v>
      </c>
      <c r="E2260" s="14">
        <v>1.0189904136950152</v>
      </c>
      <c r="F2260" s="8">
        <v>1.0009415056914681</v>
      </c>
      <c r="G2260" s="8">
        <f t="shared" si="280"/>
        <v>1.1784114363406193</v>
      </c>
      <c r="H2260" s="8">
        <f t="shared" si="281"/>
        <v>1.0099659596932415</v>
      </c>
      <c r="I2260" s="8">
        <f t="shared" si="282"/>
        <v>0.85705716063783288</v>
      </c>
      <c r="J2260" s="22">
        <f t="shared" si="283"/>
        <v>-0.22253666812403466</v>
      </c>
      <c r="K2260" s="8"/>
      <c r="L2260" s="8">
        <v>1.1962378118548984</v>
      </c>
      <c r="M2260" s="8">
        <v>1.2478923470687471</v>
      </c>
      <c r="N2260" s="8">
        <v>1.1182740376984888</v>
      </c>
      <c r="O2260" s="8">
        <v>1.2555330195060714</v>
      </c>
      <c r="P2260" s="8">
        <f t="shared" si="284"/>
        <v>1.2220650794618226</v>
      </c>
      <c r="Q2260" s="8">
        <f t="shared" si="285"/>
        <v>1.1869035286022802</v>
      </c>
      <c r="R2260" s="8">
        <f t="shared" si="286"/>
        <v>0.97122775910180903</v>
      </c>
      <c r="S2260" s="22">
        <f t="shared" si="287"/>
        <v>-4.2118438382111538E-2</v>
      </c>
      <c r="T2260" s="25"/>
      <c r="U2260" s="1">
        <v>0</v>
      </c>
    </row>
    <row r="2261" spans="1:21">
      <c r="A2261" s="6" t="s">
        <v>6382</v>
      </c>
      <c r="B2261" s="6" t="s">
        <v>6383</v>
      </c>
      <c r="C2261" s="7">
        <v>1.2251980460090446</v>
      </c>
      <c r="D2261" s="7">
        <v>1.2581858262308903</v>
      </c>
      <c r="E2261" s="7">
        <v>1.2259989294230782</v>
      </c>
      <c r="F2261" s="8">
        <v>1.1079478160367997</v>
      </c>
      <c r="G2261" s="8">
        <f t="shared" si="280"/>
        <v>1.2416919361199674</v>
      </c>
      <c r="H2261" s="8">
        <f t="shared" si="281"/>
        <v>1.166973372729939</v>
      </c>
      <c r="I2261" s="8">
        <f t="shared" si="282"/>
        <v>0.9398252004249068</v>
      </c>
      <c r="J2261" s="22">
        <f t="shared" si="283"/>
        <v>-8.9535642278567917E-2</v>
      </c>
      <c r="K2261" s="8"/>
      <c r="L2261" s="8">
        <v>1.0925337262359676</v>
      </c>
      <c r="M2261" s="8">
        <v>1.2276002768293204</v>
      </c>
      <c r="N2261" s="8">
        <v>1.027477639864792</v>
      </c>
      <c r="O2261" s="8">
        <v>1.0212974970278019</v>
      </c>
      <c r="P2261" s="8">
        <f t="shared" si="284"/>
        <v>1.160067001532644</v>
      </c>
      <c r="Q2261" s="8">
        <f t="shared" si="285"/>
        <v>1.0243875684462971</v>
      </c>
      <c r="R2261" s="8">
        <f t="shared" si="286"/>
        <v>0.88304172698034555</v>
      </c>
      <c r="S2261" s="22">
        <f t="shared" si="287"/>
        <v>-0.17944648273811292</v>
      </c>
      <c r="T2261" s="25"/>
      <c r="U2261" s="1" t="s">
        <v>6384</v>
      </c>
    </row>
    <row r="2262" spans="1:21">
      <c r="A2262" s="6" t="s">
        <v>6385</v>
      </c>
      <c r="B2262" s="13" t="s">
        <v>6386</v>
      </c>
      <c r="C2262" s="14">
        <v>1.2992505255640374</v>
      </c>
      <c r="D2262" s="14">
        <v>1.1585312644886281</v>
      </c>
      <c r="E2262" s="14">
        <v>1.1918181579212859</v>
      </c>
      <c r="F2262" s="8">
        <v>1.2151297625090829</v>
      </c>
      <c r="G2262" s="8">
        <f t="shared" si="280"/>
        <v>1.2288908950263329</v>
      </c>
      <c r="H2262" s="8">
        <f t="shared" si="281"/>
        <v>1.2034739602151845</v>
      </c>
      <c r="I2262" s="8">
        <f t="shared" si="282"/>
        <v>0.97931717541889374</v>
      </c>
      <c r="J2262" s="22">
        <f t="shared" si="283"/>
        <v>-3.0151907892318284E-2</v>
      </c>
      <c r="K2262" s="8"/>
      <c r="L2262" s="8">
        <v>1.1014811186620157</v>
      </c>
      <c r="M2262" s="8">
        <v>1.0504761602796573</v>
      </c>
      <c r="N2262" s="8">
        <v>1.0872344706287036</v>
      </c>
      <c r="O2262" s="8">
        <v>1.1721982464762208</v>
      </c>
      <c r="P2262" s="8">
        <f t="shared" si="284"/>
        <v>1.0759786394708364</v>
      </c>
      <c r="Q2262" s="8">
        <f t="shared" si="285"/>
        <v>1.1297163585524621</v>
      </c>
      <c r="R2262" s="8">
        <f t="shared" si="286"/>
        <v>1.0499431095658682</v>
      </c>
      <c r="S2262" s="22">
        <f t="shared" si="287"/>
        <v>7.0311158585913303E-2</v>
      </c>
      <c r="T2262" s="25"/>
      <c r="U2262" s="1" t="s">
        <v>6387</v>
      </c>
    </row>
    <row r="2263" spans="1:21">
      <c r="A2263" s="6" t="s">
        <v>6388</v>
      </c>
      <c r="B2263" s="6" t="s">
        <v>6389</v>
      </c>
      <c r="C2263" s="7">
        <v>0.22197485601557229</v>
      </c>
      <c r="D2263" s="7">
        <v>0.21302452139704958</v>
      </c>
      <c r="E2263" s="7">
        <v>0.9615873972353971</v>
      </c>
      <c r="F2263" s="8">
        <v>1.0782126197438746</v>
      </c>
      <c r="G2263" s="8">
        <f t="shared" si="280"/>
        <v>0.21749968870631092</v>
      </c>
      <c r="H2263" s="8">
        <f t="shared" si="281"/>
        <v>1.0199000084896359</v>
      </c>
      <c r="I2263" s="8">
        <f t="shared" si="282"/>
        <v>4.6892021526835537</v>
      </c>
      <c r="J2263" s="22">
        <f t="shared" si="283"/>
        <v>2.2293424753452631</v>
      </c>
      <c r="K2263" s="8"/>
      <c r="L2263" s="8">
        <v>0.53608206535641834</v>
      </c>
      <c r="M2263" s="8">
        <v>0.91986053575001392</v>
      </c>
      <c r="N2263" s="8">
        <v>0.60181642357019927</v>
      </c>
      <c r="O2263" s="8">
        <v>0.60089831746876365</v>
      </c>
      <c r="P2263" s="8">
        <f t="shared" si="284"/>
        <v>0.72797130055321613</v>
      </c>
      <c r="Q2263" s="8">
        <f t="shared" si="285"/>
        <v>0.60135737051948146</v>
      </c>
      <c r="R2263" s="8">
        <f t="shared" si="286"/>
        <v>0.82607290982829218</v>
      </c>
      <c r="S2263" s="22">
        <f t="shared" si="287"/>
        <v>-0.27565897425275604</v>
      </c>
      <c r="T2263" s="25"/>
      <c r="U2263" s="1" t="s">
        <v>6390</v>
      </c>
    </row>
    <row r="2264" spans="1:21">
      <c r="A2264" s="6" t="s">
        <v>6391</v>
      </c>
      <c r="B2264" s="13" t="s">
        <v>6392</v>
      </c>
      <c r="C2264" s="14">
        <v>2.1323142939213349</v>
      </c>
      <c r="D2264" s="14">
        <v>1.1697674942653618</v>
      </c>
      <c r="E2264" s="14">
        <v>1.0522389052897416</v>
      </c>
      <c r="F2264" s="8">
        <v>1.0275591607310004</v>
      </c>
      <c r="G2264" s="8">
        <f t="shared" si="280"/>
        <v>1.6510408940933483</v>
      </c>
      <c r="H2264" s="8">
        <f t="shared" si="281"/>
        <v>1.039899033010371</v>
      </c>
      <c r="I2264" s="8">
        <f t="shared" si="282"/>
        <v>0.6298445039917806</v>
      </c>
      <c r="J2264" s="22">
        <f t="shared" si="283"/>
        <v>-0.66693239486109723</v>
      </c>
      <c r="K2264" s="8"/>
      <c r="L2264" s="8">
        <v>0.83458230629351493</v>
      </c>
      <c r="M2264" s="8">
        <v>0.89135834054015251</v>
      </c>
      <c r="N2264" s="8">
        <v>1.0560816204674226</v>
      </c>
      <c r="O2264" s="8">
        <v>1.1188190838373822</v>
      </c>
      <c r="P2264" s="8">
        <f t="shared" si="284"/>
        <v>0.86297032341683377</v>
      </c>
      <c r="Q2264" s="8">
        <f t="shared" si="285"/>
        <v>1.0874503521524024</v>
      </c>
      <c r="R2264" s="8">
        <f t="shared" si="286"/>
        <v>1.260124853247288</v>
      </c>
      <c r="S2264" s="22">
        <f t="shared" si="287"/>
        <v>0.33356668311963666</v>
      </c>
      <c r="T2264" s="25"/>
      <c r="U2264" s="1" t="s">
        <v>6393</v>
      </c>
    </row>
    <row r="2265" spans="1:21">
      <c r="A2265" s="6" t="s">
        <v>6394</v>
      </c>
      <c r="B2265" s="6" t="s">
        <v>6395</v>
      </c>
      <c r="C2265" s="7">
        <v>2.3699836501754477</v>
      </c>
      <c r="D2265" s="7">
        <v>1.2287876905303401</v>
      </c>
      <c r="E2265" s="7">
        <v>1.111879393526318</v>
      </c>
      <c r="F2265" s="8">
        <v>1.1002110446445765</v>
      </c>
      <c r="G2265" s="8">
        <f t="shared" si="280"/>
        <v>1.7993856703528939</v>
      </c>
      <c r="H2265" s="8">
        <f t="shared" si="281"/>
        <v>1.1060452190854473</v>
      </c>
      <c r="I2265" s="8">
        <f t="shared" si="282"/>
        <v>0.61467935268625917</v>
      </c>
      <c r="J2265" s="22">
        <f t="shared" si="283"/>
        <v>-0.70209406967946297</v>
      </c>
      <c r="K2265" s="8"/>
      <c r="L2265" s="8">
        <v>1.1490260390536229</v>
      </c>
      <c r="M2265" s="8">
        <v>1.1050548319581155</v>
      </c>
      <c r="N2265" s="8">
        <v>0.74279723093643235</v>
      </c>
      <c r="O2265" s="8">
        <v>1.1353023243080751</v>
      </c>
      <c r="P2265" s="8">
        <f t="shared" si="284"/>
        <v>1.1270404355058692</v>
      </c>
      <c r="Q2265" s="8">
        <f t="shared" si="285"/>
        <v>0.93904977762225372</v>
      </c>
      <c r="R2265" s="8">
        <f t="shared" si="286"/>
        <v>0.83319972206743731</v>
      </c>
      <c r="S2265" s="22">
        <f t="shared" si="287"/>
        <v>-0.26326573675219767</v>
      </c>
      <c r="T2265" s="25"/>
      <c r="U2265" s="1" t="s">
        <v>6396</v>
      </c>
    </row>
    <row r="2266" spans="1:21">
      <c r="A2266" s="6" t="s">
        <v>6397</v>
      </c>
      <c r="B2266" s="13" t="s">
        <v>6398</v>
      </c>
      <c r="C2266" s="14">
        <v>2.4650103115809761</v>
      </c>
      <c r="D2266" s="14">
        <v>1.1066766638677448</v>
      </c>
      <c r="E2266" s="14">
        <v>1.0055232066738529</v>
      </c>
      <c r="F2266" s="8">
        <v>0.94212974858168685</v>
      </c>
      <c r="G2266" s="8">
        <f t="shared" si="280"/>
        <v>1.7858434877243603</v>
      </c>
      <c r="H2266" s="8">
        <f t="shared" si="281"/>
        <v>0.97382647762776986</v>
      </c>
      <c r="I2266" s="8">
        <f t="shared" si="282"/>
        <v>0.54530337306808663</v>
      </c>
      <c r="J2266" s="22">
        <f t="shared" si="283"/>
        <v>-0.8748690153635148</v>
      </c>
      <c r="K2266" s="8"/>
      <c r="L2266" s="8">
        <v>1.1937154086709592</v>
      </c>
      <c r="M2266" s="8">
        <v>1.0526686368342622</v>
      </c>
      <c r="N2266" s="8">
        <v>0.87307278615633421</v>
      </c>
      <c r="O2266" s="8">
        <v>1.0003744982879128</v>
      </c>
      <c r="P2266" s="8">
        <f t="shared" si="284"/>
        <v>1.1231920227526107</v>
      </c>
      <c r="Q2266" s="8">
        <f t="shared" si="285"/>
        <v>0.93672364222212345</v>
      </c>
      <c r="R2266" s="8">
        <f t="shared" si="286"/>
        <v>0.833983524853116</v>
      </c>
      <c r="S2266" s="22">
        <f t="shared" si="287"/>
        <v>-0.26190921103454284</v>
      </c>
      <c r="T2266" s="25"/>
      <c r="U2266" s="1" t="s">
        <v>6399</v>
      </c>
    </row>
    <row r="2267" spans="1:21">
      <c r="A2267" s="6" t="s">
        <v>6400</v>
      </c>
      <c r="B2267" s="13" t="s">
        <v>6401</v>
      </c>
      <c r="C2267" s="14">
        <v>0.22182270380773381</v>
      </c>
      <c r="D2267" s="14">
        <v>0.43963648364155145</v>
      </c>
      <c r="E2267" s="14">
        <v>1.3349994011028579</v>
      </c>
      <c r="F2267" s="8">
        <v>1.2310950864489936</v>
      </c>
      <c r="G2267" s="8">
        <f t="shared" si="280"/>
        <v>0.33072959372464261</v>
      </c>
      <c r="H2267" s="8">
        <f t="shared" si="281"/>
        <v>1.2830472437759257</v>
      </c>
      <c r="I2267" s="8">
        <f t="shared" si="282"/>
        <v>3.8794449245571885</v>
      </c>
      <c r="J2267" s="22">
        <f t="shared" si="283"/>
        <v>1.9558502447124153</v>
      </c>
      <c r="K2267" s="8"/>
      <c r="L2267" s="8">
        <v>0.79684144356023723</v>
      </c>
      <c r="M2267" s="8">
        <v>0.84587611414143737</v>
      </c>
      <c r="N2267" s="8">
        <v>0.50722504217140085</v>
      </c>
      <c r="O2267" s="8">
        <v>0.78022372618088554</v>
      </c>
      <c r="P2267" s="8">
        <f t="shared" si="284"/>
        <v>0.8213587788508373</v>
      </c>
      <c r="Q2267" s="8">
        <f t="shared" si="285"/>
        <v>0.64372438417614319</v>
      </c>
      <c r="R2267" s="8">
        <f t="shared" si="286"/>
        <v>0.78373105730577042</v>
      </c>
      <c r="S2267" s="22">
        <f t="shared" si="287"/>
        <v>-0.35156942633317984</v>
      </c>
      <c r="T2267" s="25"/>
      <c r="U2267" s="1" t="s">
        <v>6402</v>
      </c>
    </row>
    <row r="2268" spans="1:21">
      <c r="A2268" s="6" t="s">
        <v>6403</v>
      </c>
      <c r="B2268" s="6" t="s">
        <v>6404</v>
      </c>
      <c r="C2268" s="7">
        <v>2.4130427249937401</v>
      </c>
      <c r="D2268" s="7">
        <v>1.0966720208423399</v>
      </c>
      <c r="E2268" s="7">
        <v>1.0200159215927878</v>
      </c>
      <c r="F2268" s="8">
        <v>1.0757185867411603</v>
      </c>
      <c r="G2268" s="8">
        <f t="shared" si="280"/>
        <v>1.7548573729180399</v>
      </c>
      <c r="H2268" s="8">
        <f t="shared" si="281"/>
        <v>1.047867254166974</v>
      </c>
      <c r="I2268" s="8">
        <f t="shared" si="282"/>
        <v>0.59712388615636758</v>
      </c>
      <c r="J2268" s="22">
        <f t="shared" si="283"/>
        <v>-0.74389781431610291</v>
      </c>
      <c r="K2268" s="8"/>
      <c r="L2268" s="8">
        <v>0.90739885103741758</v>
      </c>
      <c r="M2268" s="8">
        <v>1.0562605665088274</v>
      </c>
      <c r="N2268" s="8">
        <v>0.84350589927599129</v>
      </c>
      <c r="O2268" s="8">
        <v>0.82758114771897584</v>
      </c>
      <c r="P2268" s="8">
        <f t="shared" si="284"/>
        <v>0.98182970877312248</v>
      </c>
      <c r="Q2268" s="8">
        <f t="shared" si="285"/>
        <v>0.83554352349748351</v>
      </c>
      <c r="R2268" s="8">
        <f t="shared" si="286"/>
        <v>0.85100656053845058</v>
      </c>
      <c r="S2268" s="22">
        <f t="shared" si="287"/>
        <v>-0.23275784097870358</v>
      </c>
      <c r="T2268" s="25"/>
      <c r="U2268" s="1" t="s">
        <v>6405</v>
      </c>
    </row>
    <row r="2269" spans="1:21">
      <c r="A2269" s="6" t="s">
        <v>6406</v>
      </c>
      <c r="B2269" s="13" t="s">
        <v>6407</v>
      </c>
      <c r="C2269" s="14">
        <v>0.39583918391261425</v>
      </c>
      <c r="D2269" s="14">
        <v>0.40116939095394366</v>
      </c>
      <c r="E2269" s="14">
        <v>0.78903086170936387</v>
      </c>
      <c r="F2269" s="8">
        <v>0.73890118608585909</v>
      </c>
      <c r="G2269" s="8">
        <f t="shared" si="280"/>
        <v>0.39850428743327893</v>
      </c>
      <c r="H2269" s="8">
        <f t="shared" si="281"/>
        <v>0.76396602389761148</v>
      </c>
      <c r="I2269" s="8">
        <f t="shared" si="282"/>
        <v>1.9170835747294723</v>
      </c>
      <c r="J2269" s="22">
        <f t="shared" si="283"/>
        <v>0.93891323226925871</v>
      </c>
      <c r="K2269" s="8"/>
      <c r="L2269" s="8">
        <v>0.81245178779291705</v>
      </c>
      <c r="M2269" s="8">
        <v>1.0892410117025624</v>
      </c>
      <c r="N2269" s="8">
        <v>1.2385240393210331</v>
      </c>
      <c r="O2269" s="8">
        <v>1.2107782148844064</v>
      </c>
      <c r="P2269" s="8">
        <f t="shared" si="284"/>
        <v>0.95084639974773966</v>
      </c>
      <c r="Q2269" s="8">
        <f t="shared" si="285"/>
        <v>1.2246511271027196</v>
      </c>
      <c r="R2269" s="8">
        <f t="shared" si="286"/>
        <v>1.2879589462899796</v>
      </c>
      <c r="S2269" s="22">
        <f t="shared" si="287"/>
        <v>0.36508660826014422</v>
      </c>
      <c r="T2269" s="25"/>
      <c r="U2269" s="1" t="s">
        <v>6408</v>
      </c>
    </row>
    <row r="2270" spans="1:21">
      <c r="A2270" s="6" t="s">
        <v>6409</v>
      </c>
      <c r="B2270" s="13" t="s">
        <v>6410</v>
      </c>
      <c r="C2270" s="14">
        <v>2.6031797315191083</v>
      </c>
      <c r="D2270" s="14">
        <v>1.1684319423986611</v>
      </c>
      <c r="E2270" s="14">
        <v>1.0126085339675543</v>
      </c>
      <c r="F2270" s="8">
        <v>1.0996051000065932</v>
      </c>
      <c r="G2270" s="8">
        <f t="shared" si="280"/>
        <v>1.8858058369588848</v>
      </c>
      <c r="H2270" s="8">
        <f t="shared" si="281"/>
        <v>1.0561068169870738</v>
      </c>
      <c r="I2270" s="8">
        <f t="shared" si="282"/>
        <v>0.56002945599648146</v>
      </c>
      <c r="J2270" s="22">
        <f t="shared" si="283"/>
        <v>-0.83642538396275945</v>
      </c>
      <c r="K2270" s="8"/>
      <c r="L2270" s="8">
        <v>1.1620187950765546</v>
      </c>
      <c r="M2270" s="8">
        <v>0.88114233276444109</v>
      </c>
      <c r="N2270" s="8">
        <v>0.92427674351233047</v>
      </c>
      <c r="O2270" s="8">
        <v>1.1422936677894526</v>
      </c>
      <c r="P2270" s="8">
        <f t="shared" si="284"/>
        <v>1.0215805639204978</v>
      </c>
      <c r="Q2270" s="8">
        <f t="shared" si="285"/>
        <v>1.0332852056508917</v>
      </c>
      <c r="R2270" s="8">
        <f t="shared" si="286"/>
        <v>1.0114573849031301</v>
      </c>
      <c r="S2270" s="22">
        <f t="shared" si="287"/>
        <v>1.6435537015262115E-2</v>
      </c>
      <c r="T2270" s="25"/>
      <c r="U2270" s="1" t="s">
        <v>6411</v>
      </c>
    </row>
    <row r="2271" spans="1:21">
      <c r="A2271" s="6" t="s">
        <v>6412</v>
      </c>
      <c r="B2271" s="13" t="s">
        <v>6413</v>
      </c>
      <c r="C2271" s="14">
        <v>2.614613969938171</v>
      </c>
      <c r="D2271" s="14">
        <v>1.1275336654746639</v>
      </c>
      <c r="E2271" s="14">
        <v>1.0449416961989795</v>
      </c>
      <c r="F2271" s="8">
        <v>1.0258115812678308</v>
      </c>
      <c r="G2271" s="8">
        <f t="shared" si="280"/>
        <v>1.8710738177064175</v>
      </c>
      <c r="H2271" s="8">
        <f t="shared" si="281"/>
        <v>1.0353766387334051</v>
      </c>
      <c r="I2271" s="8">
        <f t="shared" si="282"/>
        <v>0.55335958898862736</v>
      </c>
      <c r="J2271" s="22">
        <f t="shared" si="283"/>
        <v>-0.85371080492298068</v>
      </c>
      <c r="K2271" s="8"/>
      <c r="L2271" s="8">
        <v>1.1854343114255741</v>
      </c>
      <c r="M2271" s="8">
        <v>1.0953986054303884</v>
      </c>
      <c r="N2271" s="8">
        <v>1.4351834861573374</v>
      </c>
      <c r="O2271" s="8">
        <v>1.1528572305678844</v>
      </c>
      <c r="P2271" s="8">
        <f t="shared" si="284"/>
        <v>1.1404164584279812</v>
      </c>
      <c r="Q2271" s="8">
        <f t="shared" si="285"/>
        <v>1.2940203583626109</v>
      </c>
      <c r="R2271" s="8">
        <f t="shared" si="286"/>
        <v>1.1346910585159096</v>
      </c>
      <c r="S2271" s="22">
        <f t="shared" si="287"/>
        <v>0.18229954948283794</v>
      </c>
      <c r="T2271" s="25"/>
      <c r="U2271" s="1" t="s">
        <v>6414</v>
      </c>
    </row>
    <row r="2272" spans="1:21">
      <c r="A2272" s="6" t="s">
        <v>6415</v>
      </c>
      <c r="B2272" s="13" t="s">
        <v>6416</v>
      </c>
      <c r="C2272" s="14">
        <v>2.4547780756038375</v>
      </c>
      <c r="D2272" s="14">
        <v>1.0955364018898159</v>
      </c>
      <c r="E2272" s="14">
        <v>1.0479080413578259</v>
      </c>
      <c r="F2272" s="8">
        <v>1.0198575165641677</v>
      </c>
      <c r="G2272" s="8">
        <f t="shared" si="280"/>
        <v>1.7751572387468268</v>
      </c>
      <c r="H2272" s="8">
        <f t="shared" si="281"/>
        <v>1.0338827789609968</v>
      </c>
      <c r="I2272" s="8">
        <f t="shared" si="282"/>
        <v>0.58241757766251001</v>
      </c>
      <c r="J2272" s="22">
        <f t="shared" si="283"/>
        <v>-0.77987419741419273</v>
      </c>
      <c r="K2272" s="8"/>
      <c r="L2272" s="8">
        <v>1.2110390833682014</v>
      </c>
      <c r="M2272" s="8">
        <v>1.0421260899972267</v>
      </c>
      <c r="N2272" s="8">
        <v>1.3907765142910751</v>
      </c>
      <c r="O2272" s="8">
        <v>1.2074611541085705</v>
      </c>
      <c r="P2272" s="8">
        <f t="shared" si="284"/>
        <v>1.1265825866827139</v>
      </c>
      <c r="Q2272" s="8">
        <f t="shared" si="285"/>
        <v>1.2991188341998228</v>
      </c>
      <c r="R2272" s="8">
        <f t="shared" si="286"/>
        <v>1.1531501103928399</v>
      </c>
      <c r="S2272" s="22">
        <f t="shared" si="287"/>
        <v>0.20558032688667779</v>
      </c>
      <c r="T2272" s="25"/>
      <c r="U2272" s="1" t="s">
        <v>6417</v>
      </c>
    </row>
    <row r="2273" spans="1:21">
      <c r="A2273" s="6" t="s">
        <v>6418</v>
      </c>
      <c r="B2273" s="6" t="s">
        <v>6419</v>
      </c>
      <c r="C2273" s="7">
        <v>2.2145449546476468</v>
      </c>
      <c r="D2273" s="7">
        <v>1.1706312044546054</v>
      </c>
      <c r="E2273" s="7">
        <v>0.9396279677880518</v>
      </c>
      <c r="F2273" s="8">
        <v>0.99438149634982165</v>
      </c>
      <c r="G2273" s="8">
        <f t="shared" si="280"/>
        <v>1.6925880795511261</v>
      </c>
      <c r="H2273" s="8">
        <f t="shared" si="281"/>
        <v>0.96700473206893678</v>
      </c>
      <c r="I2273" s="8">
        <f t="shared" si="282"/>
        <v>0.57131722936710394</v>
      </c>
      <c r="J2273" s="22">
        <f t="shared" si="283"/>
        <v>-0.80763605656769033</v>
      </c>
      <c r="K2273" s="8"/>
      <c r="L2273" s="8">
        <v>1.2760980485086688</v>
      </c>
      <c r="M2273" s="8">
        <v>1.2085210659605259</v>
      </c>
      <c r="N2273" s="8">
        <v>1.5401969119737278</v>
      </c>
      <c r="O2273" s="8">
        <v>1.3052889311436124</v>
      </c>
      <c r="P2273" s="8">
        <f t="shared" si="284"/>
        <v>1.2423095572345972</v>
      </c>
      <c r="Q2273" s="8">
        <f t="shared" si="285"/>
        <v>1.4227429215586702</v>
      </c>
      <c r="R2273" s="8">
        <f t="shared" si="286"/>
        <v>1.1452402609907637</v>
      </c>
      <c r="S2273" s="22">
        <f t="shared" si="287"/>
        <v>0.19565029437299561</v>
      </c>
      <c r="T2273" s="25"/>
      <c r="U2273" s="1" t="s">
        <v>6420</v>
      </c>
    </row>
    <row r="2274" spans="1:21">
      <c r="A2274" s="6" t="s">
        <v>6421</v>
      </c>
      <c r="B2274" s="13" t="s">
        <v>6422</v>
      </c>
      <c r="C2274" s="14">
        <v>0.21425313146776895</v>
      </c>
      <c r="D2274" s="14">
        <v>1.1933115942388166</v>
      </c>
      <c r="E2274" s="14">
        <v>1.100327597950582</v>
      </c>
      <c r="F2274" s="8">
        <v>1.0661376360159442</v>
      </c>
      <c r="G2274" s="8">
        <f t="shared" si="280"/>
        <v>0.70378236285329276</v>
      </c>
      <c r="H2274" s="8">
        <f t="shared" si="281"/>
        <v>1.0832326169832631</v>
      </c>
      <c r="I2274" s="8">
        <f t="shared" si="282"/>
        <v>1.5391585156973717</v>
      </c>
      <c r="J2274" s="22">
        <f t="shared" si="283"/>
        <v>0.62214182038209553</v>
      </c>
      <c r="K2274" s="8"/>
      <c r="L2274" s="8">
        <v>0.50295767637487832</v>
      </c>
      <c r="M2274" s="8">
        <v>0.65228509921357292</v>
      </c>
      <c r="N2274" s="8">
        <v>0.58187859946697951</v>
      </c>
      <c r="O2274" s="8">
        <v>0.6173815579394567</v>
      </c>
      <c r="P2274" s="8">
        <f t="shared" si="284"/>
        <v>0.57762138779422556</v>
      </c>
      <c r="Q2274" s="8">
        <f t="shared" si="285"/>
        <v>0.59963007870321805</v>
      </c>
      <c r="R2274" s="8">
        <f t="shared" si="286"/>
        <v>1.0381022783679072</v>
      </c>
      <c r="S2274" s="22">
        <f t="shared" si="287"/>
        <v>5.39485913113779E-2</v>
      </c>
      <c r="T2274" s="25"/>
      <c r="U2274" s="1" t="s">
        <v>6423</v>
      </c>
    </row>
    <row r="2275" spans="1:21">
      <c r="A2275" s="6" t="s">
        <v>6424</v>
      </c>
      <c r="B2275" s="13" t="s">
        <v>6425</v>
      </c>
      <c r="C2275" s="14">
        <v>1.2952489224978851</v>
      </c>
      <c r="D2275" s="14">
        <v>1.1120028767014136</v>
      </c>
      <c r="E2275" s="14">
        <v>1.0228297118577505</v>
      </c>
      <c r="F2275" s="8">
        <v>1.1454022201092526</v>
      </c>
      <c r="G2275" s="8">
        <f t="shared" si="280"/>
        <v>1.2036258995996494</v>
      </c>
      <c r="H2275" s="8">
        <f t="shared" si="281"/>
        <v>1.0841159659835016</v>
      </c>
      <c r="I2275" s="8">
        <f t="shared" si="282"/>
        <v>0.90070840644431194</v>
      </c>
      <c r="J2275" s="22">
        <f t="shared" si="283"/>
        <v>-0.15086796849843478</v>
      </c>
      <c r="K2275" s="8"/>
      <c r="L2275" s="8">
        <v>1.1750591436123907</v>
      </c>
      <c r="M2275" s="8">
        <v>1.2414548627169288</v>
      </c>
      <c r="N2275" s="8">
        <v>1.3354943656412384</v>
      </c>
      <c r="O2275" s="8">
        <v>1.1143793255681862</v>
      </c>
      <c r="P2275" s="8">
        <f t="shared" si="284"/>
        <v>1.2082570031646598</v>
      </c>
      <c r="Q2275" s="8">
        <f t="shared" si="285"/>
        <v>1.2249368456047123</v>
      </c>
      <c r="R2275" s="8">
        <f t="shared" si="286"/>
        <v>1.0138048795880055</v>
      </c>
      <c r="S2275" s="22">
        <f t="shared" si="287"/>
        <v>1.9780012954482978E-2</v>
      </c>
      <c r="T2275" s="25"/>
      <c r="U2275" s="1" t="s">
        <v>6426</v>
      </c>
    </row>
    <row r="2276" spans="1:21">
      <c r="A2276" s="6" t="s">
        <v>6427</v>
      </c>
      <c r="B2276" s="13" t="s">
        <v>6428</v>
      </c>
      <c r="C2276" s="14">
        <v>1.0300552318457898</v>
      </c>
      <c r="D2276" s="14">
        <v>1.0559576821993855</v>
      </c>
      <c r="E2276" s="14">
        <v>1.0009126587698174</v>
      </c>
      <c r="F2276" s="8">
        <v>0.95419595050326955</v>
      </c>
      <c r="G2276" s="8">
        <f t="shared" si="280"/>
        <v>1.0430064570225877</v>
      </c>
      <c r="H2276" s="8">
        <f t="shared" si="281"/>
        <v>0.97755430463654347</v>
      </c>
      <c r="I2276" s="8">
        <f t="shared" si="282"/>
        <v>0.93724664699307159</v>
      </c>
      <c r="J2276" s="22">
        <f t="shared" si="283"/>
        <v>-9.3499335617123355E-2</v>
      </c>
      <c r="K2276" s="8"/>
      <c r="L2276" s="8">
        <v>1.1998548428356413</v>
      </c>
      <c r="M2276" s="8">
        <v>1.1180230975364158</v>
      </c>
      <c r="N2276" s="8">
        <v>1.1242780415477538</v>
      </c>
      <c r="O2276" s="8">
        <v>1.1662275370797159</v>
      </c>
      <c r="P2276" s="8">
        <f t="shared" si="284"/>
        <v>1.1589389701860284</v>
      </c>
      <c r="Q2276" s="8">
        <f t="shared" si="285"/>
        <v>1.145252789313735</v>
      </c>
      <c r="R2276" s="8">
        <f t="shared" si="286"/>
        <v>0.98819076653355042</v>
      </c>
      <c r="S2276" s="22">
        <f t="shared" si="287"/>
        <v>-1.7138519306847948E-2</v>
      </c>
      <c r="T2276" s="25"/>
      <c r="U2276" s="1" t="s">
        <v>6429</v>
      </c>
    </row>
    <row r="2277" spans="1:21">
      <c r="A2277" s="6" t="s">
        <v>6430</v>
      </c>
      <c r="B2277" s="13" t="s">
        <v>6431</v>
      </c>
      <c r="C2277" s="14">
        <v>1.0938754754236444</v>
      </c>
      <c r="D2277" s="14">
        <v>1.0770226140370485</v>
      </c>
      <c r="E2277" s="14">
        <v>1.2025563273963096</v>
      </c>
      <c r="F2277" s="8">
        <v>1.1237375038497586</v>
      </c>
      <c r="G2277" s="8">
        <f t="shared" si="280"/>
        <v>1.0854490447303464</v>
      </c>
      <c r="H2277" s="8">
        <f t="shared" si="281"/>
        <v>1.1631469156230341</v>
      </c>
      <c r="I2277" s="8">
        <f t="shared" si="282"/>
        <v>1.0715813158341208</v>
      </c>
      <c r="J2277" s="22">
        <f t="shared" si="283"/>
        <v>9.9741331581791909E-2</v>
      </c>
      <c r="K2277" s="8"/>
      <c r="L2277" s="8">
        <v>0.57387052060260046</v>
      </c>
      <c r="M2277" s="8">
        <v>0.82124573923013311</v>
      </c>
      <c r="N2277" s="8">
        <v>0.6812845122543395</v>
      </c>
      <c r="O2277" s="8">
        <v>1.4462384982645233</v>
      </c>
      <c r="P2277" s="8">
        <f t="shared" si="284"/>
        <v>0.69755812991636679</v>
      </c>
      <c r="Q2277" s="8">
        <f t="shared" si="285"/>
        <v>1.0637615052594314</v>
      </c>
      <c r="R2277" s="8">
        <f t="shared" si="286"/>
        <v>1.5249790083974368</v>
      </c>
      <c r="S2277" s="22">
        <f t="shared" si="287"/>
        <v>0.60878938386283354</v>
      </c>
      <c r="T2277" s="25"/>
      <c r="U2277" s="1" t="s">
        <v>6432</v>
      </c>
    </row>
    <row r="2278" spans="1:21">
      <c r="A2278" s="6" t="s">
        <v>6433</v>
      </c>
      <c r="B2278" s="13" t="s">
        <v>6434</v>
      </c>
      <c r="C2278" s="14">
        <v>1.1295399529409862</v>
      </c>
      <c r="D2278" s="14">
        <v>1.0774704637648043</v>
      </c>
      <c r="E2278" s="14">
        <v>1.0275334877524926</v>
      </c>
      <c r="F2278" s="8">
        <v>1.0316427006826276</v>
      </c>
      <c r="G2278" s="8">
        <f t="shared" si="280"/>
        <v>1.1035052083528951</v>
      </c>
      <c r="H2278" s="8">
        <f t="shared" si="281"/>
        <v>1.0295880942175601</v>
      </c>
      <c r="I2278" s="8">
        <f t="shared" si="282"/>
        <v>0.93301607135532738</v>
      </c>
      <c r="J2278" s="22">
        <f t="shared" si="283"/>
        <v>-0.10002616293686836</v>
      </c>
      <c r="K2278" s="8"/>
      <c r="L2278" s="8">
        <v>0.89816590353394232</v>
      </c>
      <c r="M2278" s="8">
        <v>1.0209010510111596</v>
      </c>
      <c r="N2278" s="8">
        <v>1.3433675405001804</v>
      </c>
      <c r="O2278" s="8">
        <v>1.121064478824102</v>
      </c>
      <c r="P2278" s="8">
        <f t="shared" si="284"/>
        <v>0.95953347727255101</v>
      </c>
      <c r="Q2278" s="8">
        <f t="shared" si="285"/>
        <v>1.2322160096621411</v>
      </c>
      <c r="R2278" s="8">
        <f t="shared" si="286"/>
        <v>1.2841824061883522</v>
      </c>
      <c r="S2278" s="22">
        <f t="shared" si="287"/>
        <v>0.36085013845165625</v>
      </c>
      <c r="T2278" s="25"/>
      <c r="U2278" s="1" t="s">
        <v>6435</v>
      </c>
    </row>
    <row r="2279" spans="1:21">
      <c r="A2279" s="6" t="s">
        <v>6436</v>
      </c>
      <c r="B2279" s="6" t="s">
        <v>6437</v>
      </c>
      <c r="C2279" s="7">
        <v>1.0036187857338523</v>
      </c>
      <c r="D2279" s="7">
        <v>1.0582049281547321</v>
      </c>
      <c r="E2279" s="7">
        <v>0.90298936744035818</v>
      </c>
      <c r="F2279" s="8">
        <v>0.93493744918301414</v>
      </c>
      <c r="G2279" s="8">
        <f t="shared" si="280"/>
        <v>1.0309118569442921</v>
      </c>
      <c r="H2279" s="8">
        <f t="shared" si="281"/>
        <v>0.91896340831168621</v>
      </c>
      <c r="I2279" s="8">
        <f t="shared" si="282"/>
        <v>0.89140832178957541</v>
      </c>
      <c r="J2279" s="22">
        <f t="shared" si="283"/>
        <v>-0.16584166551800308</v>
      </c>
      <c r="K2279" s="8"/>
      <c r="L2279" s="8">
        <v>0.85942559802966989</v>
      </c>
      <c r="M2279" s="8">
        <v>1.3065760812324225</v>
      </c>
      <c r="N2279" s="8">
        <v>1.048888144157454</v>
      </c>
      <c r="O2279" s="8">
        <v>1.2585438900564458</v>
      </c>
      <c r="P2279" s="8">
        <f t="shared" si="284"/>
        <v>1.0830008396310462</v>
      </c>
      <c r="Q2279" s="8">
        <f t="shared" si="285"/>
        <v>1.1537160171069498</v>
      </c>
      <c r="R2279" s="8">
        <f t="shared" si="286"/>
        <v>1.0652955887827333</v>
      </c>
      <c r="S2279" s="22">
        <f t="shared" si="287"/>
        <v>9.1253792237500422E-2</v>
      </c>
      <c r="T2279" s="25"/>
      <c r="U2279" s="1" t="s">
        <v>6438</v>
      </c>
    </row>
    <row r="2280" spans="1:21">
      <c r="A2280" s="6" t="s">
        <v>6439</v>
      </c>
      <c r="B2280" s="13" t="s">
        <v>6440</v>
      </c>
      <c r="C2280" s="14">
        <v>1.0349164948862297</v>
      </c>
      <c r="D2280" s="14">
        <v>1.0540863101226909</v>
      </c>
      <c r="E2280" s="14">
        <v>1.065706112310904</v>
      </c>
      <c r="F2280" s="8">
        <v>1.0164238302822617</v>
      </c>
      <c r="G2280" s="8">
        <f t="shared" si="280"/>
        <v>1.0445014025044603</v>
      </c>
      <c r="H2280" s="8">
        <f t="shared" si="281"/>
        <v>1.0410649712965827</v>
      </c>
      <c r="I2280" s="8">
        <f t="shared" si="282"/>
        <v>0.99670997932636773</v>
      </c>
      <c r="J2280" s="22">
        <f t="shared" si="283"/>
        <v>-4.754321714196888E-3</v>
      </c>
      <c r="K2280" s="8"/>
      <c r="L2280" s="8">
        <v>1.2044237240744744</v>
      </c>
      <c r="M2280" s="8">
        <v>0.82381140328339397</v>
      </c>
      <c r="N2280" s="8">
        <v>0.97366817140439765</v>
      </c>
      <c r="O2280" s="8">
        <v>0.97965562636499837</v>
      </c>
      <c r="P2280" s="8">
        <f t="shared" si="284"/>
        <v>1.0141175636789341</v>
      </c>
      <c r="Q2280" s="8">
        <f t="shared" si="285"/>
        <v>0.97666189888469801</v>
      </c>
      <c r="R2280" s="8">
        <f t="shared" si="286"/>
        <v>0.96306575673696304</v>
      </c>
      <c r="S2280" s="22">
        <f t="shared" si="287"/>
        <v>-5.429378832479604E-2</v>
      </c>
      <c r="T2280" s="25"/>
      <c r="U2280" s="1" t="s">
        <v>6441</v>
      </c>
    </row>
    <row r="2281" spans="1:21">
      <c r="A2281" s="6" t="s">
        <v>6442</v>
      </c>
      <c r="B2281" s="6" t="s">
        <v>6443</v>
      </c>
      <c r="C2281" s="7">
        <v>1.0049957632147908</v>
      </c>
      <c r="D2281" s="7">
        <v>1.106004889276111</v>
      </c>
      <c r="E2281" s="7">
        <v>0.9705881359745252</v>
      </c>
      <c r="F2281" s="8">
        <v>1.0086431498583008</v>
      </c>
      <c r="G2281" s="8">
        <f t="shared" si="280"/>
        <v>1.055500326245451</v>
      </c>
      <c r="H2281" s="8">
        <f t="shared" si="281"/>
        <v>0.98961564291641302</v>
      </c>
      <c r="I2281" s="8">
        <f t="shared" si="282"/>
        <v>0.93757966559480077</v>
      </c>
      <c r="J2281" s="22">
        <f t="shared" si="283"/>
        <v>-9.2986814230938908E-2</v>
      </c>
      <c r="K2281" s="8"/>
      <c r="L2281" s="8">
        <v>0.93124270000257792</v>
      </c>
      <c r="M2281" s="8">
        <v>1.1124719334939059</v>
      </c>
      <c r="N2281" s="8">
        <v>0.98663908538064005</v>
      </c>
      <c r="O2281" s="8">
        <v>1.0497221562915047</v>
      </c>
      <c r="P2281" s="8">
        <f t="shared" si="284"/>
        <v>1.0218573167482419</v>
      </c>
      <c r="Q2281" s="8">
        <f t="shared" si="285"/>
        <v>1.0181806208360724</v>
      </c>
      <c r="R2281" s="8">
        <f t="shared" si="286"/>
        <v>0.99640194785327818</v>
      </c>
      <c r="S2281" s="22">
        <f t="shared" si="287"/>
        <v>-5.200252999983738E-3</v>
      </c>
      <c r="T2281" s="25"/>
      <c r="U2281" s="1" t="s">
        <v>6444</v>
      </c>
    </row>
    <row r="2282" spans="1:21">
      <c r="A2282" s="6" t="s">
        <v>6445</v>
      </c>
      <c r="B2282" s="13" t="s">
        <v>6446</v>
      </c>
      <c r="C2282" s="14">
        <v>1.0848528494988219</v>
      </c>
      <c r="D2282" s="14">
        <v>1.0640429692486935</v>
      </c>
      <c r="E2282" s="14">
        <v>1.0042180148039603</v>
      </c>
      <c r="F2282" s="8">
        <v>1.0111723100864054</v>
      </c>
      <c r="G2282" s="8">
        <f t="shared" si="280"/>
        <v>1.0744479093737578</v>
      </c>
      <c r="H2282" s="8">
        <f t="shared" si="281"/>
        <v>1.0076951624451829</v>
      </c>
      <c r="I2282" s="8">
        <f t="shared" si="282"/>
        <v>0.93787251448282705</v>
      </c>
      <c r="J2282" s="22">
        <f t="shared" si="283"/>
        <v>-9.2536265135198539E-2</v>
      </c>
      <c r="K2282" s="8"/>
      <c r="L2282" s="8">
        <v>1.1057168523105172</v>
      </c>
      <c r="M2282" s="8">
        <v>1.1233410193922657</v>
      </c>
      <c r="N2282" s="8">
        <v>1.2588017126987396</v>
      </c>
      <c r="O2282" s="8">
        <v>1.0705430916229064</v>
      </c>
      <c r="P2282" s="8">
        <f t="shared" si="284"/>
        <v>1.1145289358513915</v>
      </c>
      <c r="Q2282" s="8">
        <f t="shared" si="285"/>
        <v>1.164672402160823</v>
      </c>
      <c r="R2282" s="8">
        <f t="shared" si="286"/>
        <v>1.0449907263027916</v>
      </c>
      <c r="S2282" s="22">
        <f t="shared" si="287"/>
        <v>6.3490139266599036E-2</v>
      </c>
      <c r="T2282" s="25"/>
      <c r="U2282" s="1" t="s">
        <v>6447</v>
      </c>
    </row>
    <row r="2283" spans="1:21">
      <c r="A2283" s="6" t="s">
        <v>6448</v>
      </c>
      <c r="B2283" s="13" t="s">
        <v>80</v>
      </c>
      <c r="C2283" s="14">
        <v>1.0661076974931201</v>
      </c>
      <c r="D2283" s="14">
        <v>1.1562360346338789</v>
      </c>
      <c r="E2283" s="14">
        <v>0.99872603862415343</v>
      </c>
      <c r="F2283" s="8">
        <v>1.0447012467214876</v>
      </c>
      <c r="G2283" s="8">
        <f t="shared" si="280"/>
        <v>1.1111718660634995</v>
      </c>
      <c r="H2283" s="8">
        <f t="shared" si="281"/>
        <v>1.0217136426728204</v>
      </c>
      <c r="I2283" s="8">
        <f t="shared" si="282"/>
        <v>0.91949200108206586</v>
      </c>
      <c r="J2283" s="22">
        <f t="shared" si="283"/>
        <v>-0.12109107060298326</v>
      </c>
      <c r="K2283" s="8"/>
      <c r="L2283" s="8">
        <v>0.89940330886945963</v>
      </c>
      <c r="M2283" s="8">
        <v>0.92559829354185186</v>
      </c>
      <c r="N2283" s="8">
        <v>0.79524730229887974</v>
      </c>
      <c r="O2283" s="8">
        <v>1.1020806848454709</v>
      </c>
      <c r="P2283" s="8">
        <f t="shared" si="284"/>
        <v>0.91250080120565569</v>
      </c>
      <c r="Q2283" s="8">
        <f t="shared" si="285"/>
        <v>0.94866399357217535</v>
      </c>
      <c r="R2283" s="8">
        <f t="shared" si="286"/>
        <v>1.0396308609469038</v>
      </c>
      <c r="S2283" s="22">
        <f t="shared" si="287"/>
        <v>5.6071365273489632E-2</v>
      </c>
      <c r="T2283" s="25"/>
      <c r="U2283" s="1">
        <v>0</v>
      </c>
    </row>
    <row r="2284" spans="1:21">
      <c r="A2284" s="6" t="s">
        <v>6449</v>
      </c>
      <c r="B2284" s="13" t="s">
        <v>80</v>
      </c>
      <c r="C2284" s="14">
        <v>1.1302170302658676</v>
      </c>
      <c r="D2284" s="14">
        <v>1.2008930503443991</v>
      </c>
      <c r="E2284" s="14">
        <v>1.1323895514817699</v>
      </c>
      <c r="F2284" s="8">
        <v>1.1266179363317668</v>
      </c>
      <c r="G2284" s="8">
        <f t="shared" si="280"/>
        <v>1.1655550403051333</v>
      </c>
      <c r="H2284" s="8">
        <f t="shared" si="281"/>
        <v>1.1295037439067683</v>
      </c>
      <c r="I2284" s="8">
        <f t="shared" si="282"/>
        <v>0.96906941744344643</v>
      </c>
      <c r="J2284" s="22">
        <f t="shared" si="283"/>
        <v>-4.5328080831770867E-2</v>
      </c>
      <c r="K2284" s="8"/>
      <c r="L2284" s="8">
        <v>1.057315266686629</v>
      </c>
      <c r="M2284" s="8">
        <v>1.3303667842717504</v>
      </c>
      <c r="N2284" s="8">
        <v>1.2253832007075474</v>
      </c>
      <c r="O2284" s="8">
        <v>1.1559701645267459</v>
      </c>
      <c r="P2284" s="8">
        <f t="shared" si="284"/>
        <v>1.1938410254791898</v>
      </c>
      <c r="Q2284" s="8">
        <f t="shared" si="285"/>
        <v>1.1906766826171467</v>
      </c>
      <c r="R2284" s="8">
        <f t="shared" si="286"/>
        <v>0.99734944369098644</v>
      </c>
      <c r="S2284" s="22">
        <f t="shared" si="287"/>
        <v>-3.8290212054594742E-3</v>
      </c>
      <c r="T2284" s="25"/>
      <c r="U2284" s="1">
        <v>0</v>
      </c>
    </row>
    <row r="2285" spans="1:21">
      <c r="A2285" s="6" t="s">
        <v>6450</v>
      </c>
      <c r="B2285" s="13" t="s">
        <v>6451</v>
      </c>
      <c r="C2285" s="14">
        <v>1.7329147483453002</v>
      </c>
      <c r="D2285" s="14">
        <v>1.2990761058383202</v>
      </c>
      <c r="E2285" s="14">
        <v>1.1873093132798394</v>
      </c>
      <c r="F2285" s="8">
        <v>1.3082608188252289</v>
      </c>
      <c r="G2285" s="8">
        <f t="shared" si="280"/>
        <v>1.5159954270918101</v>
      </c>
      <c r="H2285" s="8">
        <f t="shared" si="281"/>
        <v>1.247785066052534</v>
      </c>
      <c r="I2285" s="8">
        <f t="shared" si="282"/>
        <v>0.82307970311375289</v>
      </c>
      <c r="J2285" s="22">
        <f t="shared" si="283"/>
        <v>-0.28089595376735721</v>
      </c>
      <c r="K2285" s="8"/>
      <c r="L2285" s="8">
        <v>0.83586730414193666</v>
      </c>
      <c r="M2285" s="8">
        <v>0.74810098949353276</v>
      </c>
      <c r="N2285" s="8">
        <v>0.9093233754349157</v>
      </c>
      <c r="O2285" s="8">
        <v>0.85447485585536975</v>
      </c>
      <c r="P2285" s="8">
        <f t="shared" si="284"/>
        <v>0.79198414681773466</v>
      </c>
      <c r="Q2285" s="8">
        <f t="shared" si="285"/>
        <v>0.88189911564514278</v>
      </c>
      <c r="R2285" s="8">
        <f t="shared" si="286"/>
        <v>1.1135312735598242</v>
      </c>
      <c r="S2285" s="22">
        <f t="shared" si="287"/>
        <v>0.1551420768289718</v>
      </c>
      <c r="T2285" s="25"/>
      <c r="U2285" s="1" t="s">
        <v>6452</v>
      </c>
    </row>
    <row r="2286" spans="1:21">
      <c r="A2286" s="6" t="s">
        <v>6453</v>
      </c>
      <c r="B2286" s="13" t="s">
        <v>6454</v>
      </c>
      <c r="C2286" s="14">
        <v>2.4511796758884574</v>
      </c>
      <c r="D2286" s="14">
        <v>1.1432643871620911</v>
      </c>
      <c r="E2286" s="14">
        <v>0.90365891391906916</v>
      </c>
      <c r="F2286" s="8">
        <v>1.105313274132524</v>
      </c>
      <c r="G2286" s="8">
        <f t="shared" si="280"/>
        <v>1.7972220315252743</v>
      </c>
      <c r="H2286" s="8">
        <f t="shared" si="281"/>
        <v>1.0044860940257965</v>
      </c>
      <c r="I2286" s="8">
        <f t="shared" si="282"/>
        <v>0.55891040528437375</v>
      </c>
      <c r="J2286" s="22">
        <f t="shared" si="283"/>
        <v>-0.83931106085565277</v>
      </c>
      <c r="K2286" s="8"/>
      <c r="L2286" s="8">
        <v>0.99634925765594973</v>
      </c>
      <c r="M2286" s="8">
        <v>0.8461560047654294</v>
      </c>
      <c r="N2286" s="8">
        <v>0.96018748351642524</v>
      </c>
      <c r="O2286" s="8">
        <v>0.9986394203436294</v>
      </c>
      <c r="P2286" s="8">
        <f t="shared" si="284"/>
        <v>0.92125263121068957</v>
      </c>
      <c r="Q2286" s="8">
        <f t="shared" si="285"/>
        <v>0.97941345193002727</v>
      </c>
      <c r="R2286" s="8">
        <f t="shared" si="286"/>
        <v>1.0631323252156186</v>
      </c>
      <c r="S2286" s="22">
        <f t="shared" si="287"/>
        <v>8.8321176409143096E-2</v>
      </c>
      <c r="T2286" s="25"/>
      <c r="U2286" s="1" t="s">
        <v>6455</v>
      </c>
    </row>
    <row r="2287" spans="1:21">
      <c r="A2287" s="6" t="s">
        <v>6456</v>
      </c>
      <c r="B2287" s="13" t="s">
        <v>6457</v>
      </c>
      <c r="C2287" s="14">
        <v>1.3527700646712262</v>
      </c>
      <c r="D2287" s="14">
        <v>1.0888426479231781</v>
      </c>
      <c r="E2287" s="14">
        <v>1.1616292394761125</v>
      </c>
      <c r="F2287" s="8">
        <v>1.1777983037254962</v>
      </c>
      <c r="G2287" s="8">
        <f t="shared" si="280"/>
        <v>1.220806356297202</v>
      </c>
      <c r="H2287" s="8">
        <f t="shared" si="281"/>
        <v>1.1697137716008044</v>
      </c>
      <c r="I2287" s="8">
        <f t="shared" si="282"/>
        <v>0.95814849387632173</v>
      </c>
      <c r="J2287" s="22">
        <f t="shared" si="283"/>
        <v>-6.167883268653105E-2</v>
      </c>
      <c r="K2287" s="8"/>
      <c r="L2287" s="8">
        <v>1.1100001784719233</v>
      </c>
      <c r="M2287" s="8">
        <v>1.1510035427301508</v>
      </c>
      <c r="N2287" s="8">
        <v>1.3131775966166117</v>
      </c>
      <c r="O2287" s="8">
        <v>1.0944769609131697</v>
      </c>
      <c r="P2287" s="8">
        <f t="shared" si="284"/>
        <v>1.1305018606010371</v>
      </c>
      <c r="Q2287" s="8">
        <f t="shared" si="285"/>
        <v>1.2038272787648907</v>
      </c>
      <c r="R2287" s="8">
        <f t="shared" si="286"/>
        <v>1.0648609442578625</v>
      </c>
      <c r="S2287" s="22">
        <f t="shared" si="287"/>
        <v>9.066504723256133E-2</v>
      </c>
      <c r="T2287" s="25"/>
      <c r="U2287" s="1" t="s">
        <v>6458</v>
      </c>
    </row>
    <row r="2288" spans="1:21">
      <c r="A2288" s="6" t="s">
        <v>6459</v>
      </c>
      <c r="B2288" s="6" t="s">
        <v>6460</v>
      </c>
      <c r="C2288" s="7">
        <v>1.9294041095479255</v>
      </c>
      <c r="D2288" s="7">
        <v>1.0877310209203555</v>
      </c>
      <c r="E2288" s="7">
        <v>0.99861586008968195</v>
      </c>
      <c r="F2288" s="8">
        <v>1.0970320307467507</v>
      </c>
      <c r="G2288" s="8">
        <f t="shared" si="280"/>
        <v>1.5085675652341406</v>
      </c>
      <c r="H2288" s="8">
        <f t="shared" si="281"/>
        <v>1.0478239454182163</v>
      </c>
      <c r="I2288" s="8">
        <f t="shared" si="282"/>
        <v>0.69458204562126225</v>
      </c>
      <c r="J2288" s="22">
        <f t="shared" si="283"/>
        <v>-0.52578297617419045</v>
      </c>
      <c r="K2288" s="8"/>
      <c r="L2288" s="8">
        <v>1.1924780033354418</v>
      </c>
      <c r="M2288" s="8">
        <v>1.1284723474987872</v>
      </c>
      <c r="N2288" s="8">
        <v>1.2591415619732262</v>
      </c>
      <c r="O2288" s="8">
        <v>1.4264381970179942</v>
      </c>
      <c r="P2288" s="8">
        <f t="shared" si="284"/>
        <v>1.1604751754171145</v>
      </c>
      <c r="Q2288" s="8">
        <f t="shared" si="285"/>
        <v>1.3427898794956104</v>
      </c>
      <c r="R2288" s="8">
        <f t="shared" si="286"/>
        <v>1.157103493414209</v>
      </c>
      <c r="S2288" s="22">
        <f t="shared" si="287"/>
        <v>0.21051790745144691</v>
      </c>
      <c r="T2288" s="25"/>
      <c r="U2288" s="1" t="s">
        <v>6461</v>
      </c>
    </row>
    <row r="2289" spans="1:21">
      <c r="A2289" s="6" t="s">
        <v>6462</v>
      </c>
      <c r="B2289" s="13" t="s">
        <v>6463</v>
      </c>
      <c r="C2289" s="14">
        <v>1.8640319134501184</v>
      </c>
      <c r="D2289" s="14">
        <v>1.1051091898205989</v>
      </c>
      <c r="E2289" s="14">
        <v>1.1019039985207117</v>
      </c>
      <c r="F2289" s="8">
        <v>1.1047336749135832</v>
      </c>
      <c r="G2289" s="8">
        <f t="shared" si="280"/>
        <v>1.4845705516353587</v>
      </c>
      <c r="H2289" s="8">
        <f t="shared" si="281"/>
        <v>1.1033188367171474</v>
      </c>
      <c r="I2289" s="8">
        <f t="shared" si="282"/>
        <v>0.74319057151023526</v>
      </c>
      <c r="J2289" s="22">
        <f t="shared" si="283"/>
        <v>-0.42819589580634165</v>
      </c>
      <c r="K2289" s="8"/>
      <c r="L2289" s="8">
        <v>1.2767643436893319</v>
      </c>
      <c r="M2289" s="8">
        <v>1.1736280348361783</v>
      </c>
      <c r="N2289" s="8">
        <v>1.1532218714248712</v>
      </c>
      <c r="O2289" s="8">
        <v>1.2994202851555947</v>
      </c>
      <c r="P2289" s="8">
        <f t="shared" si="284"/>
        <v>1.2251961892627552</v>
      </c>
      <c r="Q2289" s="8">
        <f t="shared" si="285"/>
        <v>1.226321078290233</v>
      </c>
      <c r="R2289" s="8">
        <f t="shared" si="286"/>
        <v>1.0009181297145191</v>
      </c>
      <c r="S2289" s="22">
        <f t="shared" si="287"/>
        <v>1.3239734892909224E-3</v>
      </c>
      <c r="T2289" s="25"/>
      <c r="U2289" s="1" t="s">
        <v>6464</v>
      </c>
    </row>
    <row r="2290" spans="1:21">
      <c r="A2290" s="6" t="s">
        <v>6465</v>
      </c>
      <c r="B2290" s="6" t="s">
        <v>6466</v>
      </c>
      <c r="C2290" s="7">
        <v>1.7869972506214913</v>
      </c>
      <c r="D2290" s="7">
        <v>1.0986233660847051</v>
      </c>
      <c r="E2290" s="7">
        <v>1.034025546014425</v>
      </c>
      <c r="F2290" s="8">
        <v>1.2195382292955708</v>
      </c>
      <c r="G2290" s="8">
        <f t="shared" si="280"/>
        <v>1.4428103083530983</v>
      </c>
      <c r="H2290" s="8">
        <f t="shared" si="281"/>
        <v>1.1267818876549978</v>
      </c>
      <c r="I2290" s="8">
        <f t="shared" si="282"/>
        <v>0.7809632916617899</v>
      </c>
      <c r="J2290" s="22">
        <f t="shared" si="283"/>
        <v>-0.35667335725264854</v>
      </c>
      <c r="K2290" s="8"/>
      <c r="L2290" s="8">
        <v>1.1344151375919378</v>
      </c>
      <c r="M2290" s="8">
        <v>1.2607673157723833</v>
      </c>
      <c r="N2290" s="8">
        <v>1.0593101885750462</v>
      </c>
      <c r="O2290" s="8">
        <v>1.3133519404141063</v>
      </c>
      <c r="P2290" s="8">
        <f t="shared" si="284"/>
        <v>1.1975912266821607</v>
      </c>
      <c r="Q2290" s="8">
        <f t="shared" si="285"/>
        <v>1.1863310644945764</v>
      </c>
      <c r="R2290" s="8">
        <f t="shared" si="286"/>
        <v>0.9905976580850715</v>
      </c>
      <c r="S2290" s="22">
        <f t="shared" si="287"/>
        <v>-1.3628884648981654E-2</v>
      </c>
      <c r="T2290" s="25"/>
      <c r="U2290" s="1" t="s">
        <v>6467</v>
      </c>
    </row>
    <row r="2291" spans="1:21">
      <c r="A2291" s="6" t="s">
        <v>6468</v>
      </c>
      <c r="B2291" s="13" t="s">
        <v>6469</v>
      </c>
      <c r="C2291" s="14">
        <v>0.35365498428939302</v>
      </c>
      <c r="D2291" s="14">
        <v>0.19981295442824956</v>
      </c>
      <c r="E2291" s="14">
        <v>0.77797063190280813</v>
      </c>
      <c r="F2291" s="8">
        <v>0.83738914427403244</v>
      </c>
      <c r="G2291" s="8">
        <f t="shared" si="280"/>
        <v>0.27673396935882127</v>
      </c>
      <c r="H2291" s="8">
        <f t="shared" si="281"/>
        <v>0.80767988808842028</v>
      </c>
      <c r="I2291" s="8">
        <f t="shared" si="282"/>
        <v>2.918614906438028</v>
      </c>
      <c r="J2291" s="22">
        <f t="shared" si="283"/>
        <v>1.5452838685233798</v>
      </c>
      <c r="K2291" s="8"/>
      <c r="L2291" s="8">
        <v>1.1878615295837043</v>
      </c>
      <c r="M2291" s="8">
        <v>1.2428543158368894</v>
      </c>
      <c r="N2291" s="8">
        <v>1.3715750302825764</v>
      </c>
      <c r="O2291" s="8">
        <v>1.3393270778741149</v>
      </c>
      <c r="P2291" s="8">
        <f t="shared" si="284"/>
        <v>1.2153579227102969</v>
      </c>
      <c r="Q2291" s="8">
        <f t="shared" si="285"/>
        <v>1.3554510540783458</v>
      </c>
      <c r="R2291" s="8">
        <f t="shared" si="286"/>
        <v>1.1152690320688703</v>
      </c>
      <c r="S2291" s="22">
        <f t="shared" si="287"/>
        <v>0.15739176791610093</v>
      </c>
      <c r="T2291" s="25"/>
      <c r="U2291" s="1" t="s">
        <v>6470</v>
      </c>
    </row>
    <row r="2292" spans="1:21">
      <c r="A2292" s="6" t="s">
        <v>6471</v>
      </c>
      <c r="B2292" s="6" t="s">
        <v>6472</v>
      </c>
      <c r="C2292" s="7">
        <v>1.636244843095116</v>
      </c>
      <c r="D2292" s="7">
        <v>1.1542207108589773</v>
      </c>
      <c r="E2292" s="7">
        <v>1.0143798657909797</v>
      </c>
      <c r="F2292" s="8">
        <v>1.1679538988098526</v>
      </c>
      <c r="G2292" s="8">
        <f t="shared" si="280"/>
        <v>1.3952327769770467</v>
      </c>
      <c r="H2292" s="8">
        <f t="shared" si="281"/>
        <v>1.0911668823004161</v>
      </c>
      <c r="I2292" s="8">
        <f t="shared" si="282"/>
        <v>0.78206798199263283</v>
      </c>
      <c r="J2292" s="22">
        <f t="shared" si="283"/>
        <v>-0.35463407428467375</v>
      </c>
      <c r="K2292" s="8"/>
      <c r="L2292" s="8">
        <v>1.4385788875646712</v>
      </c>
      <c r="M2292" s="8">
        <v>1.1845437691718699</v>
      </c>
      <c r="N2292" s="8">
        <v>1.507967872443239</v>
      </c>
      <c r="O2292" s="8">
        <v>1.1144303572724297</v>
      </c>
      <c r="P2292" s="8">
        <f t="shared" si="284"/>
        <v>1.3115613283682706</v>
      </c>
      <c r="Q2292" s="8">
        <f t="shared" si="285"/>
        <v>1.3111991148578344</v>
      </c>
      <c r="R2292" s="8">
        <f t="shared" si="286"/>
        <v>0.99972383029096568</v>
      </c>
      <c r="S2292" s="22">
        <f t="shared" si="287"/>
        <v>-3.9848369676389846E-4</v>
      </c>
      <c r="T2292" s="25"/>
      <c r="U2292" s="1" t="s">
        <v>6473</v>
      </c>
    </row>
    <row r="2293" spans="1:21">
      <c r="A2293" s="6" t="s">
        <v>6474</v>
      </c>
      <c r="B2293" s="13" t="s">
        <v>6475</v>
      </c>
      <c r="C2293" s="14">
        <v>1.7817175690094957</v>
      </c>
      <c r="D2293" s="14">
        <v>1.2031482936163129</v>
      </c>
      <c r="E2293" s="14">
        <v>1.1852159211248821</v>
      </c>
      <c r="F2293" s="8">
        <v>1.1927185927100441</v>
      </c>
      <c r="G2293" s="8">
        <f t="shared" si="280"/>
        <v>1.4924329313129043</v>
      </c>
      <c r="H2293" s="8">
        <f t="shared" si="281"/>
        <v>1.1889672569174632</v>
      </c>
      <c r="I2293" s="8">
        <f t="shared" si="282"/>
        <v>0.79666377762886798</v>
      </c>
      <c r="J2293" s="22">
        <f t="shared" si="283"/>
        <v>-0.32795711432441588</v>
      </c>
      <c r="K2293" s="8"/>
      <c r="L2293" s="8">
        <v>1.2537771599564529</v>
      </c>
      <c r="M2293" s="8">
        <v>1.1772199645107435</v>
      </c>
      <c r="N2293" s="8">
        <v>1.0534761093630245</v>
      </c>
      <c r="O2293" s="8">
        <v>1.268648167496685</v>
      </c>
      <c r="P2293" s="8">
        <f t="shared" si="284"/>
        <v>1.2154985622335981</v>
      </c>
      <c r="Q2293" s="8">
        <f t="shared" si="285"/>
        <v>1.1610621384298547</v>
      </c>
      <c r="R2293" s="8">
        <f t="shared" si="286"/>
        <v>0.95521473616249197</v>
      </c>
      <c r="S2293" s="22">
        <f t="shared" si="287"/>
        <v>-6.6103001558765015E-2</v>
      </c>
      <c r="T2293" s="25"/>
      <c r="U2293" s="1" t="s">
        <v>6476</v>
      </c>
    </row>
    <row r="2294" spans="1:21">
      <c r="A2294" s="6" t="s">
        <v>6477</v>
      </c>
      <c r="B2294" s="6" t="s">
        <v>6478</v>
      </c>
      <c r="C2294" s="7">
        <v>1.8576186978897262</v>
      </c>
      <c r="D2294" s="7">
        <v>1.2772754208764867</v>
      </c>
      <c r="E2294" s="7">
        <v>1.0165834364804085</v>
      </c>
      <c r="F2294" s="8">
        <v>1.4332873957958063</v>
      </c>
      <c r="G2294" s="8">
        <f t="shared" si="280"/>
        <v>1.5674470593831065</v>
      </c>
      <c r="H2294" s="8">
        <f t="shared" si="281"/>
        <v>1.2249354161381074</v>
      </c>
      <c r="I2294" s="8">
        <f t="shared" si="282"/>
        <v>0.7814843945161376</v>
      </c>
      <c r="J2294" s="22">
        <f t="shared" si="283"/>
        <v>-0.35571103059264447</v>
      </c>
      <c r="K2294" s="8"/>
      <c r="L2294" s="8">
        <v>1.2925174654607252</v>
      </c>
      <c r="M2294" s="8">
        <v>1.2434607455222055</v>
      </c>
      <c r="N2294" s="8">
        <v>1.3763329201253902</v>
      </c>
      <c r="O2294" s="8">
        <v>1.262524362987449</v>
      </c>
      <c r="P2294" s="8">
        <f t="shared" si="284"/>
        <v>1.2679891054914654</v>
      </c>
      <c r="Q2294" s="8">
        <f t="shared" si="285"/>
        <v>1.3194286415564196</v>
      </c>
      <c r="R2294" s="8">
        <f t="shared" si="286"/>
        <v>1.0405678060183463</v>
      </c>
      <c r="S2294" s="22">
        <f t="shared" si="287"/>
        <v>5.7370977777843196E-2</v>
      </c>
      <c r="T2294" s="25"/>
      <c r="U2294" s="1" t="s">
        <v>6479</v>
      </c>
    </row>
    <row r="2295" spans="1:21">
      <c r="A2295" s="6" t="s">
        <v>6480</v>
      </c>
      <c r="B2295" s="13" t="s">
        <v>6481</v>
      </c>
      <c r="C2295" s="14">
        <v>1.7549007423779619</v>
      </c>
      <c r="D2295" s="14">
        <v>1.1114590591748528</v>
      </c>
      <c r="E2295" s="14">
        <v>1.0740288292994387</v>
      </c>
      <c r="F2295" s="8">
        <v>1.3050466777020127</v>
      </c>
      <c r="G2295" s="8">
        <f t="shared" si="280"/>
        <v>1.4331799007764072</v>
      </c>
      <c r="H2295" s="8">
        <f t="shared" si="281"/>
        <v>1.1895377535007257</v>
      </c>
      <c r="I2295" s="8">
        <f t="shared" si="282"/>
        <v>0.82999890862013104</v>
      </c>
      <c r="J2295" s="22">
        <f t="shared" si="283"/>
        <v>-0.2688186554511251</v>
      </c>
      <c r="K2295" s="8"/>
      <c r="L2295" s="8">
        <v>1.2120385261391962</v>
      </c>
      <c r="M2295" s="8">
        <v>1.2105269487658026</v>
      </c>
      <c r="N2295" s="8">
        <v>1.0439603296773969</v>
      </c>
      <c r="O2295" s="8">
        <v>1.195468703611317</v>
      </c>
      <c r="P2295" s="8">
        <f t="shared" si="284"/>
        <v>1.2112827374524993</v>
      </c>
      <c r="Q2295" s="8">
        <f t="shared" si="285"/>
        <v>1.1197145166443569</v>
      </c>
      <c r="R2295" s="8">
        <f t="shared" si="286"/>
        <v>0.9244039248832</v>
      </c>
      <c r="S2295" s="22">
        <f t="shared" si="287"/>
        <v>-0.11340470959771219</v>
      </c>
      <c r="T2295" s="25"/>
      <c r="U2295" s="1" t="s">
        <v>6482</v>
      </c>
    </row>
    <row r="2296" spans="1:21">
      <c r="A2296" s="6" t="s">
        <v>6483</v>
      </c>
      <c r="B2296" s="6" t="s">
        <v>6484</v>
      </c>
      <c r="C2296" s="7">
        <v>1.6544726775941669</v>
      </c>
      <c r="D2296" s="7">
        <v>1.1485666080460586</v>
      </c>
      <c r="E2296" s="7">
        <v>1.1876398488832538</v>
      </c>
      <c r="F2296" s="8">
        <v>1.4825182021803716</v>
      </c>
      <c r="G2296" s="8">
        <f t="shared" si="280"/>
        <v>1.4015196428201127</v>
      </c>
      <c r="H2296" s="8">
        <f t="shared" si="281"/>
        <v>1.3350790255318126</v>
      </c>
      <c r="I2296" s="8">
        <f t="shared" si="282"/>
        <v>0.95259387363661241</v>
      </c>
      <c r="J2296" s="22">
        <f t="shared" si="283"/>
        <v>-7.0066824479043735E-2</v>
      </c>
      <c r="K2296" s="8"/>
      <c r="L2296" s="8">
        <v>1.1757730313059582</v>
      </c>
      <c r="M2296" s="8">
        <v>1.1306648240533921</v>
      </c>
      <c r="N2296" s="8">
        <v>1.2499089900163376</v>
      </c>
      <c r="O2296" s="8">
        <v>1.5149271721764517</v>
      </c>
      <c r="P2296" s="8">
        <f t="shared" si="284"/>
        <v>1.1532189276796752</v>
      </c>
      <c r="Q2296" s="8">
        <f t="shared" si="285"/>
        <v>1.3824180810963946</v>
      </c>
      <c r="R2296" s="8">
        <f t="shared" si="286"/>
        <v>1.198747304536423</v>
      </c>
      <c r="S2296" s="22">
        <f t="shared" si="287"/>
        <v>0.26152757125065745</v>
      </c>
      <c r="T2296" s="25"/>
      <c r="U2296" s="1" t="s">
        <v>6485</v>
      </c>
    </row>
    <row r="2297" spans="1:21">
      <c r="A2297" s="6" t="s">
        <v>6486</v>
      </c>
      <c r="B2297" s="13" t="s">
        <v>6487</v>
      </c>
      <c r="C2297" s="14">
        <v>1.9521812950613473</v>
      </c>
      <c r="D2297" s="14">
        <v>1.2629042430054616</v>
      </c>
      <c r="E2297" s="14">
        <v>1.3488734211743765</v>
      </c>
      <c r="F2297" s="8">
        <v>1.9117992418694023</v>
      </c>
      <c r="G2297" s="8">
        <f t="shared" si="280"/>
        <v>1.6075427690334045</v>
      </c>
      <c r="H2297" s="8">
        <f t="shared" si="281"/>
        <v>1.6303363315218893</v>
      </c>
      <c r="I2297" s="8">
        <f t="shared" si="282"/>
        <v>1.0141791328526768</v>
      </c>
      <c r="J2297" s="22">
        <f t="shared" si="283"/>
        <v>2.0312495786492558E-2</v>
      </c>
      <c r="K2297" s="8"/>
      <c r="L2297" s="8">
        <v>1.2942307959252877</v>
      </c>
      <c r="M2297" s="8">
        <v>1.344128073284695</v>
      </c>
      <c r="N2297" s="8">
        <v>1.2588583542444873</v>
      </c>
      <c r="O2297" s="8">
        <v>1.3613217424031201</v>
      </c>
      <c r="P2297" s="8">
        <f t="shared" si="284"/>
        <v>1.3191794346049912</v>
      </c>
      <c r="Q2297" s="8">
        <f t="shared" si="285"/>
        <v>1.3100900483238038</v>
      </c>
      <c r="R2297" s="8">
        <f t="shared" si="286"/>
        <v>0.99310981808634013</v>
      </c>
      <c r="S2297" s="22">
        <f t="shared" si="287"/>
        <v>-9.9748350909907302E-3</v>
      </c>
      <c r="T2297" s="25"/>
      <c r="U2297" s="1" t="s">
        <v>6488</v>
      </c>
    </row>
    <row r="2298" spans="1:21">
      <c r="A2298" s="6" t="s">
        <v>6489</v>
      </c>
      <c r="B2298" s="6" t="s">
        <v>6490</v>
      </c>
      <c r="C2298" s="7">
        <v>9.2774808729518959E-2</v>
      </c>
      <c r="D2298" s="7">
        <v>7.8917519883848972E-2</v>
      </c>
      <c r="E2298" s="7">
        <v>0.16780190799999672</v>
      </c>
      <c r="F2298" s="8">
        <v>0.15088899666421715</v>
      </c>
      <c r="G2298" s="8">
        <f t="shared" si="280"/>
        <v>8.5846164306683959E-2</v>
      </c>
      <c r="H2298" s="8">
        <f t="shared" si="281"/>
        <v>0.15934545233210695</v>
      </c>
      <c r="I2298" s="8">
        <f t="shared" si="282"/>
        <v>1.8561743977616523</v>
      </c>
      <c r="J2298" s="22">
        <f t="shared" si="283"/>
        <v>0.89233226594273563</v>
      </c>
      <c r="K2298" s="8"/>
      <c r="L2298" s="8">
        <v>0.97854965782966241</v>
      </c>
      <c r="M2298" s="8">
        <v>0.98306916833489499</v>
      </c>
      <c r="N2298" s="8">
        <v>0.92807172707743202</v>
      </c>
      <c r="O2298" s="8">
        <v>0.9356662973069878</v>
      </c>
      <c r="P2298" s="8">
        <f t="shared" si="284"/>
        <v>0.98080941308227865</v>
      </c>
      <c r="Q2298" s="8">
        <f t="shared" si="285"/>
        <v>0.93186901219220997</v>
      </c>
      <c r="R2298" s="8">
        <f t="shared" si="286"/>
        <v>0.95010202773618457</v>
      </c>
      <c r="S2298" s="22">
        <f t="shared" si="287"/>
        <v>-7.3845647753880805E-2</v>
      </c>
      <c r="T2298" s="25"/>
      <c r="U2298" s="1" t="s">
        <v>6491</v>
      </c>
    </row>
    <row r="2299" spans="1:21">
      <c r="A2299" s="6" t="s">
        <v>6492</v>
      </c>
      <c r="B2299" s="13" t="s">
        <v>6493</v>
      </c>
      <c r="C2299" s="14">
        <v>1.7845171696337239</v>
      </c>
      <c r="D2299" s="14">
        <v>1.0971998437357666</v>
      </c>
      <c r="E2299" s="14">
        <v>1.5684592403759479</v>
      </c>
      <c r="F2299" s="8">
        <v>1.4853547256306419</v>
      </c>
      <c r="G2299" s="8">
        <f t="shared" si="280"/>
        <v>1.4408585066847452</v>
      </c>
      <c r="H2299" s="8">
        <f t="shared" si="281"/>
        <v>1.5269069830032949</v>
      </c>
      <c r="I2299" s="8">
        <f t="shared" si="282"/>
        <v>1.0597202819842022</v>
      </c>
      <c r="J2299" s="22">
        <f t="shared" si="283"/>
        <v>8.3683509082157034E-2</v>
      </c>
      <c r="K2299" s="8"/>
      <c r="L2299" s="8">
        <v>1.1901459702031207</v>
      </c>
      <c r="M2299" s="8">
        <v>0.76078936444784107</v>
      </c>
      <c r="N2299" s="8">
        <v>0.78165333131941173</v>
      </c>
      <c r="O2299" s="8">
        <v>1.2707914990749174</v>
      </c>
      <c r="P2299" s="8">
        <f t="shared" si="284"/>
        <v>0.97546766732548096</v>
      </c>
      <c r="Q2299" s="8">
        <f t="shared" si="285"/>
        <v>1.0262224151971646</v>
      </c>
      <c r="R2299" s="8">
        <f t="shared" si="286"/>
        <v>1.0520311944432172</v>
      </c>
      <c r="S2299" s="22">
        <f t="shared" si="287"/>
        <v>7.3177483528793399E-2</v>
      </c>
      <c r="T2299" s="25"/>
      <c r="U2299" s="1" t="s">
        <v>6494</v>
      </c>
    </row>
    <row r="2300" spans="1:21">
      <c r="A2300" s="6" t="s">
        <v>6495</v>
      </c>
      <c r="B2300" s="13" t="s">
        <v>80</v>
      </c>
      <c r="C2300" s="14">
        <v>2.114314687734042</v>
      </c>
      <c r="D2300" s="14">
        <v>1.1515256151758746</v>
      </c>
      <c r="E2300" s="14">
        <v>1.7466687822475542</v>
      </c>
      <c r="F2300" s="8">
        <v>1.5165916108090041</v>
      </c>
      <c r="G2300" s="8">
        <f t="shared" si="280"/>
        <v>1.6329201514549583</v>
      </c>
      <c r="H2300" s="8">
        <f t="shared" si="281"/>
        <v>1.6316301965282791</v>
      </c>
      <c r="I2300" s="8">
        <f t="shared" si="282"/>
        <v>0.9992100318404854</v>
      </c>
      <c r="J2300" s="22">
        <f t="shared" si="283"/>
        <v>-1.140133540104127E-3</v>
      </c>
      <c r="K2300" s="8"/>
      <c r="L2300" s="8">
        <v>1.150358629414949</v>
      </c>
      <c r="M2300" s="8">
        <v>1.205535565971277</v>
      </c>
      <c r="N2300" s="8">
        <v>1.1460850366606505</v>
      </c>
      <c r="O2300" s="8">
        <v>1.492575285717741</v>
      </c>
      <c r="P2300" s="8">
        <f t="shared" si="284"/>
        <v>1.177947097693113</v>
      </c>
      <c r="Q2300" s="8">
        <f t="shared" si="285"/>
        <v>1.3193301611891957</v>
      </c>
      <c r="R2300" s="8">
        <f t="shared" si="286"/>
        <v>1.1200249686704664</v>
      </c>
      <c r="S2300" s="22">
        <f t="shared" si="287"/>
        <v>0.16353089458246517</v>
      </c>
      <c r="T2300" s="25"/>
      <c r="U2300" s="1">
        <v>0</v>
      </c>
    </row>
    <row r="2301" spans="1:21">
      <c r="A2301" s="6" t="s">
        <v>6496</v>
      </c>
      <c r="B2301" s="13" t="s">
        <v>6497</v>
      </c>
      <c r="C2301" s="14">
        <v>1.3539035986196228</v>
      </c>
      <c r="D2301" s="14">
        <v>1.1802359816516568</v>
      </c>
      <c r="E2301" s="14">
        <v>1.3572046134347935</v>
      </c>
      <c r="F2301" s="8">
        <v>1.2154722529566386</v>
      </c>
      <c r="G2301" s="8">
        <f t="shared" si="280"/>
        <v>1.2670697901356398</v>
      </c>
      <c r="H2301" s="8">
        <f t="shared" si="281"/>
        <v>1.2863384331957159</v>
      </c>
      <c r="I2301" s="8">
        <f t="shared" si="282"/>
        <v>1.015207246838403</v>
      </c>
      <c r="J2301" s="22">
        <f t="shared" si="283"/>
        <v>2.1774272696414968E-2</v>
      </c>
      <c r="K2301" s="8"/>
      <c r="L2301" s="8">
        <v>0.69037699219284487</v>
      </c>
      <c r="M2301" s="8">
        <v>0.98446862145485547</v>
      </c>
      <c r="N2301" s="8">
        <v>0.74053156910652096</v>
      </c>
      <c r="O2301" s="8">
        <v>1.4327661283442046</v>
      </c>
      <c r="P2301" s="8">
        <f t="shared" si="284"/>
        <v>0.83742280682385017</v>
      </c>
      <c r="Q2301" s="8">
        <f t="shared" si="285"/>
        <v>1.0866488487253627</v>
      </c>
      <c r="R2301" s="8">
        <f t="shared" si="286"/>
        <v>1.2976107646826207</v>
      </c>
      <c r="S2301" s="22">
        <f t="shared" si="287"/>
        <v>0.37585769298611599</v>
      </c>
      <c r="T2301" s="25"/>
      <c r="U2301" s="1" t="s">
        <v>6498</v>
      </c>
    </row>
    <row r="2302" spans="1:21">
      <c r="A2302" s="6" t="s">
        <v>6499</v>
      </c>
      <c r="B2302" s="13" t="s">
        <v>80</v>
      </c>
      <c r="C2302" s="14">
        <v>1.163097122379765</v>
      </c>
      <c r="D2302" s="14">
        <v>1.2284198139682547</v>
      </c>
      <c r="E2302" s="14">
        <v>1.7175138469720357</v>
      </c>
      <c r="F2302" s="8">
        <v>1.2052238849490062</v>
      </c>
      <c r="G2302" s="8">
        <f t="shared" si="280"/>
        <v>1.1957584681740099</v>
      </c>
      <c r="H2302" s="8">
        <f t="shared" si="281"/>
        <v>1.4613688659605208</v>
      </c>
      <c r="I2302" s="8">
        <f t="shared" si="282"/>
        <v>1.2221271309013708</v>
      </c>
      <c r="J2302" s="22">
        <f t="shared" si="283"/>
        <v>0.28939436828349624</v>
      </c>
      <c r="K2302" s="8"/>
      <c r="L2302" s="8">
        <v>0.95246896075799004</v>
      </c>
      <c r="M2302" s="8">
        <v>1.1537558005327397</v>
      </c>
      <c r="N2302" s="8">
        <v>1.2108263234503671</v>
      </c>
      <c r="O2302" s="8">
        <v>1.3852556116933834</v>
      </c>
      <c r="P2302" s="8">
        <f t="shared" si="284"/>
        <v>1.0531123806453648</v>
      </c>
      <c r="Q2302" s="8">
        <f t="shared" si="285"/>
        <v>1.2980409675718754</v>
      </c>
      <c r="R2302" s="8">
        <f t="shared" si="286"/>
        <v>1.2325759258251376</v>
      </c>
      <c r="S2302" s="22">
        <f t="shared" si="287"/>
        <v>0.30167651835783632</v>
      </c>
      <c r="T2302" s="25"/>
      <c r="U2302" s="1">
        <v>0</v>
      </c>
    </row>
    <row r="2303" spans="1:21">
      <c r="A2303" s="6" t="s">
        <v>6500</v>
      </c>
      <c r="B2303" s="13" t="s">
        <v>6501</v>
      </c>
      <c r="C2303" s="14">
        <v>1.0332428206000064</v>
      </c>
      <c r="D2303" s="14">
        <v>1.1093637622342805</v>
      </c>
      <c r="E2303" s="14">
        <v>1.5405755958827922</v>
      </c>
      <c r="F2303" s="8">
        <v>1.0364990395928426</v>
      </c>
      <c r="G2303" s="8">
        <f t="shared" si="280"/>
        <v>1.0713032914171434</v>
      </c>
      <c r="H2303" s="8">
        <f t="shared" si="281"/>
        <v>1.2885373177378174</v>
      </c>
      <c r="I2303" s="8">
        <f t="shared" si="282"/>
        <v>1.2027754680313845</v>
      </c>
      <c r="J2303" s="22">
        <f t="shared" si="283"/>
        <v>0.26636734792445882</v>
      </c>
      <c r="K2303" s="8"/>
      <c r="L2303" s="8">
        <v>0.62903024305892941</v>
      </c>
      <c r="M2303" s="8">
        <v>1.2287664877626208</v>
      </c>
      <c r="N2303" s="8">
        <v>0.98867818102756033</v>
      </c>
      <c r="O2303" s="8">
        <v>1.2169020193936424</v>
      </c>
      <c r="P2303" s="8">
        <f t="shared" si="284"/>
        <v>0.92889836541077508</v>
      </c>
      <c r="Q2303" s="8">
        <f t="shared" si="285"/>
        <v>1.1027901002106013</v>
      </c>
      <c r="R2303" s="8">
        <f t="shared" si="286"/>
        <v>1.1872021108820967</v>
      </c>
      <c r="S2303" s="22">
        <f t="shared" si="287"/>
        <v>0.24756556223006804</v>
      </c>
      <c r="T2303" s="25"/>
      <c r="U2303" s="1" t="s">
        <v>6502</v>
      </c>
    </row>
    <row r="2304" spans="1:21">
      <c r="A2304" s="6" t="s">
        <v>6503</v>
      </c>
      <c r="B2304" s="6" t="s">
        <v>6504</v>
      </c>
      <c r="C2304" s="7">
        <v>1.1266034153297035</v>
      </c>
      <c r="D2304" s="7">
        <v>1.0573971991814581</v>
      </c>
      <c r="E2304" s="7">
        <v>1.5523392732555887</v>
      </c>
      <c r="F2304" s="8">
        <v>1.1591194016241813</v>
      </c>
      <c r="G2304" s="8">
        <f t="shared" si="280"/>
        <v>1.0920003072555808</v>
      </c>
      <c r="H2304" s="8">
        <f t="shared" si="281"/>
        <v>1.3557293374398851</v>
      </c>
      <c r="I2304" s="8">
        <f t="shared" si="282"/>
        <v>1.241510032947801</v>
      </c>
      <c r="J2304" s="22">
        <f t="shared" si="283"/>
        <v>0.31209592033517425</v>
      </c>
      <c r="K2304" s="8"/>
      <c r="L2304" s="8">
        <v>0.98188113373297814</v>
      </c>
      <c r="M2304" s="8">
        <v>1.1061277460167518</v>
      </c>
      <c r="N2304" s="8">
        <v>0.99077391822022831</v>
      </c>
      <c r="O2304" s="8">
        <v>1.1254532053890542</v>
      </c>
      <c r="P2304" s="8">
        <f t="shared" si="284"/>
        <v>1.0440044398748649</v>
      </c>
      <c r="Q2304" s="8">
        <f t="shared" si="285"/>
        <v>1.0581135618046413</v>
      </c>
      <c r="R2304" s="8">
        <f t="shared" si="286"/>
        <v>1.0135144271335355</v>
      </c>
      <c r="S2304" s="22">
        <f t="shared" si="287"/>
        <v>1.9366625367085517E-2</v>
      </c>
      <c r="T2304" s="25"/>
      <c r="U2304" s="1" t="s">
        <v>6505</v>
      </c>
    </row>
    <row r="2305" spans="1:21">
      <c r="A2305" s="6" t="s">
        <v>6506</v>
      </c>
      <c r="B2305" s="13" t="s">
        <v>6507</v>
      </c>
      <c r="C2305" s="14">
        <v>1.0005985644082585</v>
      </c>
      <c r="D2305" s="14">
        <v>1.0879069618848309</v>
      </c>
      <c r="E2305" s="14">
        <v>1.2608068710441696</v>
      </c>
      <c r="F2305" s="8">
        <v>1.0808647252608454</v>
      </c>
      <c r="G2305" s="8">
        <f t="shared" si="280"/>
        <v>1.0442527631465448</v>
      </c>
      <c r="H2305" s="8">
        <f t="shared" si="281"/>
        <v>1.1708357981525075</v>
      </c>
      <c r="I2305" s="8">
        <f t="shared" si="282"/>
        <v>1.1212187695099245</v>
      </c>
      <c r="J2305" s="22">
        <f t="shared" si="283"/>
        <v>0.16506780079613267</v>
      </c>
      <c r="K2305" s="8"/>
      <c r="L2305" s="8">
        <v>0.8282525020772149</v>
      </c>
      <c r="M2305" s="8">
        <v>1.0709081758310801</v>
      </c>
      <c r="N2305" s="8">
        <v>0.84027733116836767</v>
      </c>
      <c r="O2305" s="8">
        <v>1.0628373042821182</v>
      </c>
      <c r="P2305" s="8">
        <f t="shared" si="284"/>
        <v>0.94958033895414751</v>
      </c>
      <c r="Q2305" s="8">
        <f t="shared" si="285"/>
        <v>0.95155731772524299</v>
      </c>
      <c r="R2305" s="8">
        <f t="shared" si="286"/>
        <v>1.002081949983582</v>
      </c>
      <c r="S2305" s="22">
        <f t="shared" si="287"/>
        <v>3.0004965574948962E-3</v>
      </c>
      <c r="T2305" s="25"/>
      <c r="U2305" s="1" t="s">
        <v>6508</v>
      </c>
    </row>
    <row r="2306" spans="1:21">
      <c r="A2306" s="6" t="s">
        <v>6509</v>
      </c>
      <c r="B2306" s="6" t="s">
        <v>5851</v>
      </c>
      <c r="C2306" s="7">
        <v>1.0906270257862927</v>
      </c>
      <c r="D2306" s="7">
        <v>1.1151058355294368</v>
      </c>
      <c r="E2306" s="7">
        <v>1.2486702817085467</v>
      </c>
      <c r="F2306" s="8">
        <v>1.1679626806162002</v>
      </c>
      <c r="G2306" s="8">
        <f t="shared" si="280"/>
        <v>1.1028664306578646</v>
      </c>
      <c r="H2306" s="8">
        <f t="shared" si="281"/>
        <v>1.2083164811623734</v>
      </c>
      <c r="I2306" s="8">
        <f t="shared" si="282"/>
        <v>1.0956145255428686</v>
      </c>
      <c r="J2306" s="22">
        <f t="shared" si="283"/>
        <v>0.13174029838278756</v>
      </c>
      <c r="K2306" s="8"/>
      <c r="L2306" s="8">
        <v>0.92086753218939432</v>
      </c>
      <c r="M2306" s="8">
        <v>1.0402135040666141</v>
      </c>
      <c r="N2306" s="8">
        <v>1.0051608708401654</v>
      </c>
      <c r="O2306" s="8">
        <v>0.80002402742741463</v>
      </c>
      <c r="P2306" s="8">
        <f t="shared" si="284"/>
        <v>0.98054051812800425</v>
      </c>
      <c r="Q2306" s="8">
        <f t="shared" si="285"/>
        <v>0.90259244913379</v>
      </c>
      <c r="R2306" s="8">
        <f t="shared" si="286"/>
        <v>0.92050499948433695</v>
      </c>
      <c r="S2306" s="22">
        <f t="shared" si="287"/>
        <v>-0.11950253766669136</v>
      </c>
      <c r="T2306" s="25"/>
      <c r="U2306" s="1">
        <v>0</v>
      </c>
    </row>
    <row r="2307" spans="1:21">
      <c r="A2307" s="6" t="s">
        <v>6510</v>
      </c>
      <c r="B2307" s="6" t="s">
        <v>80</v>
      </c>
      <c r="C2307" s="7">
        <v>1.2111467896151602</v>
      </c>
      <c r="D2307" s="7">
        <v>1.4360941305819344</v>
      </c>
      <c r="E2307" s="7">
        <v>1.2178372426003095</v>
      </c>
      <c r="F2307" s="8">
        <v>1.0851590285648147</v>
      </c>
      <c r="G2307" s="8">
        <f t="shared" si="280"/>
        <v>1.3236204600985473</v>
      </c>
      <c r="H2307" s="8">
        <f t="shared" si="281"/>
        <v>1.1514981355825622</v>
      </c>
      <c r="I2307" s="8">
        <f t="shared" si="282"/>
        <v>0.86996096713164284</v>
      </c>
      <c r="J2307" s="22">
        <f t="shared" si="283"/>
        <v>-0.20097742241897271</v>
      </c>
      <c r="K2307" s="8"/>
      <c r="L2307" s="8">
        <v>1.2036146513550976</v>
      </c>
      <c r="M2307" s="8">
        <v>1.0604122774313767</v>
      </c>
      <c r="N2307" s="8">
        <v>1.0094656283169969</v>
      </c>
      <c r="O2307" s="8">
        <v>1.2198108265355292</v>
      </c>
      <c r="P2307" s="8">
        <f t="shared" si="284"/>
        <v>1.1320134643932371</v>
      </c>
      <c r="Q2307" s="8">
        <f t="shared" si="285"/>
        <v>1.114638227426263</v>
      </c>
      <c r="R2307" s="8">
        <f t="shared" si="286"/>
        <v>0.98465103330172188</v>
      </c>
      <c r="S2307" s="22">
        <f t="shared" si="287"/>
        <v>-2.2315580194409643E-2</v>
      </c>
      <c r="T2307" s="25"/>
      <c r="U2307" s="1">
        <v>0</v>
      </c>
    </row>
    <row r="2308" spans="1:21">
      <c r="A2308" s="6" t="s">
        <v>6511</v>
      </c>
      <c r="B2308" s="6" t="s">
        <v>80</v>
      </c>
      <c r="C2308" s="7">
        <v>1.1521878090777455</v>
      </c>
      <c r="D2308" s="7">
        <v>1.8824163708735566</v>
      </c>
      <c r="E2308" s="7">
        <v>1.3160910695331831</v>
      </c>
      <c r="F2308" s="8">
        <v>1.217246177838851</v>
      </c>
      <c r="G2308" s="8">
        <f t="shared" si="280"/>
        <v>1.5173020899756511</v>
      </c>
      <c r="H2308" s="8">
        <f t="shared" si="281"/>
        <v>1.2666686236860172</v>
      </c>
      <c r="I2308" s="8">
        <f t="shared" si="282"/>
        <v>0.83481637048713486</v>
      </c>
      <c r="J2308" s="22">
        <f t="shared" si="283"/>
        <v>-0.26046920331506018</v>
      </c>
      <c r="K2308" s="8"/>
      <c r="L2308" s="8">
        <v>1.3344940618425045</v>
      </c>
      <c r="M2308" s="8">
        <v>1.4285150964183111</v>
      </c>
      <c r="N2308" s="8">
        <v>1.1627942926562467</v>
      </c>
      <c r="O2308" s="8">
        <v>1.3106982917934373</v>
      </c>
      <c r="P2308" s="8">
        <f t="shared" si="284"/>
        <v>1.3815045791304077</v>
      </c>
      <c r="Q2308" s="8">
        <f t="shared" si="285"/>
        <v>1.236746292224842</v>
      </c>
      <c r="R2308" s="8">
        <f t="shared" si="286"/>
        <v>0.8952169329784746</v>
      </c>
      <c r="S2308" s="22">
        <f t="shared" si="287"/>
        <v>-0.15969076981854965</v>
      </c>
      <c r="T2308" s="25"/>
      <c r="U2308" s="1">
        <v>0</v>
      </c>
    </row>
  </sheetData>
  <mergeCells count="12">
    <mergeCell ref="U2:U4"/>
    <mergeCell ref="C3:F3"/>
    <mergeCell ref="L3:O3"/>
    <mergeCell ref="G3:H3"/>
    <mergeCell ref="P3:Q3"/>
    <mergeCell ref="I3:J3"/>
    <mergeCell ref="R3:S3"/>
    <mergeCell ref="A1:T1"/>
    <mergeCell ref="B2:B4"/>
    <mergeCell ref="A2:A4"/>
    <mergeCell ref="C2:J2"/>
    <mergeCell ref="L2:S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Sheet1</vt:lpstr>
      <vt:lpstr>Sheet1!OLE_LINK1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炳辉 杨</dc:creator>
  <cp:lastModifiedBy>炳辉 杨</cp:lastModifiedBy>
  <dcterms:created xsi:type="dcterms:W3CDTF">2026-02-04T02:46:00Z</dcterms:created>
  <dcterms:modified xsi:type="dcterms:W3CDTF">2026-02-04T04:50:27Z</dcterms:modified>
</cp:coreProperties>
</file>